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46230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46230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46230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46230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46230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46230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46230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46230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46230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46230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46230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46230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17210-2026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46230</v>
      </c>
      <c r="F14" t="inlineStr">
        <is>
          <t>GÄVLEBORGS LÄN</t>
        </is>
      </c>
      <c r="G14" t="inlineStr">
        <is>
          <t>SÖDERHAMN</t>
        </is>
      </c>
      <c r="H14" t="inlineStr">
        <is>
          <t>Bergvik skog väst AB</t>
        </is>
      </c>
      <c r="I14" t="n">
        <v>0.7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13</v>
      </c>
      <c r="U14" t="n">
        <v>0</v>
      </c>
      <c r="V14" s="2" t="inlineStr">
        <is>
          <t>Talltita
Grönsiska
Kungsfågel
Fläcknycklar</t>
        </is>
      </c>
      <c r="W14">
        <f>HYPERLINK("https://klasma.github.io/Logging_2182/artfynd/A 17210-2026 artfynd.xlsx", "A 17210-2026")</f>
        <v/>
      </c>
      <c r="X14">
        <f>HYPERLINK("https://klasma.github.io/Logging_2182/kartor/A 17210-2026 karta.png", "A 17210-2026")</f>
        <v/>
      </c>
      <c r="Y14">
        <f>HYPERLINK("https://klasma.github.io/Logging_2182/kartor_geotiff/A 17210-2026 georefererad karta.tif", "A 17210-2026")</f>
        <v/>
      </c>
      <c r="AA14">
        <f>HYPERLINK("https://klasma.github.io/Logging_2182/klagomål/A 17210-2026 FSC-klagomål.docx", "A 17210-2026")</f>
        <v/>
      </c>
      <c r="AB14">
        <f>HYPERLINK("https://klasma.github.io/Logging_2182/klagomålsmail/A 17210-2026 FSC-klagomål mail.docx", "A 17210-2026")</f>
        <v/>
      </c>
      <c r="AC14">
        <f>HYPERLINK("https://klasma.github.io/Logging_2182/tillsyn/A 17210-2026 tillsynsbegäran.docx", "A 17210-2026")</f>
        <v/>
      </c>
      <c r="AD14">
        <f>HYPERLINK("https://klasma.github.io/Logging_2182/tillsynsmail/A 17210-2026 tillsynsbegäran mail.docx", "A 17210-2026")</f>
        <v/>
      </c>
      <c r="AE14">
        <f>HYPERLINK("https://klasma.github.io/Logging_2182/fåglar/A 17210-2026 prioriterade fågelarter.docx", "A 17210-2026")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46230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46230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9290-2026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46230</v>
      </c>
      <c r="F17" t="inlineStr">
        <is>
          <t>GÄVLEBORGS LÄN</t>
        </is>
      </c>
      <c r="G17" t="inlineStr">
        <is>
          <t>SÖDERHAMN</t>
        </is>
      </c>
      <c r="I17" t="n">
        <v>3.4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Kortskaftad ärgspik
Vitplätt</t>
        </is>
      </c>
      <c r="W17">
        <f>HYPERLINK("https://klasma.github.io/Logging_2182/artfynd/A 9290-2026 artfynd.xlsx", "A 9290-2026")</f>
        <v/>
      </c>
      <c r="X17">
        <f>HYPERLINK("https://klasma.github.io/Logging_2182/kartor/A 9290-2026 karta.png", "A 9290-2026")</f>
        <v/>
      </c>
      <c r="Y17">
        <f>HYPERLINK("https://klasma.github.io/Logging_2182/kartor_geotiff/A 9290-2026 georefererad karta.tif", "A 9290-2026")</f>
        <v/>
      </c>
      <c r="AA17">
        <f>HYPERLINK("https://klasma.github.io/Logging_2182/klagomål/A 9290-2026 FSC-klagomål.docx", "A 9290-2026")</f>
        <v/>
      </c>
      <c r="AB17">
        <f>HYPERLINK("https://klasma.github.io/Logging_2182/klagomålsmail/A 9290-2026 FSC-klagomål mail.docx", "A 9290-2026")</f>
        <v/>
      </c>
      <c r="AC17">
        <f>HYPERLINK("https://klasma.github.io/Logging_2182/tillsyn/A 9290-2026 tillsynsbegäran.docx", "A 9290-2026")</f>
        <v/>
      </c>
      <c r="AD17">
        <f>HYPERLINK("https://klasma.github.io/Logging_2182/tillsynsmail/A 9290-2026 tillsynsbegäran mail.docx", "A 9290-2026")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46230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53562-2024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46230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2</v>
      </c>
      <c r="V19" s="2" t="inlineStr">
        <is>
          <t>Havsörn
Fläcknycklar</t>
        </is>
      </c>
      <c r="W19">
        <f>HYPERLINK("https://klasma.github.io/Logging_2182/artfynd/A 53562-2024 artfynd.xlsx", "A 53562-2024")</f>
        <v/>
      </c>
      <c r="X19">
        <f>HYPERLINK("https://klasma.github.io/Logging_2182/kartor/A 53562-2024 karta.png", "A 53562-2024")</f>
        <v/>
      </c>
      <c r="Y19">
        <f>HYPERLINK("https://klasma.github.io/Logging_2182/kartor_geotiff/A 53562-2024 georefererad karta.tif", "A 53562-2024")</f>
        <v/>
      </c>
      <c r="AA19">
        <f>HYPERLINK("https://klasma.github.io/Logging_2182/klagomål/A 53562-2024 FSC-klagomål.docx", "A 53562-2024")</f>
        <v/>
      </c>
      <c r="AB19">
        <f>HYPERLINK("https://klasma.github.io/Logging_2182/klagomålsmail/A 53562-2024 FSC-klagomål mail.docx", "A 53562-2024")</f>
        <v/>
      </c>
      <c r="AC19">
        <f>HYPERLINK("https://klasma.github.io/Logging_2182/tillsyn/A 53562-2024 tillsynsbegäran.docx", "A 53562-2024")</f>
        <v/>
      </c>
      <c r="AD19">
        <f>HYPERLINK("https://klasma.github.io/Logging_2182/tillsynsmail/A 53562-2024 tillsynsbegäran mail.docx", "A 53562-2024")</f>
        <v/>
      </c>
      <c r="AE19">
        <f>HYPERLINK("https://klasma.github.io/Logging_2182/fåglar/A 53562-2024 prioriterade fågelarter.docx", "A 53562-2024")</f>
        <v/>
      </c>
    </row>
    <row r="20" ht="15" customHeight="1">
      <c r="A20" t="inlineStr">
        <is>
          <t>A 23333-2026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46162</v>
      </c>
      <c r="E20" s="1" t="n">
        <v>46230</v>
      </c>
      <c r="F20" t="inlineStr">
        <is>
          <t>GÄVLEBORGS LÄN</t>
        </is>
      </c>
      <c r="G20" t="inlineStr">
        <is>
          <t>SÖDERHAMN</t>
        </is>
      </c>
      <c r="I20" t="n">
        <v>1.1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0</v>
      </c>
      <c r="V20" s="2" t="inlineStr">
        <is>
          <t>Korallblylav
Stuplav</t>
        </is>
      </c>
      <c r="W20">
        <f>HYPERLINK("https://klasma.github.io/Logging_2182/artfynd/A 23333-2026 artfynd.xlsx", "A 23333-2026")</f>
        <v/>
      </c>
      <c r="X20">
        <f>HYPERLINK("https://klasma.github.io/Logging_2182/kartor/A 23333-2026 karta.png", "A 23333-2026")</f>
        <v/>
      </c>
      <c r="Y20">
        <f>HYPERLINK("https://klasma.github.io/Logging_2182/kartor_geotiff/A 23333-2026 georefererad karta.tif", "A 23333-2026")</f>
        <v/>
      </c>
      <c r="AA20">
        <f>HYPERLINK("https://klasma.github.io/Logging_2182/klagomål/A 23333-2026 FSC-klagomål.docx", "A 23333-2026")</f>
        <v/>
      </c>
      <c r="AB20">
        <f>HYPERLINK("https://klasma.github.io/Logging_2182/klagomålsmail/A 23333-2026 FSC-klagomål mail.docx", "A 23333-2026")</f>
        <v/>
      </c>
      <c r="AC20">
        <f>HYPERLINK("https://klasma.github.io/Logging_2182/tillsyn/A 23333-2026 tillsynsbegäran.docx", "A 23333-2026")</f>
        <v/>
      </c>
      <c r="AD20">
        <f>HYPERLINK("https://klasma.github.io/Logging_2182/tillsynsmail/A 23333-2026 tillsynsbegäran mail.docx", "A 23333-2026")</f>
        <v/>
      </c>
    </row>
    <row r="21" ht="15" customHeight="1">
      <c r="A21" t="inlineStr">
        <is>
          <t>A 24156-2026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46168</v>
      </c>
      <c r="E21" s="1" t="n">
        <v>46230</v>
      </c>
      <c r="F21" t="inlineStr">
        <is>
          <t>GÄVLEBORGS LÄN</t>
        </is>
      </c>
      <c r="G21" t="inlineStr">
        <is>
          <t>SÖDERHAMN</t>
        </is>
      </c>
      <c r="I21" t="n">
        <v>15.1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Svart trolldruva
Blåsippa</t>
        </is>
      </c>
      <c r="W21">
        <f>HYPERLINK("https://klasma.github.io/Logging_2182/artfynd/A 24156-2026 artfynd.xlsx", "A 24156-2026")</f>
        <v/>
      </c>
      <c r="X21">
        <f>HYPERLINK("https://klasma.github.io/Logging_2182/kartor/A 24156-2026 karta.png", "A 24156-2026")</f>
        <v/>
      </c>
      <c r="Y21">
        <f>HYPERLINK("https://klasma.github.io/Logging_2182/kartor_geotiff/A 24156-2026 georefererad karta.tif", "A 24156-2026")</f>
        <v/>
      </c>
      <c r="AA21">
        <f>HYPERLINK("https://klasma.github.io/Logging_2182/klagomål/A 24156-2026 FSC-klagomål.docx", "A 24156-2026")</f>
        <v/>
      </c>
      <c r="AB21">
        <f>HYPERLINK("https://klasma.github.io/Logging_2182/klagomålsmail/A 24156-2026 FSC-klagomål mail.docx", "A 24156-2026")</f>
        <v/>
      </c>
      <c r="AC21">
        <f>HYPERLINK("https://klasma.github.io/Logging_2182/tillsyn/A 24156-2026 tillsynsbegäran.docx", "A 24156-2026")</f>
        <v/>
      </c>
      <c r="AD21">
        <f>HYPERLINK("https://klasma.github.io/Logging_2182/tillsynsmail/A 24156-2026 tillsynsbegäran mail.docx", "A 24156-2026")</f>
        <v/>
      </c>
    </row>
    <row r="22" ht="15" customHeight="1">
      <c r="A22" t="inlineStr">
        <is>
          <t>A 25237-2022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44729</v>
      </c>
      <c r="E22" s="1" t="n">
        <v>46230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18.6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HYPERLINK("https://klasma.github.io/Logging_2182/artfynd/A 25237-2022 artfynd.xlsx", "A 25237-2022")</f>
        <v/>
      </c>
      <c r="X22">
        <f>HYPERLINK("https://klasma.github.io/Logging_2182/kartor/A 25237-2022 karta.png", "A 25237-2022")</f>
        <v/>
      </c>
      <c r="Y22">
        <f>HYPERLINK("https://klasma.github.io/Logging_2182/kartor_geotiff/A 25237-2022 georefererad karta.tif", "A 25237-2022")</f>
        <v/>
      </c>
      <c r="AA22">
        <f>HYPERLINK("https://klasma.github.io/Logging_2182/klagomål/A 25237-2022 FSC-klagomål.docx", "A 25237-2022")</f>
        <v/>
      </c>
      <c r="AB22">
        <f>HYPERLINK("https://klasma.github.io/Logging_2182/klagomålsmail/A 25237-2022 FSC-klagomål mail.docx", "A 25237-2022")</f>
        <v/>
      </c>
      <c r="AC22">
        <f>HYPERLINK("https://klasma.github.io/Logging_2182/tillsyn/A 25237-2022 tillsynsbegäran.docx", "A 25237-2022")</f>
        <v/>
      </c>
      <c r="AD22">
        <f>HYPERLINK("https://klasma.github.io/Logging_2182/tillsynsmail/A 25237-2022 tillsynsbegäran mail.docx", "A 25237-2022")</f>
        <v/>
      </c>
      <c r="AE22">
        <f>HYPERLINK("https://klasma.github.io/Logging_2182/fåglar/A 25237-2022 prioriterade fågelarter.docx", "A 25237-2022")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46230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46230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46230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46230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54608-2024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45617</v>
      </c>
      <c r="E27" s="1" t="n">
        <v>46230</v>
      </c>
      <c r="F27" t="inlineStr">
        <is>
          <t>GÄVLEBORGS LÄN</t>
        </is>
      </c>
      <c r="G27" t="inlineStr">
        <is>
          <t>SÖDERHAMN</t>
        </is>
      </c>
      <c r="I27" t="n">
        <v>2.9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Strutbräken</t>
        </is>
      </c>
      <c r="W27">
        <f>HYPERLINK("https://klasma.github.io/Logging_2182/artfynd/A 54608-2024 artfynd.xlsx", "A 54608-2024")</f>
        <v/>
      </c>
      <c r="X27">
        <f>HYPERLINK("https://klasma.github.io/Logging_2182/kartor/A 54608-2024 karta.png", "A 54608-2024")</f>
        <v/>
      </c>
      <c r="Y27">
        <f>HYPERLINK("https://klasma.github.io/Logging_2182/kartor_geotiff/A 54608-2024 georefererad karta.tif", "A 54608-2024")</f>
        <v/>
      </c>
      <c r="AA27">
        <f>HYPERLINK("https://klasma.github.io/Logging_2182/klagomål/A 54608-2024 FSC-klagomål.docx", "A 54608-2024")</f>
        <v/>
      </c>
      <c r="AB27">
        <f>HYPERLINK("https://klasma.github.io/Logging_2182/klagomålsmail/A 54608-2024 FSC-klagomål mail.docx", "A 54608-2024")</f>
        <v/>
      </c>
      <c r="AC27">
        <f>HYPERLINK("https://klasma.github.io/Logging_2182/tillsyn/A 54608-2024 tillsynsbegäran.docx", "A 54608-2024")</f>
        <v/>
      </c>
      <c r="AD27">
        <f>HYPERLINK("https://klasma.github.io/Logging_2182/tillsynsmail/A 54608-2024 tillsynsbegäran mail.docx", "A 54608-2024")</f>
        <v/>
      </c>
    </row>
    <row r="28" ht="15" customHeight="1">
      <c r="A28" t="inlineStr">
        <is>
          <t>A 43682-2024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46230</v>
      </c>
      <c r="F28" t="inlineStr">
        <is>
          <t>GÄVLEBORGS LÄN</t>
        </is>
      </c>
      <c r="G28" t="inlineStr">
        <is>
          <t>SÖDERHAMN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HYPERLINK("https://klasma.github.io/Logging_2182/artfynd/A 43682-2024 artfynd.xlsx", "A 43682-2024")</f>
        <v/>
      </c>
      <c r="X28">
        <f>HYPERLINK("https://klasma.github.io/Logging_2182/kartor/A 43682-2024 karta.png", "A 43682-2024")</f>
        <v/>
      </c>
      <c r="Y28">
        <f>HYPERLINK("https://klasma.github.io/Logging_2182/kartor_geotiff/A 43682-2024 georefererad karta.tif", "A 43682-2024")</f>
        <v/>
      </c>
      <c r="AA28">
        <f>HYPERLINK("https://klasma.github.io/Logging_2182/klagomål/A 43682-2024 FSC-klagomål.docx", "A 43682-2024")</f>
        <v/>
      </c>
      <c r="AB28">
        <f>HYPERLINK("https://klasma.github.io/Logging_2182/klagomålsmail/A 43682-2024 FSC-klagomål mail.docx", "A 43682-2024")</f>
        <v/>
      </c>
      <c r="AC28">
        <f>HYPERLINK("https://klasma.github.io/Logging_2182/tillsyn/A 43682-2024 tillsynsbegäran.docx", "A 43682-2024")</f>
        <v/>
      </c>
      <c r="AD28">
        <f>HYPERLINK("https://klasma.github.io/Logging_2182/tillsynsmail/A 43682-2024 tillsynsbegäran mail.docx", "A 43682-2024")</f>
        <v/>
      </c>
    </row>
    <row r="29" ht="15" customHeight="1">
      <c r="A29" t="inlineStr">
        <is>
          <t>A 57441-2024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46230</v>
      </c>
      <c r="F29" t="inlineStr">
        <is>
          <t>GÄVLEBORGS LÄN</t>
        </is>
      </c>
      <c r="G29" t="inlineStr">
        <is>
          <t>SÖDERHAMN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Ullticka</t>
        </is>
      </c>
      <c r="W29">
        <f>HYPERLINK("https://klasma.github.io/Logging_2182/artfynd/A 57441-2024 artfynd.xlsx", "A 57441-2024")</f>
        <v/>
      </c>
      <c r="X29">
        <f>HYPERLINK("https://klasma.github.io/Logging_2182/kartor/A 57441-2024 karta.png", "A 57441-2024")</f>
        <v/>
      </c>
      <c r="Y29">
        <f>HYPERLINK("https://klasma.github.io/Logging_2182/kartor_geotiff/A 57441-2024 georefererad karta.tif", "A 57441-2024")</f>
        <v/>
      </c>
      <c r="AA29">
        <f>HYPERLINK("https://klasma.github.io/Logging_2182/klagomål/A 57441-2024 FSC-klagomål.docx", "A 57441-2024")</f>
        <v/>
      </c>
      <c r="AB29">
        <f>HYPERLINK("https://klasma.github.io/Logging_2182/klagomålsmail/A 57441-2024 FSC-klagomål mail.docx", "A 57441-2024")</f>
        <v/>
      </c>
      <c r="AC29">
        <f>HYPERLINK("https://klasma.github.io/Logging_2182/tillsyn/A 57441-2024 tillsynsbegäran.docx", "A 57441-2024")</f>
        <v/>
      </c>
      <c r="AD29">
        <f>HYPERLINK("https://klasma.github.io/Logging_2182/tillsynsmail/A 57441-2024 tillsynsbegäran mail.docx", "A 57441-2024")</f>
        <v/>
      </c>
    </row>
    <row r="30" ht="15" customHeight="1">
      <c r="A30" t="inlineStr">
        <is>
          <t>A 41258-2022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44826</v>
      </c>
      <c r="E30" s="1" t="n">
        <v>46230</v>
      </c>
      <c r="F30" t="inlineStr">
        <is>
          <t>GÄVLEBORGS LÄN</t>
        </is>
      </c>
      <c r="G30" t="inlineStr">
        <is>
          <t>SÖDERHAMN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Rosenticka</t>
        </is>
      </c>
      <c r="W30">
        <f>HYPERLINK("https://klasma.github.io/Logging_2182/artfynd/A 41258-2022 artfynd.xlsx", "A 41258-2022")</f>
        <v/>
      </c>
      <c r="X30">
        <f>HYPERLINK("https://klasma.github.io/Logging_2182/kartor/A 41258-2022 karta.png", "A 41258-2022")</f>
        <v/>
      </c>
      <c r="Y30">
        <f>HYPERLINK("https://klasma.github.io/Logging_2182/kartor_geotiff/A 41258-2022 georefererad karta.tif", "A 41258-2022")</f>
        <v/>
      </c>
      <c r="AA30">
        <f>HYPERLINK("https://klasma.github.io/Logging_2182/klagomål/A 41258-2022 FSC-klagomål.docx", "A 41258-2022")</f>
        <v/>
      </c>
      <c r="AB30">
        <f>HYPERLINK("https://klasma.github.io/Logging_2182/klagomålsmail/A 41258-2022 FSC-klagomål mail.docx", "A 41258-2022")</f>
        <v/>
      </c>
      <c r="AC30">
        <f>HYPERLINK("https://klasma.github.io/Logging_2182/tillsyn/A 41258-2022 tillsynsbegäran.docx", "A 41258-2022")</f>
        <v/>
      </c>
      <c r="AD30">
        <f>HYPERLINK("https://klasma.github.io/Logging_2182/tillsynsmail/A 41258-2022 tillsynsbegäran mail.docx", "A 41258-2022")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46230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38545-2025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45884</v>
      </c>
      <c r="E32" s="1" t="n">
        <v>46230</v>
      </c>
      <c r="F32" t="inlineStr">
        <is>
          <t>GÄVLEBORGS LÄN</t>
        </is>
      </c>
      <c r="G32" t="inlineStr">
        <is>
          <t>SÖDERHAMN</t>
        </is>
      </c>
      <c r="I32" t="n">
        <v>2.3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HYPERLINK("https://klasma.github.io/Logging_2182/artfynd/A 38545-2025 artfynd.xlsx", "A 38545-2025")</f>
        <v/>
      </c>
      <c r="X32">
        <f>HYPERLINK("https://klasma.github.io/Logging_2182/kartor/A 38545-2025 karta.png", "A 38545-2025")</f>
        <v/>
      </c>
      <c r="Y32">
        <f>HYPERLINK("https://klasma.github.io/Logging_2182/kartor_geotiff/A 38545-2025 georefererad karta.tif", "A 38545-2025")</f>
        <v/>
      </c>
      <c r="Z32">
        <f>HYPERLINK("https://klasma.github.io/Logging_2182/knärot/A 38545-2025 karta knärot.png", "A 38545-2025")</f>
        <v/>
      </c>
      <c r="AA32">
        <f>HYPERLINK("https://klasma.github.io/Logging_2182/klagomål/A 38545-2025 FSC-klagomål.docx", "A 38545-2025")</f>
        <v/>
      </c>
      <c r="AB32">
        <f>HYPERLINK("https://klasma.github.io/Logging_2182/klagomålsmail/A 38545-2025 FSC-klagomål mail.docx", "A 38545-2025")</f>
        <v/>
      </c>
      <c r="AC32">
        <f>HYPERLINK("https://klasma.github.io/Logging_2182/tillsyn/A 38545-2025 tillsynsbegäran.docx", "A 38545-2025")</f>
        <v/>
      </c>
      <c r="AD32">
        <f>HYPERLINK("https://klasma.github.io/Logging_2182/tillsynsmail/A 38545-2025 tillsynsbegäran mail.docx", "A 38545-2025")</f>
        <v/>
      </c>
    </row>
    <row r="33" ht="15" customHeight="1">
      <c r="A33" t="inlineStr">
        <is>
          <t>A 21316-2024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45440</v>
      </c>
      <c r="E33" s="1" t="n">
        <v>46230</v>
      </c>
      <c r="F33" t="inlineStr">
        <is>
          <t>GÄVLEBORGS LÄN</t>
        </is>
      </c>
      <c r="G33" t="inlineStr">
        <is>
          <t>SÖDERHAMN</t>
        </is>
      </c>
      <c r="H33" t="inlineStr">
        <is>
          <t>Kommuner</t>
        </is>
      </c>
      <c r="I33" t="n">
        <v>2.3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Brunfläckig pärlemorfjäril</t>
        </is>
      </c>
      <c r="W33">
        <f>HYPERLINK("https://klasma.github.io/Logging_2182/artfynd/A 21316-2024 artfynd.xlsx", "A 21316-2024")</f>
        <v/>
      </c>
      <c r="X33">
        <f>HYPERLINK("https://klasma.github.io/Logging_2182/kartor/A 21316-2024 karta.png", "A 21316-2024")</f>
        <v/>
      </c>
      <c r="Y33">
        <f>HYPERLINK("https://klasma.github.io/Logging_2182/kartor_geotiff/A 21316-2024 georefererad karta.tif", "A 21316-2024")</f>
        <v/>
      </c>
      <c r="AA33">
        <f>HYPERLINK("https://klasma.github.io/Logging_2182/klagomål/A 21316-2024 FSC-klagomål.docx", "A 21316-2024")</f>
        <v/>
      </c>
      <c r="AB33">
        <f>HYPERLINK("https://klasma.github.io/Logging_2182/klagomålsmail/A 21316-2024 FSC-klagomål mail.docx", "A 21316-2024")</f>
        <v/>
      </c>
      <c r="AC33">
        <f>HYPERLINK("https://klasma.github.io/Logging_2182/tillsyn/A 21316-2024 tillsynsbegäran.docx", "A 21316-2024")</f>
        <v/>
      </c>
      <c r="AD33">
        <f>HYPERLINK("https://klasma.github.io/Logging_2182/tillsynsmail/A 21316-2024 tillsynsbegäran mail.docx", "A 21316-2024")</f>
        <v/>
      </c>
    </row>
    <row r="34" ht="15" customHeight="1">
      <c r="A34" t="inlineStr">
        <is>
          <t>A 51157-2025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45947</v>
      </c>
      <c r="E34" s="1" t="n">
        <v>46230</v>
      </c>
      <c r="F34" t="inlineStr">
        <is>
          <t>GÄVLEBORGS LÄN</t>
        </is>
      </c>
      <c r="G34" t="inlineStr">
        <is>
          <t>SÖDERHAMN</t>
        </is>
      </c>
      <c r="I34" t="n">
        <v>10.2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Gråspett</t>
        </is>
      </c>
      <c r="W34">
        <f>HYPERLINK("https://klasma.github.io/Logging_2182/artfynd/A 51157-2025 artfynd.xlsx", "A 51157-2025")</f>
        <v/>
      </c>
      <c r="X34">
        <f>HYPERLINK("https://klasma.github.io/Logging_2182/kartor/A 51157-2025 karta.png", "A 51157-2025")</f>
        <v/>
      </c>
      <c r="Y34">
        <f>HYPERLINK("https://klasma.github.io/Logging_2182/kartor_geotiff/A 51157-2025 georefererad karta.tif", "A 51157-2025")</f>
        <v/>
      </c>
      <c r="AA34">
        <f>HYPERLINK("https://klasma.github.io/Logging_2182/klagomål/A 51157-2025 FSC-klagomål.docx", "A 51157-2025")</f>
        <v/>
      </c>
      <c r="AB34">
        <f>HYPERLINK("https://klasma.github.io/Logging_2182/klagomålsmail/A 51157-2025 FSC-klagomål mail.docx", "A 51157-2025")</f>
        <v/>
      </c>
      <c r="AC34">
        <f>HYPERLINK("https://klasma.github.io/Logging_2182/tillsyn/A 51157-2025 tillsynsbegäran.docx", "A 51157-2025")</f>
        <v/>
      </c>
      <c r="AD34">
        <f>HYPERLINK("https://klasma.github.io/Logging_2182/tillsynsmail/A 51157-2025 tillsynsbegäran mail.docx", "A 51157-2025")</f>
        <v/>
      </c>
      <c r="AE34">
        <f>HYPERLINK("https://klasma.github.io/Logging_2182/fåglar/A 51157-2025 prioriterade fågelarter.docx", "A 51157-2025")</f>
        <v/>
      </c>
    </row>
    <row r="35" ht="15" customHeight="1">
      <c r="A35" t="inlineStr">
        <is>
          <t>A 55768-2025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45972</v>
      </c>
      <c r="E35" s="1" t="n">
        <v>46230</v>
      </c>
      <c r="F35" t="inlineStr">
        <is>
          <t>GÄVLEBORGS LÄN</t>
        </is>
      </c>
      <c r="G35" t="inlineStr">
        <is>
          <t>SÖDERHAMN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Sydlig ladlav</t>
        </is>
      </c>
      <c r="W35">
        <f>HYPERLINK("https://klasma.github.io/Logging_2182/artfynd/A 55768-2025 artfynd.xlsx", "A 55768-2025")</f>
        <v/>
      </c>
      <c r="X35">
        <f>HYPERLINK("https://klasma.github.io/Logging_2182/kartor/A 55768-2025 karta.png", "A 55768-2025")</f>
        <v/>
      </c>
      <c r="Y35">
        <f>HYPERLINK("https://klasma.github.io/Logging_2182/kartor_geotiff/A 55768-2025 georefererad karta.tif", "A 55768-2025")</f>
        <v/>
      </c>
      <c r="AA35">
        <f>HYPERLINK("https://klasma.github.io/Logging_2182/klagomål/A 55768-2025 FSC-klagomål.docx", "A 55768-2025")</f>
        <v/>
      </c>
      <c r="AB35">
        <f>HYPERLINK("https://klasma.github.io/Logging_2182/klagomålsmail/A 55768-2025 FSC-klagomål mail.docx", "A 55768-2025")</f>
        <v/>
      </c>
      <c r="AC35">
        <f>HYPERLINK("https://klasma.github.io/Logging_2182/tillsyn/A 55768-2025 tillsynsbegäran.docx", "A 55768-2025")</f>
        <v/>
      </c>
      <c r="AD35">
        <f>HYPERLINK("https://klasma.github.io/Logging_2182/tillsynsmail/A 55768-2025 tillsynsbegäran mail.docx", "A 55768-2025")</f>
        <v/>
      </c>
    </row>
    <row r="36" ht="15" customHeight="1">
      <c r="A36" t="inlineStr">
        <is>
          <t>A 31803-2024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45509</v>
      </c>
      <c r="E36" s="1" t="n">
        <v>46230</v>
      </c>
      <c r="F36" t="inlineStr">
        <is>
          <t>GÄVLEBORGS LÄN</t>
        </is>
      </c>
      <c r="G36" t="inlineStr">
        <is>
          <t>SÖDERHAMN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5</v>
      </c>
      <c r="V36" s="2" t="inlineStr">
        <is>
          <t>Knärot</t>
        </is>
      </c>
      <c r="W36">
        <f>HYPERLINK("https://klasma.github.io/Logging_2182/artfynd/A 31803-2024 artfynd.xlsx", "A 31803-2024")</f>
        <v/>
      </c>
      <c r="X36">
        <f>HYPERLINK("https://klasma.github.io/Logging_2182/kartor/A 31803-2024 karta.png", "A 31803-2024")</f>
        <v/>
      </c>
      <c r="Y36">
        <f>HYPERLINK("https://klasma.github.io/Logging_2182/kartor_geotiff/A 31803-2024 georefererad karta.tif", "A 31803-2024")</f>
        <v/>
      </c>
      <c r="Z36">
        <f>HYPERLINK("https://klasma.github.io/Logging_2182/knärot/A 31803-2024 karta knärot.png", "A 31803-2024")</f>
        <v/>
      </c>
      <c r="AA36">
        <f>HYPERLINK("https://klasma.github.io/Logging_2182/klagomål/A 31803-2024 FSC-klagomål.docx", "A 31803-2024")</f>
        <v/>
      </c>
      <c r="AB36">
        <f>HYPERLINK("https://klasma.github.io/Logging_2182/klagomålsmail/A 31803-2024 FSC-klagomål mail.docx", "A 31803-2024")</f>
        <v/>
      </c>
      <c r="AC36">
        <f>HYPERLINK("https://klasma.github.io/Logging_2182/tillsyn/A 31803-2024 tillsynsbegäran.docx", "A 31803-2024")</f>
        <v/>
      </c>
      <c r="AD36">
        <f>HYPERLINK("https://klasma.github.io/Logging_2182/tillsynsmail/A 31803-2024 tillsynsbegäran mail.docx", "A 31803-2024")</f>
        <v/>
      </c>
    </row>
    <row r="37" ht="15" customHeight="1">
      <c r="A37" t="inlineStr">
        <is>
          <t>A 40097-2024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45554</v>
      </c>
      <c r="E37" s="1" t="n">
        <v>46230</v>
      </c>
      <c r="F37" t="inlineStr">
        <is>
          <t>GÄVLEBORGS LÄN</t>
        </is>
      </c>
      <c r="G37" t="inlineStr">
        <is>
          <t>SÖDERHAMN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HYPERLINK("https://klasma.github.io/Logging_2182/artfynd/A 40097-2024 artfynd.xlsx", "A 40097-2024")</f>
        <v/>
      </c>
      <c r="X37">
        <f>HYPERLINK("https://klasma.github.io/Logging_2182/kartor/A 40097-2024 karta.png", "A 40097-2024")</f>
        <v/>
      </c>
      <c r="Y37">
        <f>HYPERLINK("https://klasma.github.io/Logging_2182/kartor_geotiff/A 40097-2024 georefererad karta.tif", "A 40097-2024")</f>
        <v/>
      </c>
      <c r="AA37">
        <f>HYPERLINK("https://klasma.github.io/Logging_2182/klagomål/A 40097-2024 FSC-klagomål.docx", "A 40097-2024")</f>
        <v/>
      </c>
      <c r="AB37">
        <f>HYPERLINK("https://klasma.github.io/Logging_2182/klagomålsmail/A 40097-2024 FSC-klagomål mail.docx", "A 40097-2024")</f>
        <v/>
      </c>
      <c r="AC37">
        <f>HYPERLINK("https://klasma.github.io/Logging_2182/tillsyn/A 40097-2024 tillsynsbegäran.docx", "A 40097-2024")</f>
        <v/>
      </c>
      <c r="AD37">
        <f>HYPERLINK("https://klasma.github.io/Logging_2182/tillsynsmail/A 40097-2024 tillsynsbegäran mail.docx", "A 40097-2024")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46230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46230</v>
      </c>
      <c r="F39" t="inlineStr">
        <is>
          <t>GÄVLEBORGS LÄN</t>
        </is>
      </c>
      <c r="G39" t="inlineStr">
        <is>
          <t>SÖDERHAMN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Kungsfågel</t>
        </is>
      </c>
      <c r="W39">
        <f>HYPERLINK("https://klasma.github.io/Logging_2182/artfynd/A 60322-2025 artfynd.xlsx", "A 60322-2025")</f>
        <v/>
      </c>
      <c r="X39">
        <f>HYPERLINK("https://klasma.github.io/Logging_2182/kartor/A 60322-2025 karta.png", "A 60322-2025")</f>
        <v/>
      </c>
      <c r="Y39">
        <f>HYPERLINK("https://klasma.github.io/Logging_2182/kartor_geotiff/A 60322-2025 georefererad karta.tif", "A 60322-2025")</f>
        <v/>
      </c>
      <c r="AA39">
        <f>HYPERLINK("https://klasma.github.io/Logging_2182/klagomål/A 60322-2025 FSC-klagomål.docx", "A 60322-2025")</f>
        <v/>
      </c>
      <c r="AB39">
        <f>HYPERLINK("https://klasma.github.io/Logging_2182/klagomålsmail/A 60322-2025 FSC-klagomål mail.docx", "A 60322-2025")</f>
        <v/>
      </c>
      <c r="AC39">
        <f>HYPERLINK("https://klasma.github.io/Logging_2182/tillsyn/A 60322-2025 tillsynsbegäran.docx", "A 60322-2025")</f>
        <v/>
      </c>
      <c r="AD39">
        <f>HYPERLINK("https://klasma.github.io/Logging_2182/tillsynsmail/A 60322-2025 tillsynsbegäran mail.docx", "A 60322-2025")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46230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58261-2024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45632</v>
      </c>
      <c r="E41" s="1" t="n">
        <v>46230</v>
      </c>
      <c r="F41" t="inlineStr">
        <is>
          <t>GÄVLEBORGS LÄN</t>
        </is>
      </c>
      <c r="G41" t="inlineStr">
        <is>
          <t>SÖDERHAMN</t>
        </is>
      </c>
      <c r="H41" t="inlineStr">
        <is>
          <t>Bergvik skog väst AB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HYPERLINK("https://klasma.github.io/Logging_2182/artfynd/A 58261-2024 artfynd.xlsx", "A 58261-2024")</f>
        <v/>
      </c>
      <c r="X41">
        <f>HYPERLINK("https://klasma.github.io/Logging_2182/kartor/A 58261-2024 karta.png", "A 58261-2024")</f>
        <v/>
      </c>
      <c r="Y41">
        <f>HYPERLINK("https://klasma.github.io/Logging_2182/kartor_geotiff/A 58261-2024 georefererad karta.tif", "A 58261-2024")</f>
        <v/>
      </c>
      <c r="AA41">
        <f>HYPERLINK("https://klasma.github.io/Logging_2182/klagomål/A 58261-2024 FSC-klagomål.docx", "A 58261-2024")</f>
        <v/>
      </c>
      <c r="AB41">
        <f>HYPERLINK("https://klasma.github.io/Logging_2182/klagomålsmail/A 58261-2024 FSC-klagomål mail.docx", "A 58261-2024")</f>
        <v/>
      </c>
      <c r="AC41">
        <f>HYPERLINK("https://klasma.github.io/Logging_2182/tillsyn/A 58261-2024 tillsynsbegäran.docx", "A 58261-2024")</f>
        <v/>
      </c>
      <c r="AD41">
        <f>HYPERLINK("https://klasma.github.io/Logging_2182/tillsynsmail/A 58261-2024 tillsynsbegäran mail.docx", "A 58261-2024")</f>
        <v/>
      </c>
    </row>
    <row r="42" ht="15" customHeight="1">
      <c r="A42" t="inlineStr">
        <is>
          <t>A 58077-2024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46230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Motaggsvamp</t>
        </is>
      </c>
      <c r="W42">
        <f>HYPERLINK("https://klasma.github.io/Logging_2182/artfynd/A 58077-2024 artfynd.xlsx", "A 58077-2024")</f>
        <v/>
      </c>
      <c r="X42">
        <f>HYPERLINK("https://klasma.github.io/Logging_2182/kartor/A 58077-2024 karta.png", "A 58077-2024")</f>
        <v/>
      </c>
      <c r="Y42">
        <f>HYPERLINK("https://klasma.github.io/Logging_2182/kartor_geotiff/A 58077-2024 georefererad karta.tif", "A 58077-2024")</f>
        <v/>
      </c>
      <c r="AA42">
        <f>HYPERLINK("https://klasma.github.io/Logging_2182/klagomål/A 58077-2024 FSC-klagomål.docx", "A 58077-2024")</f>
        <v/>
      </c>
      <c r="AB42">
        <f>HYPERLINK("https://klasma.github.io/Logging_2182/klagomålsmail/A 58077-2024 FSC-klagomål mail.docx", "A 58077-2024")</f>
        <v/>
      </c>
      <c r="AC42">
        <f>HYPERLINK("https://klasma.github.io/Logging_2182/tillsyn/A 58077-2024 tillsynsbegäran.docx", "A 58077-2024")</f>
        <v/>
      </c>
      <c r="AD42">
        <f>HYPERLINK("https://klasma.github.io/Logging_2182/tillsynsmail/A 58077-2024 tillsynsbegäran mail.docx", "A 58077-2024")</f>
        <v/>
      </c>
    </row>
    <row r="43" ht="15" customHeight="1">
      <c r="A43" t="inlineStr">
        <is>
          <t>A 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46230</v>
      </c>
      <c r="F43" t="inlineStr">
        <is>
          <t>GÄVLEBORGS LÄN</t>
        </is>
      </c>
      <c r="G43" t="inlineStr">
        <is>
          <t>SÖDERHAMN</t>
        </is>
      </c>
      <c r="I43" t="n">
        <v>2.9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Barkticka</t>
        </is>
      </c>
      <c r="W43">
        <f>HYPERLINK("https://klasma.github.io/Logging_2182/artfynd/A 6060-2026 artfynd.xlsx", "A 6060-2026")</f>
        <v/>
      </c>
      <c r="X43">
        <f>HYPERLINK("https://klasma.github.io/Logging_2182/kartor/A 6060-2026 karta.png", "A 6060-2026")</f>
        <v/>
      </c>
      <c r="Y43">
        <f>HYPERLINK("https://klasma.github.io/Logging_2182/kartor_geotiff/A 6060-2026 georefererad karta.tif", "A 6060-2026")</f>
        <v/>
      </c>
      <c r="AA43">
        <f>HYPERLINK("https://klasma.github.io/Logging_2182/klagomål/A 6060-2026 FSC-klagomål.docx", "A 6060-2026")</f>
        <v/>
      </c>
      <c r="AB43">
        <f>HYPERLINK("https://klasma.github.io/Logging_2182/klagomålsmail/A 6060-2026 FSC-klagomål mail.docx", "A 6060-2026")</f>
        <v/>
      </c>
      <c r="AC43">
        <f>HYPERLINK("https://klasma.github.io/Logging_2182/tillsyn/A 6060-2026 tillsynsbegäran.docx", "A 6060-2026")</f>
        <v/>
      </c>
      <c r="AD43">
        <f>HYPERLINK("https://klasma.github.io/Logging_2182/tillsynsmail/A 6060-2026 tillsynsbegäran mail.docx", "A 6060-2026")</f>
        <v/>
      </c>
    </row>
    <row r="44" ht="15" customHeight="1">
      <c r="A44" t="inlineStr">
        <is>
          <t>A 5946-2026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46230</v>
      </c>
      <c r="F44" t="inlineStr">
        <is>
          <t>GÄVLEBORGS LÄN</t>
        </is>
      </c>
      <c r="G44" t="inlineStr">
        <is>
          <t>SÖDERHAMN</t>
        </is>
      </c>
      <c r="I44" t="n">
        <v>8.800000000000001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Stor aspticka</t>
        </is>
      </c>
      <c r="W44">
        <f>HYPERLINK("https://klasma.github.io/Logging_2182/artfynd/A 5946-2026 artfynd.xlsx", "A 5946-2026")</f>
        <v/>
      </c>
      <c r="X44">
        <f>HYPERLINK("https://klasma.github.io/Logging_2182/kartor/A 5946-2026 karta.png", "A 5946-2026")</f>
        <v/>
      </c>
      <c r="Y44">
        <f>HYPERLINK("https://klasma.github.io/Logging_2182/kartor_geotiff/A 5946-2026 georefererad karta.tif", "A 5946-2026")</f>
        <v/>
      </c>
      <c r="AA44">
        <f>HYPERLINK("https://klasma.github.io/Logging_2182/klagomål/A 5946-2026 FSC-klagomål.docx", "A 5946-2026")</f>
        <v/>
      </c>
      <c r="AB44">
        <f>HYPERLINK("https://klasma.github.io/Logging_2182/klagomålsmail/A 5946-2026 FSC-klagomål mail.docx", "A 5946-2026")</f>
        <v/>
      </c>
      <c r="AC44">
        <f>HYPERLINK("https://klasma.github.io/Logging_2182/tillsyn/A 5946-2026 tillsynsbegäran.docx", "A 5946-2026")</f>
        <v/>
      </c>
      <c r="AD44">
        <f>HYPERLINK("https://klasma.github.io/Logging_2182/tillsynsmail/A 5946-2026 tillsynsbegäran mail.docx", "A 5946-2026")</f>
        <v/>
      </c>
    </row>
    <row r="45" ht="15" customHeight="1">
      <c r="A45" t="inlineStr">
        <is>
          <t>A 9284-2026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46230</v>
      </c>
      <c r="F45" t="inlineStr">
        <is>
          <t>GÄVLEBORGS LÄN</t>
        </is>
      </c>
      <c r="G45" t="inlineStr">
        <is>
          <t>SÖDERHAMN</t>
        </is>
      </c>
      <c r="I45" t="n">
        <v>0.2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HYPERLINK("https://klasma.github.io/Logging_2182/artfynd/A 9284-2026 artfynd.xlsx", "A 9284-2026")</f>
        <v/>
      </c>
      <c r="X45">
        <f>HYPERLINK("https://klasma.github.io/Logging_2182/kartor/A 9284-2026 karta.png", "A 9284-2026")</f>
        <v/>
      </c>
      <c r="Y45">
        <f>HYPERLINK("https://klasma.github.io/Logging_2182/kartor_geotiff/A 9284-2026 georefererad karta.tif", "A 9284-2026")</f>
        <v/>
      </c>
      <c r="Z45">
        <f>HYPERLINK("https://klasma.github.io/Logging_2182/knärot/A 9284-2026 karta knärot.png", "A 9284-2026")</f>
        <v/>
      </c>
      <c r="AA45">
        <f>HYPERLINK("https://klasma.github.io/Logging_2182/klagomål/A 9284-2026 FSC-klagomål.docx", "A 9284-2026")</f>
        <v/>
      </c>
      <c r="AB45">
        <f>HYPERLINK("https://klasma.github.io/Logging_2182/klagomålsmail/A 9284-2026 FSC-klagomål mail.docx", "A 9284-2026")</f>
        <v/>
      </c>
      <c r="AC45">
        <f>HYPERLINK("https://klasma.github.io/Logging_2182/tillsyn/A 9284-2026 tillsynsbegäran.docx", "A 9284-2026")</f>
        <v/>
      </c>
      <c r="AD45">
        <f>HYPERLINK("https://klasma.github.io/Logging_2182/tillsynsmail/A 9284-2026 tillsynsbegäran mail.docx", "A 9284-2026")</f>
        <v/>
      </c>
    </row>
    <row r="46" ht="15" customHeight="1">
      <c r="A46" t="inlineStr">
        <is>
          <t>A 2755-2022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44580</v>
      </c>
      <c r="E46" s="1" t="n">
        <v>46230</v>
      </c>
      <c r="F46" t="inlineStr">
        <is>
          <t>GÄVLEBORGS LÄN</t>
        </is>
      </c>
      <c r="G46" t="inlineStr">
        <is>
          <t>SÖDERHAMN</t>
        </is>
      </c>
      <c r="I46" t="n">
        <v>5.8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HYPERLINK("https://klasma.github.io/Logging_2182/artfynd/A 2755-2022 artfynd.xlsx", "A 2755-2022")</f>
        <v/>
      </c>
      <c r="X46">
        <f>HYPERLINK("https://klasma.github.io/Logging_2182/kartor/A 2755-2022 karta.png", "A 2755-2022")</f>
        <v/>
      </c>
      <c r="Y46">
        <f>HYPERLINK("https://klasma.github.io/Logging_2182/kartor_geotiff/A 2755-2022 georefererad karta.tif", "A 2755-2022")</f>
        <v/>
      </c>
      <c r="AA46">
        <f>HYPERLINK("https://klasma.github.io/Logging_2182/klagomål/A 2755-2022 FSC-klagomål.docx", "A 2755-2022")</f>
        <v/>
      </c>
      <c r="AB46">
        <f>HYPERLINK("https://klasma.github.io/Logging_2182/klagomålsmail/A 2755-2022 FSC-klagomål mail.docx", "A 2755-2022")</f>
        <v/>
      </c>
      <c r="AC46">
        <f>HYPERLINK("https://klasma.github.io/Logging_2182/tillsyn/A 2755-2022 tillsynsbegäran.docx", "A 2755-2022")</f>
        <v/>
      </c>
      <c r="AD46">
        <f>HYPERLINK("https://klasma.github.io/Logging_2182/tillsynsmail/A 2755-2022 tillsynsbegäran mail.docx", "A 2755-2022")</f>
        <v/>
      </c>
    </row>
    <row r="47" ht="15" customHeight="1">
      <c r="A47" t="inlineStr">
        <is>
          <t>A 11791-2026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46230</v>
      </c>
      <c r="F47" t="inlineStr">
        <is>
          <t>GÄVLEBORGS LÄN</t>
        </is>
      </c>
      <c r="G47" t="inlineStr">
        <is>
          <t>SÖDERHAMN</t>
        </is>
      </c>
      <c r="I47" t="n">
        <v>8.1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HYPERLINK("https://klasma.github.io/Logging_2182/artfynd/A 11791-2026 artfynd.xlsx", "A 11791-2026")</f>
        <v/>
      </c>
      <c r="X47">
        <f>HYPERLINK("https://klasma.github.io/Logging_2182/kartor/A 11791-2026 karta.png", "A 11791-2026")</f>
        <v/>
      </c>
      <c r="Y47">
        <f>HYPERLINK("https://klasma.github.io/Logging_2182/kartor_geotiff/A 11791-2026 georefererad karta.tif", "A 11791-2026")</f>
        <v/>
      </c>
      <c r="AA47">
        <f>HYPERLINK("https://klasma.github.io/Logging_2182/klagomål/A 11791-2026 FSC-klagomål.docx", "A 11791-2026")</f>
        <v/>
      </c>
      <c r="AB47">
        <f>HYPERLINK("https://klasma.github.io/Logging_2182/klagomålsmail/A 11791-2026 FSC-klagomål mail.docx", "A 11791-2026")</f>
        <v/>
      </c>
      <c r="AC47">
        <f>HYPERLINK("https://klasma.github.io/Logging_2182/tillsyn/A 11791-2026 tillsynsbegäran.docx", "A 11791-2026")</f>
        <v/>
      </c>
      <c r="AD47">
        <f>HYPERLINK("https://klasma.github.io/Logging_2182/tillsynsmail/A 11791-2026 tillsynsbegäran mail.docx", "A 11791-2026")</f>
        <v/>
      </c>
    </row>
    <row r="48" ht="15" customHeight="1">
      <c r="A48" t="inlineStr">
        <is>
          <t>A 58074-2024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46230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Doftskinn</t>
        </is>
      </c>
      <c r="W48">
        <f>HYPERLINK("https://klasma.github.io/Logging_2182/artfynd/A 58074-2024 artfynd.xlsx", "A 58074-2024")</f>
        <v/>
      </c>
      <c r="X48">
        <f>HYPERLINK("https://klasma.github.io/Logging_2182/kartor/A 58074-2024 karta.png", "A 58074-2024")</f>
        <v/>
      </c>
      <c r="Y48">
        <f>HYPERLINK("https://klasma.github.io/Logging_2182/kartor_geotiff/A 58074-2024 georefererad karta.tif", "A 58074-2024")</f>
        <v/>
      </c>
      <c r="AA48">
        <f>HYPERLINK("https://klasma.github.io/Logging_2182/klagomål/A 58074-2024 FSC-klagomål.docx", "A 58074-2024")</f>
        <v/>
      </c>
      <c r="AB48">
        <f>HYPERLINK("https://klasma.github.io/Logging_2182/klagomålsmail/A 58074-2024 FSC-klagomål mail.docx", "A 58074-2024")</f>
        <v/>
      </c>
      <c r="AC48">
        <f>HYPERLINK("https://klasma.github.io/Logging_2182/tillsyn/A 58074-2024 tillsynsbegäran.docx", "A 58074-2024")</f>
        <v/>
      </c>
      <c r="AD48">
        <f>HYPERLINK("https://klasma.github.io/Logging_2182/tillsynsmail/A 58074-2024 tillsynsbegäran mail.docx", "A 58074-2024")</f>
        <v/>
      </c>
    </row>
    <row r="49" ht="15" customHeight="1">
      <c r="A49" t="inlineStr">
        <is>
          <t>A 19700-2023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45051</v>
      </c>
      <c r="E49" s="1" t="n">
        <v>46230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Ängsblåvinge</t>
        </is>
      </c>
      <c r="W49">
        <f>HYPERLINK("https://klasma.github.io/Logging_2182/artfynd/A 19700-2023 artfynd.xlsx", "A 19700-2023")</f>
        <v/>
      </c>
      <c r="X49">
        <f>HYPERLINK("https://klasma.github.io/Logging_2182/kartor/A 19700-2023 karta.png", "A 19700-2023")</f>
        <v/>
      </c>
      <c r="Y49">
        <f>HYPERLINK("https://klasma.github.io/Logging_2182/kartor_geotiff/A 19700-2023 georefererad karta.tif", "A 19700-2023")</f>
        <v/>
      </c>
      <c r="AA49">
        <f>HYPERLINK("https://klasma.github.io/Logging_2182/klagomål/A 19700-2023 FSC-klagomål.docx", "A 19700-2023")</f>
        <v/>
      </c>
      <c r="AB49">
        <f>HYPERLINK("https://klasma.github.io/Logging_2182/klagomålsmail/A 19700-2023 FSC-klagomål mail.docx", "A 19700-2023")</f>
        <v/>
      </c>
      <c r="AC49">
        <f>HYPERLINK("https://klasma.github.io/Logging_2182/tillsyn/A 19700-2023 tillsynsbegäran.docx", "A 19700-2023")</f>
        <v/>
      </c>
      <c r="AD49">
        <f>HYPERLINK("https://klasma.github.io/Logging_2182/tillsynsmail/A 19700-2023 tillsynsbegäran mail.docx", "A 19700-2023")</f>
        <v/>
      </c>
    </row>
    <row r="50" ht="15" customHeight="1">
      <c r="A50" t="inlineStr">
        <is>
          <t>A 17412-2023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46230</v>
      </c>
      <c r="F50" t="inlineStr">
        <is>
          <t>GÄVLEBORGS LÄN</t>
        </is>
      </c>
      <c r="G50" t="inlineStr">
        <is>
          <t>SÖDERHAMN</t>
        </is>
      </c>
      <c r="I50" t="n">
        <v>4.8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Älg</t>
        </is>
      </c>
      <c r="W50">
        <f>HYPERLINK("https://klasma.github.io/Logging_2182/artfynd/A 17412-2023 artfynd.xlsx", "A 17412-2023")</f>
        <v/>
      </c>
      <c r="X50">
        <f>HYPERLINK("https://klasma.github.io/Logging_2182/kartor/A 17412-2023 karta.png", "A 17412-2023")</f>
        <v/>
      </c>
      <c r="Y50">
        <f>HYPERLINK("https://klasma.github.io/Logging_2182/kartor_geotiff/A 17412-2023 georefererad karta.tif", "A 17412-2023")</f>
        <v/>
      </c>
      <c r="AA50">
        <f>HYPERLINK("https://klasma.github.io/Logging_2182/klagomål/A 17412-2023 FSC-klagomål.docx", "A 17412-2023")</f>
        <v/>
      </c>
      <c r="AB50">
        <f>HYPERLINK("https://klasma.github.io/Logging_2182/klagomålsmail/A 17412-2023 FSC-klagomål mail.docx", "A 17412-2023")</f>
        <v/>
      </c>
      <c r="AC50">
        <f>HYPERLINK("https://klasma.github.io/Logging_2182/tillsyn/A 17412-2023 tillsynsbegäran.docx", "A 17412-2023")</f>
        <v/>
      </c>
      <c r="AD50">
        <f>HYPERLINK("https://klasma.github.io/Logging_2182/tillsynsmail/A 17412-2023 tillsynsbegäran mail.docx", "A 17412-2023")</f>
        <v/>
      </c>
    </row>
    <row r="51" ht="15" customHeight="1">
      <c r="A51" t="inlineStr">
        <is>
          <t>A 29834-2025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45825</v>
      </c>
      <c r="E51" s="1" t="n">
        <v>46230</v>
      </c>
      <c r="F51" t="inlineStr">
        <is>
          <t>GÄVLEBORGS LÄN</t>
        </is>
      </c>
      <c r="G51" t="inlineStr">
        <is>
          <t>SÖDERHAMN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HYPERLINK("https://klasma.github.io/Logging_2182/artfynd/A 29834-2025 artfynd.xlsx", "A 29834-2025")</f>
        <v/>
      </c>
      <c r="X51">
        <f>HYPERLINK("https://klasma.github.io/Logging_2182/kartor/A 29834-2025 karta.png", "A 29834-2025")</f>
        <v/>
      </c>
      <c r="Y51">
        <f>HYPERLINK("https://klasma.github.io/Logging_2182/kartor_geotiff/A 29834-2025 georefererad karta.tif", "A 29834-2025")</f>
        <v/>
      </c>
      <c r="AA51">
        <f>HYPERLINK("https://klasma.github.io/Logging_2182/klagomål/A 29834-2025 FSC-klagomål.docx", "A 29834-2025")</f>
        <v/>
      </c>
      <c r="AB51">
        <f>HYPERLINK("https://klasma.github.io/Logging_2182/klagomålsmail/A 29834-2025 FSC-klagomål mail.docx", "A 29834-2025")</f>
        <v/>
      </c>
      <c r="AC51">
        <f>HYPERLINK("https://klasma.github.io/Logging_2182/tillsyn/A 29834-2025 tillsynsbegäran.docx", "A 29834-2025")</f>
        <v/>
      </c>
      <c r="AD51">
        <f>HYPERLINK("https://klasma.github.io/Logging_2182/tillsynsmail/A 29834-2025 tillsynsbegäran mail.docx", "A 29834-2025")</f>
        <v/>
      </c>
    </row>
    <row r="52" ht="15" customHeight="1">
      <c r="A52" t="inlineStr">
        <is>
          <t>S 19-2024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45293</v>
      </c>
      <c r="E52" s="1" t="n">
        <v>46230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30.7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HYPERLINK("https://klasma.github.io/Logging_2182/artfynd/S 19-2024 artfynd.xlsx", "S 19-2024")</f>
        <v/>
      </c>
      <c r="X52">
        <f>HYPERLINK("https://klasma.github.io/Logging_2182/kartor/S 19-2024 karta.png", "S 19-2024")</f>
        <v/>
      </c>
      <c r="Y52">
        <f>HYPERLINK("https://klasma.github.io/Logging_2182/kartor_geotiff/S 19-2024 georefererad karta.tif", "S 19-2024")</f>
        <v/>
      </c>
      <c r="AA52">
        <f>HYPERLINK("https://klasma.github.io/Logging_2182/klagomål/S 19-2024 FSC-klagomål.docx", "S 19-2024")</f>
        <v/>
      </c>
      <c r="AB52">
        <f>HYPERLINK("https://klasma.github.io/Logging_2182/klagomålsmail/S 19-2024 FSC-klagomål mail.docx", "S 19-2024")</f>
        <v/>
      </c>
      <c r="AC52">
        <f>HYPERLINK("https://klasma.github.io/Logging_2182/tillsyn/S 19-2024 tillsynsbegäran.docx", "S 19-2024")</f>
        <v/>
      </c>
      <c r="AD52">
        <f>HYPERLINK("https://klasma.github.io/Logging_2182/tillsynsmail/S 19-2024 tillsynsbegäran mail.docx", "S 19-2024")</f>
        <v/>
      </c>
      <c r="AE52">
        <f>HYPERLINK("https://klasma.github.io/Logging_2182/fåglar/S 19-2024 prioriterade fågelarter.docx", "S 19-2024")</f>
        <v/>
      </c>
    </row>
    <row r="53" ht="15" customHeight="1">
      <c r="A53" t="inlineStr">
        <is>
          <t>A 64152-2021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44510</v>
      </c>
      <c r="E53" s="1" t="n">
        <v>46230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32750-2022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44783</v>
      </c>
      <c r="E54" s="1" t="n">
        <v>46230</v>
      </c>
      <c r="F54" t="inlineStr">
        <is>
          <t>GÄVLEBORGS LÄN</t>
        </is>
      </c>
      <c r="G54" t="inlineStr">
        <is>
          <t>SÖDERHAMN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63423-2021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46230</v>
      </c>
      <c r="F55" t="inlineStr">
        <is>
          <t>GÄVLEBORGS LÄN</t>
        </is>
      </c>
      <c r="G55" t="inlineStr">
        <is>
          <t>SÖDERHAMN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18503-2022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44686</v>
      </c>
      <c r="E56" s="1" t="n">
        <v>46230</v>
      </c>
      <c r="F56" t="inlineStr">
        <is>
          <t>GÄVLEBORGS LÄN</t>
        </is>
      </c>
      <c r="G56" t="inlineStr">
        <is>
          <t>SÖDERHAMN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46230</v>
      </c>
      <c r="F57" t="inlineStr">
        <is>
          <t>GÄVLEBORGS LÄN</t>
        </is>
      </c>
      <c r="G57" t="inlineStr">
        <is>
          <t>SÖDERHAMN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12358-2022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44637</v>
      </c>
      <c r="E58" s="1" t="n">
        <v>46230</v>
      </c>
      <c r="F58" t="inlineStr">
        <is>
          <t>GÄVLEBORGS LÄN</t>
        </is>
      </c>
      <c r="G58" t="inlineStr">
        <is>
          <t>SÖDERHAMN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43875-2022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44837</v>
      </c>
      <c r="E59" s="1" t="n">
        <v>46230</v>
      </c>
      <c r="F59" t="inlineStr">
        <is>
          <t>GÄVLEBORGS LÄN</t>
        </is>
      </c>
      <c r="G59" t="inlineStr">
        <is>
          <t>SÖDERHAMN</t>
        </is>
      </c>
      <c r="I59" t="n">
        <v>15.1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46230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9261-2022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44616</v>
      </c>
      <c r="E61" s="1" t="n">
        <v>46230</v>
      </c>
      <c r="F61" t="inlineStr">
        <is>
          <t>GÄVLEBORGS LÄN</t>
        </is>
      </c>
      <c r="G61" t="inlineStr">
        <is>
          <t>SÖDERHAMN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46230</v>
      </c>
      <c r="F62" t="inlineStr">
        <is>
          <t>GÄVLEBORGS LÄN</t>
        </is>
      </c>
      <c r="G62" t="inlineStr">
        <is>
          <t>SÖDERHAMN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46230</v>
      </c>
      <c r="F63" t="inlineStr">
        <is>
          <t>GÄVLEBORGS LÄN</t>
        </is>
      </c>
      <c r="G63" t="inlineStr">
        <is>
          <t>SÖDERHAMN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26940-2022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44740</v>
      </c>
      <c r="E64" s="1" t="n">
        <v>46230</v>
      </c>
      <c r="F64" t="inlineStr">
        <is>
          <t>GÄVLEBORGS LÄN</t>
        </is>
      </c>
      <c r="G64" t="inlineStr">
        <is>
          <t>SÖDERHAMN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46230</v>
      </c>
      <c r="F65" t="inlineStr">
        <is>
          <t>GÄVLEBORGS LÄN</t>
        </is>
      </c>
      <c r="G65" t="inlineStr">
        <is>
          <t>SÖDERHAMN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44487</v>
      </c>
      <c r="E66" s="1" t="n">
        <v>46230</v>
      </c>
      <c r="F66" t="inlineStr">
        <is>
          <t>GÄVLEBORGS LÄN</t>
        </is>
      </c>
      <c r="G66" t="inlineStr">
        <is>
          <t>SÖDERHAMN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46975-2021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44446</v>
      </c>
      <c r="E67" s="1" t="n">
        <v>46230</v>
      </c>
      <c r="F67" t="inlineStr">
        <is>
          <t>GÄVLEBORGS LÄN</t>
        </is>
      </c>
      <c r="G67" t="inlineStr">
        <is>
          <t>SÖDERHAMN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46230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46230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46230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46230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46230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46230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46230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46230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46230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46230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46230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46230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46230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46230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39913-2021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44417</v>
      </c>
      <c r="E82" s="1" t="n">
        <v>46230</v>
      </c>
      <c r="F82" t="inlineStr">
        <is>
          <t>GÄVLEBORGS LÄN</t>
        </is>
      </c>
      <c r="G82" t="inlineStr">
        <is>
          <t>SÖDERHAMN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46230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44907</v>
      </c>
      <c r="E84" s="1" t="n">
        <v>46230</v>
      </c>
      <c r="F84" t="inlineStr">
        <is>
          <t>GÄVLEBORGS LÄN</t>
        </is>
      </c>
      <c r="G84" t="inlineStr">
        <is>
          <t>SÖDERHAMN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62339-2023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46230</v>
      </c>
      <c r="F85" t="inlineStr">
        <is>
          <t>GÄVLEBORGS LÄN</t>
        </is>
      </c>
      <c r="G85" t="inlineStr">
        <is>
          <t>SÖDERHAMN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46230</v>
      </c>
      <c r="F86" t="inlineStr">
        <is>
          <t>GÄVLEBORGS LÄN</t>
        </is>
      </c>
      <c r="G86" t="inlineStr">
        <is>
          <t>SÖDERHAMN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29813-2023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45107</v>
      </c>
      <c r="E87" s="1" t="n">
        <v>46230</v>
      </c>
      <c r="F87" t="inlineStr">
        <is>
          <t>GÄVLEBORGS LÄN</t>
        </is>
      </c>
      <c r="G87" t="inlineStr">
        <is>
          <t>SÖDERHAMN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46230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46230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45748</v>
      </c>
      <c r="E90" s="1" t="n">
        <v>46230</v>
      </c>
      <c r="F90" t="inlineStr">
        <is>
          <t>GÄVLEBORGS LÄN</t>
        </is>
      </c>
      <c r="G90" t="inlineStr">
        <is>
          <t>SÖDERHAMN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46230</v>
      </c>
      <c r="F91" t="inlineStr">
        <is>
          <t>GÄVLEBORGS LÄN</t>
        </is>
      </c>
      <c r="G91" t="inlineStr">
        <is>
          <t>SÖDERHAMN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46230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46230</v>
      </c>
      <c r="F93" t="inlineStr">
        <is>
          <t>GÄVLEBORGS LÄN</t>
        </is>
      </c>
      <c r="G93" t="inlineStr">
        <is>
          <t>SÖDERHAMN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58544-2023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46230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46230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10.8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46230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46230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46230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46230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46230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21991-2024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46230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46230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10327-2024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46230</v>
      </c>
      <c r="F103" t="inlineStr">
        <is>
          <t>GÄVLEBORGS LÄN</t>
        </is>
      </c>
      <c r="G103" t="inlineStr">
        <is>
          <t>SÖDERHAMN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46230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16196-2025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46230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46230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45597</v>
      </c>
      <c r="E107" s="1" t="n">
        <v>46230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40736-2021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44420</v>
      </c>
      <c r="E108" s="1" t="n">
        <v>46230</v>
      </c>
      <c r="F108" t="inlineStr">
        <is>
          <t>GÄVLEBORGS LÄN</t>
        </is>
      </c>
      <c r="G108" t="inlineStr">
        <is>
          <t>SÖDERHAMN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46230</v>
      </c>
      <c r="F109" t="inlineStr">
        <is>
          <t>GÄVLEBORGS LÄN</t>
        </is>
      </c>
      <c r="G109" t="inlineStr">
        <is>
          <t>SÖDERHAMN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46230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44665</v>
      </c>
      <c r="E111" s="1" t="n">
        <v>46230</v>
      </c>
      <c r="F111" t="inlineStr">
        <is>
          <t>GÄVLEBORGS LÄN</t>
        </is>
      </c>
      <c r="G111" t="inlineStr">
        <is>
          <t>SÖDERHAMN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45252</v>
      </c>
      <c r="E112" s="1" t="n">
        <v>46230</v>
      </c>
      <c r="F112" t="inlineStr">
        <is>
          <t>GÄVLEBORGS LÄN</t>
        </is>
      </c>
      <c r="G112" t="inlineStr">
        <is>
          <t>SÖDERHAMN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49703-2023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46230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61408-2023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45264</v>
      </c>
      <c r="E114" s="1" t="n">
        <v>46230</v>
      </c>
      <c r="F114" t="inlineStr">
        <is>
          <t>GÄVLEBORGS LÄN</t>
        </is>
      </c>
      <c r="G114" t="inlineStr">
        <is>
          <t>SÖDERHAMN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34725-2022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44795</v>
      </c>
      <c r="E115" s="1" t="n">
        <v>46230</v>
      </c>
      <c r="F115" t="inlineStr">
        <is>
          <t>GÄVLEBORGS LÄN</t>
        </is>
      </c>
      <c r="G115" t="inlineStr">
        <is>
          <t>SÖDERHAMN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45425</v>
      </c>
      <c r="E116" s="1" t="n">
        <v>46230</v>
      </c>
      <c r="F116" t="inlineStr">
        <is>
          <t>GÄVLEBORGS LÄN</t>
        </is>
      </c>
      <c r="G116" t="inlineStr">
        <is>
          <t>SÖDERHAMN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18505-2024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46230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46230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58611-2023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46230</v>
      </c>
      <c r="F119" t="inlineStr">
        <is>
          <t>GÄVLEBORGS LÄN</t>
        </is>
      </c>
      <c r="G119" t="inlineStr">
        <is>
          <t>SÖDERHAMN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44703-2024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45574</v>
      </c>
      <c r="E120" s="1" t="n">
        <v>46230</v>
      </c>
      <c r="F120" t="inlineStr">
        <is>
          <t>GÄVLEBORGS LÄN</t>
        </is>
      </c>
      <c r="G120" t="inlineStr">
        <is>
          <t>SÖDERHAMN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22212-2023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46230</v>
      </c>
      <c r="F121" t="inlineStr">
        <is>
          <t>GÄVLEBORGS LÄN</t>
        </is>
      </c>
      <c r="G121" t="inlineStr">
        <is>
          <t>SÖDERHAMN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44338-2023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45188</v>
      </c>
      <c r="E122" s="1" t="n">
        <v>46230</v>
      </c>
      <c r="F122" t="inlineStr">
        <is>
          <t>GÄVLEBORGS LÄN</t>
        </is>
      </c>
      <c r="G122" t="inlineStr">
        <is>
          <t>SÖDERHAMN</t>
        </is>
      </c>
      <c r="H122" t="inlineStr">
        <is>
          <t>Kommuner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44341-2023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45188</v>
      </c>
      <c r="E123" s="1" t="n">
        <v>46230</v>
      </c>
      <c r="F123" t="inlineStr">
        <is>
          <t>GÄVLEBORGS LÄN</t>
        </is>
      </c>
      <c r="G123" t="inlineStr">
        <is>
          <t>SÖDERHAMN</t>
        </is>
      </c>
      <c r="H123" t="inlineStr">
        <is>
          <t>Kommuner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2268-2025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45673</v>
      </c>
      <c r="E124" s="1" t="n">
        <v>46230</v>
      </c>
      <c r="F124" t="inlineStr">
        <is>
          <t>GÄVLEBORGS LÄN</t>
        </is>
      </c>
      <c r="G124" t="inlineStr">
        <is>
          <t>SÖDERHAMN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45008</v>
      </c>
      <c r="E125" s="1" t="n">
        <v>46230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45108</v>
      </c>
      <c r="E126" s="1" t="n">
        <v>46230</v>
      </c>
      <c r="F126" t="inlineStr">
        <is>
          <t>GÄVLEBORGS LÄN</t>
        </is>
      </c>
      <c r="G126" t="inlineStr">
        <is>
          <t>SÖDERHAMN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29983-2023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45108</v>
      </c>
      <c r="E127" s="1" t="n">
        <v>46230</v>
      </c>
      <c r="F127" t="inlineStr">
        <is>
          <t>GÄVLEBORGS LÄN</t>
        </is>
      </c>
      <c r="G127" t="inlineStr">
        <is>
          <t>SÖDERHAMN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46230</v>
      </c>
      <c r="F128" t="inlineStr">
        <is>
          <t>GÄVLEBORGS LÄN</t>
        </is>
      </c>
      <c r="G128" t="inlineStr">
        <is>
          <t>SÖDERHAMN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45257</v>
      </c>
      <c r="E129" s="1" t="n">
        <v>46230</v>
      </c>
      <c r="F129" t="inlineStr">
        <is>
          <t>GÄVLEBORGS LÄN</t>
        </is>
      </c>
      <c r="G129" t="inlineStr">
        <is>
          <t>SÖDERHAMN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46230</v>
      </c>
      <c r="F130" t="inlineStr">
        <is>
          <t>GÄVLEBORGS LÄN</t>
        </is>
      </c>
      <c r="G130" t="inlineStr">
        <is>
          <t>SÖDERHAMN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45670</v>
      </c>
      <c r="E131" s="1" t="n">
        <v>46230</v>
      </c>
      <c r="F131" t="inlineStr">
        <is>
          <t>GÄVLEBORGS LÄN</t>
        </is>
      </c>
      <c r="G131" t="inlineStr">
        <is>
          <t>SÖDERHAMN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46230</v>
      </c>
      <c r="F132" t="inlineStr">
        <is>
          <t>GÄVLEBORGS LÄN</t>
        </is>
      </c>
      <c r="G132" t="inlineStr">
        <is>
          <t>SÖDERHAMN</t>
        </is>
      </c>
      <c r="H132" t="inlineStr">
        <is>
          <t>Kommuner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45670</v>
      </c>
      <c r="E133" s="1" t="n">
        <v>46230</v>
      </c>
      <c r="F133" t="inlineStr">
        <is>
          <t>GÄVLEBORGS LÄN</t>
        </is>
      </c>
      <c r="G133" t="inlineStr">
        <is>
          <t>SÖDERHAMN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58166-2024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46230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38355-2022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44812</v>
      </c>
      <c r="E135" s="1" t="n">
        <v>46230</v>
      </c>
      <c r="F135" t="inlineStr">
        <is>
          <t>GÄVLEBORGS LÄN</t>
        </is>
      </c>
      <c r="G135" t="inlineStr">
        <is>
          <t>SÖDERHAMN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29802-2023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46230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45666</v>
      </c>
      <c r="E137" s="1" t="n">
        <v>46230</v>
      </c>
      <c r="F137" t="inlineStr">
        <is>
          <t>GÄVLEBORGS LÄN</t>
        </is>
      </c>
      <c r="G137" t="inlineStr">
        <is>
          <t>SÖDERHAMN</t>
        </is>
      </c>
      <c r="H137" t="inlineStr">
        <is>
          <t>Kommuner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24766-2023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45084</v>
      </c>
      <c r="E138" s="1" t="n">
        <v>46230</v>
      </c>
      <c r="F138" t="inlineStr">
        <is>
          <t>GÄVLEBORGS LÄN</t>
        </is>
      </c>
      <c r="G138" t="inlineStr">
        <is>
          <t>SÖDERHAMN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45879</v>
      </c>
      <c r="E139" s="1" t="n">
        <v>46230</v>
      </c>
      <c r="F139" t="inlineStr">
        <is>
          <t>GÄVLEBORGS LÄN</t>
        </is>
      </c>
      <c r="G139" t="inlineStr">
        <is>
          <t>SÖDERHAMN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37541-2025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45879</v>
      </c>
      <c r="E140" s="1" t="n">
        <v>46230</v>
      </c>
      <c r="F140" t="inlineStr">
        <is>
          <t>GÄVLEBORGS LÄN</t>
        </is>
      </c>
      <c r="G140" t="inlineStr">
        <is>
          <t>SÖDERHAMN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46230</v>
      </c>
      <c r="F141" t="inlineStr">
        <is>
          <t>GÄVLEBORGS LÄN</t>
        </is>
      </c>
      <c r="G141" t="inlineStr">
        <is>
          <t>SÖDERHAMN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19725-2026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46135</v>
      </c>
      <c r="E142" s="1" t="n">
        <v>46230</v>
      </c>
      <c r="F142" t="inlineStr">
        <is>
          <t>GÄVLEBORGS LÄN</t>
        </is>
      </c>
      <c r="G142" t="inlineStr">
        <is>
          <t>SÖDERHAMN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19736-2026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46135</v>
      </c>
      <c r="E143" s="1" t="n">
        <v>46230</v>
      </c>
      <c r="F143" t="inlineStr">
        <is>
          <t>GÄVLEBORGS LÄN</t>
        </is>
      </c>
      <c r="G143" t="inlineStr">
        <is>
          <t>SÖDERHAMN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71645-2021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44543</v>
      </c>
      <c r="E144" s="1" t="n">
        <v>46230</v>
      </c>
      <c r="F144" t="inlineStr">
        <is>
          <t>GÄVLEBORGS LÄN</t>
        </is>
      </c>
      <c r="G144" t="inlineStr">
        <is>
          <t>SÖDERHAMN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46230</v>
      </c>
      <c r="F145" t="inlineStr">
        <is>
          <t>GÄVLEBORGS LÄN</t>
        </is>
      </c>
      <c r="G145" t="inlineStr">
        <is>
          <t>SÖDERHAMN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44826</v>
      </c>
      <c r="E146" s="1" t="n">
        <v>46230</v>
      </c>
      <c r="F146" t="inlineStr">
        <is>
          <t>GÄVLEBORGS LÄN</t>
        </is>
      </c>
      <c r="G146" t="inlineStr">
        <is>
          <t>SÖDERHAMN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46029</v>
      </c>
      <c r="E147" s="1" t="n">
        <v>46230</v>
      </c>
      <c r="F147" t="inlineStr">
        <is>
          <t>GÄVLEBORGS LÄN</t>
        </is>
      </c>
      <c r="G147" t="inlineStr">
        <is>
          <t>SÖDERHAMN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13124-2026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46230</v>
      </c>
      <c r="F148" t="inlineStr">
        <is>
          <t>GÄVLEBORGS LÄN</t>
        </is>
      </c>
      <c r="G148" t="inlineStr">
        <is>
          <t>SÖDERHAMN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13117-2026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46230</v>
      </c>
      <c r="F149" t="inlineStr">
        <is>
          <t>GÄVLEBORGS LÄN</t>
        </is>
      </c>
      <c r="G149" t="inlineStr">
        <is>
          <t>SÖDERHAMN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20107-2026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46136</v>
      </c>
      <c r="E150" s="1" t="n">
        <v>46230</v>
      </c>
      <c r="F150" t="inlineStr">
        <is>
          <t>GÄVLEBORGS LÄN</t>
        </is>
      </c>
      <c r="G150" t="inlineStr">
        <is>
          <t>SÖDERHAMN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46062</v>
      </c>
      <c r="E151" s="1" t="n">
        <v>46230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12227-2026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46087</v>
      </c>
      <c r="E152" s="1" t="n">
        <v>46230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10876-2026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46078</v>
      </c>
      <c r="E153" s="1" t="n">
        <v>46230</v>
      </c>
      <c r="F153" t="inlineStr">
        <is>
          <t>GÄVLEBORGS LÄN</t>
        </is>
      </c>
      <c r="G153" t="inlineStr">
        <is>
          <t>SÖDERHAMN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7341-2026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46230</v>
      </c>
      <c r="F154" t="inlineStr">
        <is>
          <t>GÄVLEBORGS LÄN</t>
        </is>
      </c>
      <c r="G154" t="inlineStr">
        <is>
          <t>SÖDERHAMN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39399-2025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45889</v>
      </c>
      <c r="E155" s="1" t="n">
        <v>46230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46230</v>
      </c>
      <c r="F156" t="inlineStr">
        <is>
          <t>GÄVLEBORGS LÄN</t>
        </is>
      </c>
      <c r="G156" t="inlineStr">
        <is>
          <t>SÖDERHAMN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46230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46230</v>
      </c>
      <c r="F158" t="inlineStr">
        <is>
          <t>GÄVLEBORGS LÄN</t>
        </is>
      </c>
      <c r="G158" t="inlineStr">
        <is>
          <t>SÖDERHAMN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45905</v>
      </c>
      <c r="E159" s="1" t="n">
        <v>46230</v>
      </c>
      <c r="F159" t="inlineStr">
        <is>
          <t>GÄVLEBORGS LÄN</t>
        </is>
      </c>
      <c r="G159" t="inlineStr">
        <is>
          <t>SÖDERHAMN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46230</v>
      </c>
      <c r="F160" t="inlineStr">
        <is>
          <t>GÄVLEBORGS LÄN</t>
        </is>
      </c>
      <c r="G160" t="inlineStr">
        <is>
          <t>SÖDERHAMN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46230</v>
      </c>
      <c r="F161" t="inlineStr">
        <is>
          <t>GÄVLEBORGS LÄN</t>
        </is>
      </c>
      <c r="G161" t="inlineStr">
        <is>
          <t>SÖDERHAMN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45896</v>
      </c>
      <c r="E162" s="1" t="n">
        <v>46230</v>
      </c>
      <c r="F162" t="inlineStr">
        <is>
          <t>GÄVLEBORGS LÄN</t>
        </is>
      </c>
      <c r="G162" t="inlineStr">
        <is>
          <t>SÖDERHAMN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30208-2022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44757</v>
      </c>
      <c r="E163" s="1" t="n">
        <v>46230</v>
      </c>
      <c r="F163" t="inlineStr">
        <is>
          <t>GÄVLEBORGS LÄN</t>
        </is>
      </c>
      <c r="G163" t="inlineStr">
        <is>
          <t>SÖDERHAMN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46230</v>
      </c>
      <c r="F164" t="inlineStr">
        <is>
          <t>GÄVLEBORGS LÄN</t>
        </is>
      </c>
      <c r="G164" t="inlineStr">
        <is>
          <t>SÖDERHAMN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46230</v>
      </c>
      <c r="F165" t="inlineStr">
        <is>
          <t>GÄVLEBORGS LÄN</t>
        </is>
      </c>
      <c r="G165" t="inlineStr">
        <is>
          <t>SÖDERHAMN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6792-2024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45342</v>
      </c>
      <c r="E166" s="1" t="n">
        <v>46230</v>
      </c>
      <c r="F166" t="inlineStr">
        <is>
          <t>GÄVLEBORGS LÄN</t>
        </is>
      </c>
      <c r="G166" t="inlineStr">
        <is>
          <t>SÖDERHAMN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45898</v>
      </c>
      <c r="E167" s="1" t="n">
        <v>46230</v>
      </c>
      <c r="F167" t="inlineStr">
        <is>
          <t>GÄVLEBORGS LÄN</t>
        </is>
      </c>
      <c r="G167" t="inlineStr">
        <is>
          <t>SÖDERHAMN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46230</v>
      </c>
      <c r="F168" t="inlineStr">
        <is>
          <t>GÄVLEBORGS LÄN</t>
        </is>
      </c>
      <c r="G168" t="inlineStr">
        <is>
          <t>SÖDERHAMN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46132</v>
      </c>
      <c r="E169" s="1" t="n">
        <v>46230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45791</v>
      </c>
      <c r="E170" s="1" t="n">
        <v>46230</v>
      </c>
      <c r="F170" t="inlineStr">
        <is>
          <t>GÄVLEBORGS LÄN</t>
        </is>
      </c>
      <c r="G170" t="inlineStr">
        <is>
          <t>SÖDERHAMN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48102-2022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44856</v>
      </c>
      <c r="E171" s="1" t="n">
        <v>46230</v>
      </c>
      <c r="F171" t="inlineStr">
        <is>
          <t>GÄVLEBORGS LÄN</t>
        </is>
      </c>
      <c r="G171" t="inlineStr">
        <is>
          <t>SÖDERHAMN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18459-2025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45762</v>
      </c>
      <c r="E172" s="1" t="n">
        <v>46230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7559-2025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46230</v>
      </c>
      <c r="F173" t="inlineStr">
        <is>
          <t>GÄVLEBORGS LÄN</t>
        </is>
      </c>
      <c r="G173" t="inlineStr">
        <is>
          <t>SÖDERHAMN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46041</v>
      </c>
      <c r="E174" s="1" t="n">
        <v>46230</v>
      </c>
      <c r="F174" t="inlineStr">
        <is>
          <t>GÄVLEBORGS LÄN</t>
        </is>
      </c>
      <c r="G174" t="inlineStr">
        <is>
          <t>SÖDERHAMN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45905</v>
      </c>
      <c r="E175" s="1" t="n">
        <v>46230</v>
      </c>
      <c r="F175" t="inlineStr">
        <is>
          <t>GÄVLEBORGS LÄN</t>
        </is>
      </c>
      <c r="G175" t="inlineStr">
        <is>
          <t>SÖDERHAMN</t>
        </is>
      </c>
      <c r="I175" t="n">
        <v>5.6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45698</v>
      </c>
      <c r="E176" s="1" t="n">
        <v>46230</v>
      </c>
      <c r="F176" t="inlineStr">
        <is>
          <t>GÄVLEBORGS LÄN</t>
        </is>
      </c>
      <c r="G176" t="inlineStr">
        <is>
          <t>SÖDERHAMN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45905</v>
      </c>
      <c r="E177" s="1" t="n">
        <v>46230</v>
      </c>
      <c r="F177" t="inlineStr">
        <is>
          <t>GÄVLEBORGS LÄN</t>
        </is>
      </c>
      <c r="G177" t="inlineStr">
        <is>
          <t>SÖDERHAMN</t>
        </is>
      </c>
      <c r="H177" t="inlineStr">
        <is>
          <t>Bergvik skog väst AB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46230</v>
      </c>
      <c r="F178" t="inlineStr">
        <is>
          <t>GÄVLEBORGS LÄN</t>
        </is>
      </c>
      <c r="G178" t="inlineStr">
        <is>
          <t>SÖDERHAMN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46041</v>
      </c>
      <c r="E179" s="1" t="n">
        <v>46230</v>
      </c>
      <c r="F179" t="inlineStr">
        <is>
          <t>GÄVLEBORGS LÄN</t>
        </is>
      </c>
      <c r="G179" t="inlineStr">
        <is>
          <t>SÖDERHAMN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46230</v>
      </c>
      <c r="F180" t="inlineStr">
        <is>
          <t>GÄVLEBORGS LÄN</t>
        </is>
      </c>
      <c r="G180" t="inlineStr">
        <is>
          <t>SÖDERHAMN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46044</v>
      </c>
      <c r="E181" s="1" t="n">
        <v>46230</v>
      </c>
      <c r="F181" t="inlineStr">
        <is>
          <t>GÄVLEBORGS LÄN</t>
        </is>
      </c>
      <c r="G181" t="inlineStr">
        <is>
          <t>SÖDERHAMN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46230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43375-2025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46230</v>
      </c>
      <c r="F183" t="inlineStr">
        <is>
          <t>GÄVLEBORGS LÄN</t>
        </is>
      </c>
      <c r="G183" t="inlineStr">
        <is>
          <t>SÖDERHAMN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46230</v>
      </c>
      <c r="F184" t="inlineStr">
        <is>
          <t>GÄVLEBORGS LÄN</t>
        </is>
      </c>
      <c r="G184" t="inlineStr">
        <is>
          <t>SÖDERHAMN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24933-2024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45461</v>
      </c>
      <c r="E185" s="1" t="n">
        <v>46230</v>
      </c>
      <c r="F185" t="inlineStr">
        <is>
          <t>GÄVLEBORGS LÄN</t>
        </is>
      </c>
      <c r="G185" t="inlineStr">
        <is>
          <t>SÖDERHAMN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46230</v>
      </c>
      <c r="F186" t="inlineStr">
        <is>
          <t>GÄVLEBORGS LÄN</t>
        </is>
      </c>
      <c r="G186" t="inlineStr">
        <is>
          <t>SÖDERHAMN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50059-2023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46230</v>
      </c>
      <c r="F187" t="inlineStr">
        <is>
          <t>GÄVLEBORGS LÄN</t>
        </is>
      </c>
      <c r="G187" t="inlineStr">
        <is>
          <t>SÖDERHAMN</t>
        </is>
      </c>
      <c r="I187" t="n">
        <v>11.2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45632</v>
      </c>
      <c r="E188" s="1" t="n">
        <v>46230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46230</v>
      </c>
      <c r="F189" t="inlineStr">
        <is>
          <t>GÄVLEBORGS LÄN</t>
        </is>
      </c>
      <c r="G189" t="inlineStr">
        <is>
          <t>SÖDERHAMN</t>
        </is>
      </c>
      <c r="H189" t="inlineStr">
        <is>
          <t>Bergvik skog väst AB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58156-2024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45632</v>
      </c>
      <c r="E190" s="1" t="n">
        <v>46230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45296</v>
      </c>
      <c r="E191" s="1" t="n">
        <v>46230</v>
      </c>
      <c r="F191" t="inlineStr">
        <is>
          <t>GÄVLEBORGS LÄN</t>
        </is>
      </c>
      <c r="G191" t="inlineStr">
        <is>
          <t>SÖDERHAMN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46043</v>
      </c>
      <c r="E192" s="1" t="n">
        <v>46230</v>
      </c>
      <c r="F192" t="inlineStr">
        <is>
          <t>GÄVLEBORGS LÄN</t>
        </is>
      </c>
      <c r="G192" t="inlineStr">
        <is>
          <t>SÖDERHAMN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45632</v>
      </c>
      <c r="E193" s="1" t="n">
        <v>46230</v>
      </c>
      <c r="F193" t="inlineStr">
        <is>
          <t>GÄVLEBORGS LÄN</t>
        </is>
      </c>
      <c r="G193" t="inlineStr">
        <is>
          <t>SÖDERHAMN</t>
        </is>
      </c>
      <c r="H193" t="inlineStr">
        <is>
          <t>Bergvik skog väst AB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46230</v>
      </c>
      <c r="F194" t="inlineStr">
        <is>
          <t>GÄVLEBORGS LÄN</t>
        </is>
      </c>
      <c r="G194" t="inlineStr">
        <is>
          <t>SÖDERHAMN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46230</v>
      </c>
      <c r="F195" t="inlineStr">
        <is>
          <t>GÄVLEBORGS LÄN</t>
        </is>
      </c>
      <c r="G195" t="inlineStr">
        <is>
          <t>SÖDERHAMN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28003-2025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46230</v>
      </c>
      <c r="F196" t="inlineStr">
        <is>
          <t>GÄVLEBORGS LÄN</t>
        </is>
      </c>
      <c r="G196" t="inlineStr">
        <is>
          <t>SÖDERHAMN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44662</v>
      </c>
      <c r="E197" s="1" t="n">
        <v>46230</v>
      </c>
      <c r="F197" t="inlineStr">
        <is>
          <t>GÄVLEBORGS LÄN</t>
        </is>
      </c>
      <c r="G197" t="inlineStr">
        <is>
          <t>SÖDERHAMN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15417-2025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45747</v>
      </c>
      <c r="E198" s="1" t="n">
        <v>46230</v>
      </c>
      <c r="F198" t="inlineStr">
        <is>
          <t>GÄVLEBORGS LÄN</t>
        </is>
      </c>
      <c r="G198" t="inlineStr">
        <is>
          <t>SÖDERHAMN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40793-2024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45558</v>
      </c>
      <c r="E199" s="1" t="n">
        <v>46230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43395-2023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45183</v>
      </c>
      <c r="E200" s="1" t="n">
        <v>46230</v>
      </c>
      <c r="F200" t="inlineStr">
        <is>
          <t>GÄVLEBORGS LÄN</t>
        </is>
      </c>
      <c r="G200" t="inlineStr">
        <is>
          <t>SÖDERHAMN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45342</v>
      </c>
      <c r="E201" s="1" t="n">
        <v>46230</v>
      </c>
      <c r="F201" t="inlineStr">
        <is>
          <t>GÄVLEBORGS LÄN</t>
        </is>
      </c>
      <c r="G201" t="inlineStr">
        <is>
          <t>SÖDERHAMN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45960</v>
      </c>
      <c r="E202" s="1" t="n">
        <v>46230</v>
      </c>
      <c r="F202" t="inlineStr">
        <is>
          <t>GÄVLEBORGS LÄN</t>
        </is>
      </c>
      <c r="G202" t="inlineStr">
        <is>
          <t>SÖDERHAMN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46230</v>
      </c>
      <c r="F203" t="inlineStr">
        <is>
          <t>GÄVLEBORGS LÄN</t>
        </is>
      </c>
      <c r="G203" t="inlineStr">
        <is>
          <t>SÖDERHAMN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45929</v>
      </c>
      <c r="E204" s="1" t="n">
        <v>46230</v>
      </c>
      <c r="F204" t="inlineStr">
        <is>
          <t>GÄVLEBORGS LÄN</t>
        </is>
      </c>
      <c r="G204" t="inlineStr">
        <is>
          <t>SÖDERHAMN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61680-2023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45265</v>
      </c>
      <c r="E205" s="1" t="n">
        <v>46230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46230</v>
      </c>
      <c r="F206" t="inlineStr">
        <is>
          <t>GÄVLEBORGS LÄN</t>
        </is>
      </c>
      <c r="G206" t="inlineStr">
        <is>
          <t>SÖDERHAMN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12240-2026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46087</v>
      </c>
      <c r="E207" s="1" t="n">
        <v>46230</v>
      </c>
      <c r="F207" t="inlineStr">
        <is>
          <t>GÄVLEBORGS LÄN</t>
        </is>
      </c>
      <c r="G207" t="inlineStr">
        <is>
          <t>SÖDERHAMN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46024</v>
      </c>
      <c r="E208" s="1" t="n">
        <v>46230</v>
      </c>
      <c r="F208" t="inlineStr">
        <is>
          <t>GÄVLEBORGS LÄN</t>
        </is>
      </c>
      <c r="G208" t="inlineStr">
        <is>
          <t>SÖDERHAMN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64138-2023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45279</v>
      </c>
      <c r="E209" s="1" t="n">
        <v>46230</v>
      </c>
      <c r="F209" t="inlineStr">
        <is>
          <t>GÄVLEBORGS LÄN</t>
        </is>
      </c>
      <c r="G209" t="inlineStr">
        <is>
          <t>SÖDERHAMN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13661-2026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46097</v>
      </c>
      <c r="E210" s="1" t="n">
        <v>46230</v>
      </c>
      <c r="F210" t="inlineStr">
        <is>
          <t>GÄVLEBORGS LÄN</t>
        </is>
      </c>
      <c r="G210" t="inlineStr">
        <is>
          <t>SÖDERHAMN</t>
        </is>
      </c>
      <c r="I210" t="n">
        <v>14.2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46006-2024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46230</v>
      </c>
      <c r="F211" t="inlineStr">
        <is>
          <t>GÄVLEBORGS LÄN</t>
        </is>
      </c>
      <c r="G211" t="inlineStr">
        <is>
          <t>SÖDERHAMN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20595-2026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46230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3.6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49935-2024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45597</v>
      </c>
      <c r="E213" s="1" t="n">
        <v>46230</v>
      </c>
      <c r="F213" t="inlineStr">
        <is>
          <t>GÄVLEBORGS LÄN</t>
        </is>
      </c>
      <c r="G213" t="inlineStr">
        <is>
          <t>SÖDERHAMN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46230</v>
      </c>
      <c r="F214" t="inlineStr">
        <is>
          <t>GÄVLEBORGS LÄN</t>
        </is>
      </c>
      <c r="G214" t="inlineStr">
        <is>
          <t>SÖDERHAMN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46230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46230</v>
      </c>
      <c r="F216" t="inlineStr">
        <is>
          <t>GÄVLEBORGS LÄN</t>
        </is>
      </c>
      <c r="G216" t="inlineStr">
        <is>
          <t>SÖDERHAMN</t>
        </is>
      </c>
      <c r="H216" t="inlineStr">
        <is>
          <t>Bergvik skog väst AB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45937</v>
      </c>
      <c r="E217" s="1" t="n">
        <v>46230</v>
      </c>
      <c r="F217" t="inlineStr">
        <is>
          <t>GÄVLEBORGS LÄN</t>
        </is>
      </c>
      <c r="G217" t="inlineStr">
        <is>
          <t>SÖDERHAMN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46230</v>
      </c>
      <c r="F218" t="inlineStr">
        <is>
          <t>GÄVLEBORGS LÄN</t>
        </is>
      </c>
      <c r="G218" t="inlineStr">
        <is>
          <t>SÖDERHAMN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46230</v>
      </c>
      <c r="F219" t="inlineStr">
        <is>
          <t>GÄVLEBORGS LÄN</t>
        </is>
      </c>
      <c r="G219" t="inlineStr">
        <is>
          <t>SÖDERHAMN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49532-2025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45939</v>
      </c>
      <c r="E220" s="1" t="n">
        <v>46230</v>
      </c>
      <c r="F220" t="inlineStr">
        <is>
          <t>GÄVLEBORGS LÄN</t>
        </is>
      </c>
      <c r="G220" t="inlineStr">
        <is>
          <t>SÖDERHAMN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59922-2023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46230</v>
      </c>
      <c r="F221" t="inlineStr">
        <is>
          <t>GÄVLEBORGS LÄN</t>
        </is>
      </c>
      <c r="G221" t="inlineStr">
        <is>
          <t>SÖDERHAMN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44837</v>
      </c>
      <c r="E222" s="1" t="n">
        <v>46230</v>
      </c>
      <c r="F222" t="inlineStr">
        <is>
          <t>GÄVLEBORGS LÄN</t>
        </is>
      </c>
      <c r="G222" t="inlineStr">
        <is>
          <t>SÖDERHAMN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46230</v>
      </c>
      <c r="F223" t="inlineStr">
        <is>
          <t>GÄVLEBORGS LÄN</t>
        </is>
      </c>
      <c r="G223" t="inlineStr">
        <is>
          <t>SÖDERHAMN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46098</v>
      </c>
      <c r="E224" s="1" t="n">
        <v>46230</v>
      </c>
      <c r="F224" t="inlineStr">
        <is>
          <t>GÄVLEBORGS LÄN</t>
        </is>
      </c>
      <c r="G224" t="inlineStr">
        <is>
          <t>SÖDERHAMN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42265-2024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46230</v>
      </c>
      <c r="F225" t="inlineStr">
        <is>
          <t>GÄVLEBORGS LÄN</t>
        </is>
      </c>
      <c r="G225" t="inlineStr">
        <is>
          <t>SÖDERHAMN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14321-2024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45393</v>
      </c>
      <c r="E226" s="1" t="n">
        <v>46230</v>
      </c>
      <c r="F226" t="inlineStr">
        <is>
          <t>GÄVLEBORGS LÄN</t>
        </is>
      </c>
      <c r="G226" t="inlineStr">
        <is>
          <t>SÖDERHAMN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45943</v>
      </c>
      <c r="E227" s="1" t="n">
        <v>46230</v>
      </c>
      <c r="F227" t="inlineStr">
        <is>
          <t>GÄVLEBORGS LÄN</t>
        </is>
      </c>
      <c r="G227" t="inlineStr">
        <is>
          <t>SÖDERHAMN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56502-2023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46230</v>
      </c>
      <c r="F228" t="inlineStr">
        <is>
          <t>GÄVLEBORGS LÄN</t>
        </is>
      </c>
      <c r="G228" t="inlineStr">
        <is>
          <t>SÖDERHAMN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50246-2025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45944</v>
      </c>
      <c r="E229" s="1" t="n">
        <v>46230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46230</v>
      </c>
      <c r="F230" t="inlineStr">
        <is>
          <t>GÄVLEBORGS LÄN</t>
        </is>
      </c>
      <c r="G230" t="inlineStr">
        <is>
          <t>SÖDERHAMN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17517-2025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46230</v>
      </c>
      <c r="F231" t="inlineStr">
        <is>
          <t>GÄVLEBORGS LÄN</t>
        </is>
      </c>
      <c r="G231" t="inlineStr">
        <is>
          <t>SÖDERHAMN</t>
        </is>
      </c>
      <c r="H231" t="inlineStr">
        <is>
          <t>Kommuner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46230</v>
      </c>
      <c r="F232" t="inlineStr">
        <is>
          <t>GÄVLEBORGS LÄN</t>
        </is>
      </c>
      <c r="G232" t="inlineStr">
        <is>
          <t>SÖDERHAMN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20934-2026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46230</v>
      </c>
      <c r="F233" t="inlineStr">
        <is>
          <t>GÄVLEBORGS LÄN</t>
        </is>
      </c>
      <c r="G233" t="inlineStr">
        <is>
          <t>SÖDERHAMN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21003-2026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46230</v>
      </c>
      <c r="F234" t="inlineStr">
        <is>
          <t>GÄVLEBORGS LÄN</t>
        </is>
      </c>
      <c r="G234" t="inlineStr">
        <is>
          <t>SÖDERHAMN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38079-2024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46230</v>
      </c>
      <c r="F235" t="inlineStr">
        <is>
          <t>GÄVLEBORGS LÄN</t>
        </is>
      </c>
      <c r="G235" t="inlineStr">
        <is>
          <t>SÖDERHAMN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31916-2024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45510</v>
      </c>
      <c r="E236" s="1" t="n">
        <v>46230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45754</v>
      </c>
      <c r="E237" s="1" t="n">
        <v>46230</v>
      </c>
      <c r="F237" t="inlineStr">
        <is>
          <t>GÄVLEBORGS LÄN</t>
        </is>
      </c>
      <c r="G237" t="inlineStr">
        <is>
          <t>SÖDERHAMN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46146</v>
      </c>
      <c r="E238" s="1" t="n">
        <v>46230</v>
      </c>
      <c r="F238" t="inlineStr">
        <is>
          <t>GÄVLEBORGS LÄN</t>
        </is>
      </c>
      <c r="G238" t="inlineStr">
        <is>
          <t>SÖDERHAMN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55765-2025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45972</v>
      </c>
      <c r="E239" s="1" t="n">
        <v>46230</v>
      </c>
      <c r="F239" t="inlineStr">
        <is>
          <t>GÄVLEBORGS LÄN</t>
        </is>
      </c>
      <c r="G239" t="inlineStr">
        <is>
          <t>SÖDERHAMN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46024</v>
      </c>
      <c r="E240" s="1" t="n">
        <v>46230</v>
      </c>
      <c r="F240" t="inlineStr">
        <is>
          <t>GÄVLEBORGS LÄN</t>
        </is>
      </c>
      <c r="G240" t="inlineStr">
        <is>
          <t>SÖDERHAMN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14850-2024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46230</v>
      </c>
      <c r="F241" t="inlineStr">
        <is>
          <t>GÄVLEBORGS LÄN</t>
        </is>
      </c>
      <c r="G241" t="inlineStr">
        <is>
          <t>SÖDERHAMN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52494-2025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45954</v>
      </c>
      <c r="E242" s="1" t="n">
        <v>46230</v>
      </c>
      <c r="F242" t="inlineStr">
        <is>
          <t>GÄVLEBORGS LÄN</t>
        </is>
      </c>
      <c r="G242" t="inlineStr">
        <is>
          <t>SÖDERHAMN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45548</v>
      </c>
      <c r="E243" s="1" t="n">
        <v>46230</v>
      </c>
      <c r="F243" t="inlineStr">
        <is>
          <t>GÄVLEBORGS LÄN</t>
        </is>
      </c>
      <c r="G243" t="inlineStr">
        <is>
          <t>SÖDERHAMN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45957</v>
      </c>
      <c r="E244" s="1" t="n">
        <v>46230</v>
      </c>
      <c r="F244" t="inlineStr">
        <is>
          <t>GÄVLEBORGS LÄN</t>
        </is>
      </c>
      <c r="G244" t="inlineStr">
        <is>
          <t>SÖDERHAMN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45957</v>
      </c>
      <c r="E245" s="1" t="n">
        <v>46230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21385-2026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46147</v>
      </c>
      <c r="E246" s="1" t="n">
        <v>46230</v>
      </c>
      <c r="F246" t="inlineStr">
        <is>
          <t>GÄVLEBORGS LÄN</t>
        </is>
      </c>
      <c r="G246" t="inlineStr">
        <is>
          <t>SÖDERHAMN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46147</v>
      </c>
      <c r="E247" s="1" t="n">
        <v>46230</v>
      </c>
      <c r="F247" t="inlineStr">
        <is>
          <t>GÄVLEBORGS LÄN</t>
        </is>
      </c>
      <c r="G247" t="inlineStr">
        <is>
          <t>SÖDERHAMN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46141</v>
      </c>
      <c r="E248" s="1" t="n">
        <v>46230</v>
      </c>
      <c r="F248" t="inlineStr">
        <is>
          <t>GÄVLEBORGS LÄN</t>
        </is>
      </c>
      <c r="G248" t="inlineStr">
        <is>
          <t>SÖDERHAMN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46146</v>
      </c>
      <c r="E249" s="1" t="n">
        <v>46230</v>
      </c>
      <c r="F249" t="inlineStr">
        <is>
          <t>GÄVLEBORGS LÄN</t>
        </is>
      </c>
      <c r="G249" t="inlineStr">
        <is>
          <t>SÖDERHAMN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46230</v>
      </c>
      <c r="F250" t="inlineStr">
        <is>
          <t>GÄVLEBORGS LÄN</t>
        </is>
      </c>
      <c r="G250" t="inlineStr">
        <is>
          <t>SÖDERHAMN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53628-2025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46230</v>
      </c>
      <c r="F251" t="inlineStr">
        <is>
          <t>GÄVLEBORGS LÄN</t>
        </is>
      </c>
      <c r="G251" t="inlineStr">
        <is>
          <t>SÖDERHAMN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53729-2025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45960</v>
      </c>
      <c r="E252" s="1" t="n">
        <v>46230</v>
      </c>
      <c r="F252" t="inlineStr">
        <is>
          <t>GÄVLEBORGS LÄN</t>
        </is>
      </c>
      <c r="G252" t="inlineStr">
        <is>
          <t>SÖDERHAMN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45426</v>
      </c>
      <c r="E253" s="1" t="n">
        <v>46230</v>
      </c>
      <c r="F253" t="inlineStr">
        <is>
          <t>GÄVLEBORGS LÄN</t>
        </is>
      </c>
      <c r="G253" t="inlineStr">
        <is>
          <t>SÖDERHAMN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49959-2024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45597</v>
      </c>
      <c r="E254" s="1" t="n">
        <v>46230</v>
      </c>
      <c r="F254" t="inlineStr">
        <is>
          <t>GÄVLEBORGS LÄN</t>
        </is>
      </c>
      <c r="G254" t="inlineStr">
        <is>
          <t>SÖDERHAMN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45960</v>
      </c>
      <c r="E255" s="1" t="n">
        <v>46230</v>
      </c>
      <c r="F255" t="inlineStr">
        <is>
          <t>GÄVLEBORGS LÄN</t>
        </is>
      </c>
      <c r="G255" t="inlineStr">
        <is>
          <t>SÖDERHAMN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45960</v>
      </c>
      <c r="E256" s="1" t="n">
        <v>46230</v>
      </c>
      <c r="F256" t="inlineStr">
        <is>
          <t>GÄVLEBORGS LÄN</t>
        </is>
      </c>
      <c r="G256" t="inlineStr">
        <is>
          <t>SÖDERHAMN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46230</v>
      </c>
      <c r="F257" t="inlineStr">
        <is>
          <t>GÄVLEBORGS LÄN</t>
        </is>
      </c>
      <c r="G257" t="inlineStr">
        <is>
          <t>SÖDERHAMN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21699-2026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46230</v>
      </c>
      <c r="F258" t="inlineStr">
        <is>
          <t>GÄVLEBORGS LÄN</t>
        </is>
      </c>
      <c r="G258" t="inlineStr">
        <is>
          <t>SÖDERHAMN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27130-2026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46230</v>
      </c>
      <c r="F259" t="inlineStr">
        <is>
          <t>GÄVLEBORGS LÄN</t>
        </is>
      </c>
      <c r="G259" t="inlineStr">
        <is>
          <t>SÖDERHAMN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21644-2026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46230</v>
      </c>
      <c r="F260" t="inlineStr">
        <is>
          <t>GÄVLEBORGS LÄN</t>
        </is>
      </c>
      <c r="G260" t="inlineStr">
        <is>
          <t>SÖDERHAMN</t>
        </is>
      </c>
      <c r="H260" t="inlineStr">
        <is>
          <t>Bergvik skog väst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46230</v>
      </c>
      <c r="F261" t="inlineStr">
        <is>
          <t>GÄVLEBORGS LÄN</t>
        </is>
      </c>
      <c r="G261" t="inlineStr">
        <is>
          <t>SÖDERHAMN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46230</v>
      </c>
      <c r="F262" t="inlineStr">
        <is>
          <t>GÄVLEBORGS LÄN</t>
        </is>
      </c>
      <c r="G262" t="inlineStr">
        <is>
          <t>SÖDERHAMN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55058-2025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46230</v>
      </c>
      <c r="F263" t="inlineStr">
        <is>
          <t>GÄVLEBORGS LÄN</t>
        </is>
      </c>
      <c r="G263" t="inlineStr">
        <is>
          <t>SÖDERHAMN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46230</v>
      </c>
      <c r="F264" t="inlineStr">
        <is>
          <t>GÄVLEBORGS LÄN</t>
        </is>
      </c>
      <c r="G264" t="inlineStr">
        <is>
          <t>SÖDERHAMN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45966</v>
      </c>
      <c r="E265" s="1" t="n">
        <v>46230</v>
      </c>
      <c r="F265" t="inlineStr">
        <is>
          <t>GÄVLEBORGS LÄN</t>
        </is>
      </c>
      <c r="G265" t="inlineStr">
        <is>
          <t>SÖDERHAMN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46148</v>
      </c>
      <c r="E266" s="1" t="n">
        <v>46230</v>
      </c>
      <c r="F266" t="inlineStr">
        <is>
          <t>GÄVLEBORGS LÄN</t>
        </is>
      </c>
      <c r="G266" t="inlineStr">
        <is>
          <t>SÖDERHAMN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55401-2025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45971</v>
      </c>
      <c r="E267" s="1" t="n">
        <v>46230</v>
      </c>
      <c r="F267" t="inlineStr">
        <is>
          <t>GÄVLEBORGS LÄN</t>
        </is>
      </c>
      <c r="G267" t="inlineStr">
        <is>
          <t>SÖDERHAMN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18135-2025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45761</v>
      </c>
      <c r="E268" s="1" t="n">
        <v>46230</v>
      </c>
      <c r="F268" t="inlineStr">
        <is>
          <t>GÄVLEBORGS LÄN</t>
        </is>
      </c>
      <c r="G268" t="inlineStr">
        <is>
          <t>SÖDERHAMN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46230</v>
      </c>
      <c r="F269" t="inlineStr">
        <is>
          <t>GÄVLEBORGS LÄN</t>
        </is>
      </c>
      <c r="G269" t="inlineStr">
        <is>
          <t>SÖDERHAMN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55711-2025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45972</v>
      </c>
      <c r="E270" s="1" t="n">
        <v>46230</v>
      </c>
      <c r="F270" t="inlineStr">
        <is>
          <t>GÄVLEBORGS LÄN</t>
        </is>
      </c>
      <c r="G270" t="inlineStr">
        <is>
          <t>SÖDERHAMN</t>
        </is>
      </c>
      <c r="H270" t="inlineStr">
        <is>
          <t>Bergvik skog väst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55730-2025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45972</v>
      </c>
      <c r="E271" s="1" t="n">
        <v>46230</v>
      </c>
      <c r="F271" t="inlineStr">
        <is>
          <t>GÄVLEBORGS LÄN</t>
        </is>
      </c>
      <c r="G271" t="inlineStr">
        <is>
          <t>SÖDERHAMN</t>
        </is>
      </c>
      <c r="H271" t="inlineStr">
        <is>
          <t>Bergvik skog väst AB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45754</v>
      </c>
      <c r="E272" s="1" t="n">
        <v>46230</v>
      </c>
      <c r="F272" t="inlineStr">
        <is>
          <t>GÄVLEBORGS LÄN</t>
        </is>
      </c>
      <c r="G272" t="inlineStr">
        <is>
          <t>SÖDERHAMN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15635-2025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45748</v>
      </c>
      <c r="E273" s="1" t="n">
        <v>46230</v>
      </c>
      <c r="F273" t="inlineStr">
        <is>
          <t>GÄVLEBORGS LÄN</t>
        </is>
      </c>
      <c r="G273" t="inlineStr">
        <is>
          <t>SÖDERHAMN</t>
        </is>
      </c>
      <c r="H273" t="inlineStr">
        <is>
          <t>Kommuner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21694-2026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46230</v>
      </c>
      <c r="F274" t="inlineStr">
        <is>
          <t>GÄVLEBORGS LÄN</t>
        </is>
      </c>
      <c r="G274" t="inlineStr">
        <is>
          <t>SÖDERHAMN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45670</v>
      </c>
      <c r="E275" s="1" t="n">
        <v>46230</v>
      </c>
      <c r="F275" t="inlineStr">
        <is>
          <t>GÄVLEBORGS LÄN</t>
        </is>
      </c>
      <c r="G275" t="inlineStr">
        <is>
          <t>SÖDERHAMN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21548-2026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46148</v>
      </c>
      <c r="E276" s="1" t="n">
        <v>46230</v>
      </c>
      <c r="F276" t="inlineStr">
        <is>
          <t>GÄVLEBORGS LÄN</t>
        </is>
      </c>
      <c r="G276" t="inlineStr">
        <is>
          <t>SÖDERHAMN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34752-2024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45526</v>
      </c>
      <c r="E277" s="1" t="n">
        <v>46230</v>
      </c>
      <c r="F277" t="inlineStr">
        <is>
          <t>GÄVLEBORGS LÄN</t>
        </is>
      </c>
      <c r="G277" t="inlineStr">
        <is>
          <t>SÖDERHAMN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46149</v>
      </c>
      <c r="E278" s="1" t="n">
        <v>46230</v>
      </c>
      <c r="F278" t="inlineStr">
        <is>
          <t>GÄVLEBORGS LÄN</t>
        </is>
      </c>
      <c r="G278" t="inlineStr">
        <is>
          <t>SÖDERHAMN</t>
        </is>
      </c>
      <c r="I278" t="n">
        <v>6.2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49765-2024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46230</v>
      </c>
      <c r="F279" t="inlineStr">
        <is>
          <t>GÄVLEBORGS LÄN</t>
        </is>
      </c>
      <c r="G279" t="inlineStr">
        <is>
          <t>SÖDERHAMN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46087</v>
      </c>
      <c r="E280" s="1" t="n">
        <v>46230</v>
      </c>
      <c r="F280" t="inlineStr">
        <is>
          <t>GÄVLEBORGS LÄN</t>
        </is>
      </c>
      <c r="G280" t="inlineStr">
        <is>
          <t>SÖDERHAMN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46230</v>
      </c>
      <c r="F281" t="inlineStr">
        <is>
          <t>GÄVLEBORGS LÄN</t>
        </is>
      </c>
      <c r="G281" t="inlineStr">
        <is>
          <t>SÖDERHAMN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44938</v>
      </c>
      <c r="E282" s="1" t="n">
        <v>46230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46230</v>
      </c>
      <c r="F283" t="inlineStr">
        <is>
          <t>GÄVLEBORGS LÄN</t>
        </is>
      </c>
      <c r="G283" t="inlineStr">
        <is>
          <t>SÖDERHAMN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45978</v>
      </c>
      <c r="E284" s="1" t="n">
        <v>46230</v>
      </c>
      <c r="F284" t="inlineStr">
        <is>
          <t>GÄVLEBORGS LÄN</t>
        </is>
      </c>
      <c r="G284" t="inlineStr">
        <is>
          <t>SÖDERHAMN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53918-2025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45961</v>
      </c>
      <c r="E285" s="1" t="n">
        <v>46230</v>
      </c>
      <c r="F285" t="inlineStr">
        <is>
          <t>GÄVLEBORGS LÄN</t>
        </is>
      </c>
      <c r="G285" t="inlineStr">
        <is>
          <t>SÖDERHAMN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57085-2025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46230</v>
      </c>
      <c r="F286" t="inlineStr">
        <is>
          <t>GÄVLEBORGS LÄN</t>
        </is>
      </c>
      <c r="G286" t="inlineStr">
        <is>
          <t>SÖDERHAMN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46230</v>
      </c>
      <c r="F287" t="inlineStr">
        <is>
          <t>GÄVLEBORGS LÄN</t>
        </is>
      </c>
      <c r="G287" t="inlineStr">
        <is>
          <t>SÖDERHAMN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57175-2025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46230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56946-2025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46230</v>
      </c>
      <c r="F289" t="inlineStr">
        <is>
          <t>GÄVLEBORGS LÄN</t>
        </is>
      </c>
      <c r="G289" t="inlineStr">
        <is>
          <t>SÖDERHAMN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7799-2025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46230</v>
      </c>
      <c r="F290" t="inlineStr">
        <is>
          <t>GÄVLEBORGS LÄN</t>
        </is>
      </c>
      <c r="G290" t="inlineStr">
        <is>
          <t>SÖDERHAMN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46230</v>
      </c>
      <c r="F291" t="inlineStr">
        <is>
          <t>GÄVLEBORGS LÄN</t>
        </is>
      </c>
      <c r="G291" t="inlineStr">
        <is>
          <t>SÖDERHAMN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58215-2025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46230</v>
      </c>
      <c r="F292" t="inlineStr">
        <is>
          <t>GÄVLEBORGS LÄN</t>
        </is>
      </c>
      <c r="G292" t="inlineStr">
        <is>
          <t>SÖDERHAMN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45982</v>
      </c>
      <c r="E293" s="1" t="n">
        <v>46230</v>
      </c>
      <c r="F293" t="inlineStr">
        <is>
          <t>GÄVLEBORGS LÄN</t>
        </is>
      </c>
      <c r="G293" t="inlineStr">
        <is>
          <t>SÖDERHAMN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46230</v>
      </c>
      <c r="F294" t="inlineStr">
        <is>
          <t>GÄVLEBORGS LÄN</t>
        </is>
      </c>
      <c r="G294" t="inlineStr">
        <is>
          <t>SÖDERHAMN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58069-2025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45982</v>
      </c>
      <c r="E295" s="1" t="n">
        <v>46230</v>
      </c>
      <c r="F295" t="inlineStr">
        <is>
          <t>GÄVLEBORGS LÄN</t>
        </is>
      </c>
      <c r="G295" t="inlineStr">
        <is>
          <t>SÖDERHAMN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39208-2024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45548</v>
      </c>
      <c r="E296" s="1" t="n">
        <v>46230</v>
      </c>
      <c r="F296" t="inlineStr">
        <is>
          <t>GÄVLEBORGS LÄN</t>
        </is>
      </c>
      <c r="G296" t="inlineStr">
        <is>
          <t>SÖDERHAMN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45985</v>
      </c>
      <c r="E297" s="1" t="n">
        <v>46230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46230</v>
      </c>
      <c r="F298" t="inlineStr">
        <is>
          <t>GÄVLEBORGS LÄN</t>
        </is>
      </c>
      <c r="G298" t="inlineStr">
        <is>
          <t>SÖDERHAMN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46230</v>
      </c>
      <c r="F299" t="inlineStr">
        <is>
          <t>GÄVLEBORGS LÄN</t>
        </is>
      </c>
      <c r="G299" t="inlineStr">
        <is>
          <t>SÖDERHAMN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40745-2023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45170</v>
      </c>
      <c r="E300" s="1" t="n">
        <v>46230</v>
      </c>
      <c r="F300" t="inlineStr">
        <is>
          <t>GÄVLEBORGS LÄN</t>
        </is>
      </c>
      <c r="G300" t="inlineStr">
        <is>
          <t>SÖDERHAMN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14472-2024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45394</v>
      </c>
      <c r="E301" s="1" t="n">
        <v>46230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4557-2024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45327</v>
      </c>
      <c r="E302" s="1" t="n">
        <v>46230</v>
      </c>
      <c r="F302" t="inlineStr">
        <is>
          <t>GÄVLEBORGS LÄN</t>
        </is>
      </c>
      <c r="G302" t="inlineStr">
        <is>
          <t>SÖDERHAMN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46230</v>
      </c>
      <c r="F303" t="inlineStr">
        <is>
          <t>GÄVLEBORGS LÄN</t>
        </is>
      </c>
      <c r="G303" t="inlineStr">
        <is>
          <t>SÖDERHAMN</t>
        </is>
      </c>
      <c r="I303" t="n">
        <v>8.5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46230</v>
      </c>
      <c r="F304" t="inlineStr">
        <is>
          <t>GÄVLEBORGS LÄN</t>
        </is>
      </c>
      <c r="G304" t="inlineStr">
        <is>
          <t>SÖDERHAMN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46230</v>
      </c>
      <c r="F305" t="inlineStr">
        <is>
          <t>GÄVLEBORGS LÄN</t>
        </is>
      </c>
      <c r="G305" t="inlineStr">
        <is>
          <t>SÖDERHAMN</t>
        </is>
      </c>
      <c r="H305" t="inlineStr">
        <is>
          <t>Kommuner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46230</v>
      </c>
      <c r="F306" t="inlineStr">
        <is>
          <t>GÄVLEBORGS LÄN</t>
        </is>
      </c>
      <c r="G306" t="inlineStr">
        <is>
          <t>SÖDERHAMN</t>
        </is>
      </c>
      <c r="H306" t="inlineStr">
        <is>
          <t>Bergvik skog väst AB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45992</v>
      </c>
      <c r="E307" s="1" t="n">
        <v>46230</v>
      </c>
      <c r="F307" t="inlineStr">
        <is>
          <t>GÄVLEBORGS LÄN</t>
        </is>
      </c>
      <c r="G307" t="inlineStr">
        <is>
          <t>SÖDERHAMN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46230</v>
      </c>
      <c r="F308" t="inlineStr">
        <is>
          <t>GÄVLEBORGS LÄN</t>
        </is>
      </c>
      <c r="G308" t="inlineStr">
        <is>
          <t>SÖDERHAMN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46230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60453-2025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46230</v>
      </c>
      <c r="F310" t="inlineStr">
        <is>
          <t>GÄVLEBORGS LÄN</t>
        </is>
      </c>
      <c r="G310" t="inlineStr">
        <is>
          <t>SÖDERHAMN</t>
        </is>
      </c>
      <c r="I310" t="n">
        <v>14.1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60939-2025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45999</v>
      </c>
      <c r="E311" s="1" t="n">
        <v>46230</v>
      </c>
      <c r="F311" t="inlineStr">
        <is>
          <t>GÄVLEBORGS LÄN</t>
        </is>
      </c>
      <c r="G311" t="inlineStr">
        <is>
          <t>SÖDERHAMN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58212-2025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45985</v>
      </c>
      <c r="E312" s="1" t="n">
        <v>46230</v>
      </c>
      <c r="F312" t="inlineStr">
        <is>
          <t>GÄVLEBORGS LÄN</t>
        </is>
      </c>
      <c r="G312" t="inlineStr">
        <is>
          <t>SÖDERHAMN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46230</v>
      </c>
      <c r="F313" t="inlineStr">
        <is>
          <t>GÄVLEBORGS LÄN</t>
        </is>
      </c>
      <c r="G313" t="inlineStr">
        <is>
          <t>SÖDERHAMN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46230</v>
      </c>
      <c r="F314" t="inlineStr">
        <is>
          <t>GÄVLEBORGS LÄN</t>
        </is>
      </c>
      <c r="G314" t="inlineStr">
        <is>
          <t>SÖDERHAMN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24910-2024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45461</v>
      </c>
      <c r="E315" s="1" t="n">
        <v>46230</v>
      </c>
      <c r="F315" t="inlineStr">
        <is>
          <t>GÄVLEBORGS LÄN</t>
        </is>
      </c>
      <c r="G315" t="inlineStr">
        <is>
          <t>SÖDERHAMN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61042-2025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46230</v>
      </c>
      <c r="F316" t="inlineStr">
        <is>
          <t>GÄVLEBORGS LÄN</t>
        </is>
      </c>
      <c r="G316" t="inlineStr">
        <is>
          <t>SÖDERHAMN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61416-2025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46001</v>
      </c>
      <c r="E317" s="1" t="n">
        <v>46230</v>
      </c>
      <c r="F317" t="inlineStr">
        <is>
          <t>GÄVLEBORGS LÄN</t>
        </is>
      </c>
      <c r="G317" t="inlineStr">
        <is>
          <t>SÖDERHAMN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46230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34976-2024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45527</v>
      </c>
      <c r="E319" s="1" t="n">
        <v>46230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10138-2026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46230</v>
      </c>
      <c r="F320" t="inlineStr">
        <is>
          <t>GÄVLEBORGS LÄN</t>
        </is>
      </c>
      <c r="G320" t="inlineStr">
        <is>
          <t>SÖDERHAMN</t>
        </is>
      </c>
      <c r="I320" t="n">
        <v>5.8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46197</v>
      </c>
      <c r="E321" s="1" t="n">
        <v>46230</v>
      </c>
      <c r="F321" t="inlineStr">
        <is>
          <t>GÄVLEBORGS LÄN</t>
        </is>
      </c>
      <c r="G321" t="inlineStr">
        <is>
          <t>SÖDERHAMN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46155</v>
      </c>
      <c r="E322" s="1" t="n">
        <v>46230</v>
      </c>
      <c r="F322" t="inlineStr">
        <is>
          <t>GÄVLEBORGS LÄN</t>
        </is>
      </c>
      <c r="G322" t="inlineStr">
        <is>
          <t>SÖDERHAMN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14128-2022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44651</v>
      </c>
      <c r="E323" s="1" t="n">
        <v>46230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46007</v>
      </c>
      <c r="E324" s="1" t="n">
        <v>46230</v>
      </c>
      <c r="F324" t="inlineStr">
        <is>
          <t>GÄVLEBORGS LÄN</t>
        </is>
      </c>
      <c r="G324" t="inlineStr">
        <is>
          <t>SÖDERHAMN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16340-2023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45028</v>
      </c>
      <c r="E325" s="1" t="n">
        <v>46230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46155</v>
      </c>
      <c r="E326" s="1" t="n">
        <v>46230</v>
      </c>
      <c r="F326" t="inlineStr">
        <is>
          <t>GÄVLEBORGS LÄN</t>
        </is>
      </c>
      <c r="G326" t="inlineStr">
        <is>
          <t>SÖDERHAMN</t>
        </is>
      </c>
      <c r="H326" t="inlineStr">
        <is>
          <t>Bergvik skog väst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63431-2021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44508</v>
      </c>
      <c r="E327" s="1" t="n">
        <v>46230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39916-2021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44417</v>
      </c>
      <c r="E328" s="1" t="n">
        <v>46230</v>
      </c>
      <c r="F328" t="inlineStr">
        <is>
          <t>GÄVLEBORGS LÄN</t>
        </is>
      </c>
      <c r="G328" t="inlineStr">
        <is>
          <t>SÖDERHAMN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24083-2025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45796</v>
      </c>
      <c r="E329" s="1" t="n">
        <v>46230</v>
      </c>
      <c r="F329" t="inlineStr">
        <is>
          <t>GÄVLEBORGS LÄN</t>
        </is>
      </c>
      <c r="G329" t="inlineStr">
        <is>
          <t>SÖDERHAMN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13805-2022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44649</v>
      </c>
      <c r="E330" s="1" t="n">
        <v>46230</v>
      </c>
      <c r="F330" t="inlineStr">
        <is>
          <t>GÄVLEBORGS LÄN</t>
        </is>
      </c>
      <c r="G330" t="inlineStr">
        <is>
          <t>SÖDERHAMN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46008</v>
      </c>
      <c r="E331" s="1" t="n">
        <v>46230</v>
      </c>
      <c r="F331" t="inlineStr">
        <is>
          <t>GÄVLEBORGS LÄN</t>
        </is>
      </c>
      <c r="G331" t="inlineStr">
        <is>
          <t>SÖDERHAMN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14498-2023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45012</v>
      </c>
      <c r="E332" s="1" t="n">
        <v>46230</v>
      </c>
      <c r="F332" t="inlineStr">
        <is>
          <t>GÄVLEBORGS LÄN</t>
        </is>
      </c>
      <c r="G332" t="inlineStr">
        <is>
          <t>SÖDERHAMN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46230</v>
      </c>
      <c r="F333" t="inlineStr">
        <is>
          <t>GÄVLEBORGS LÄN</t>
        </is>
      </c>
      <c r="G333" t="inlineStr">
        <is>
          <t>SÖDERHAMN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51986-2024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45607</v>
      </c>
      <c r="E334" s="1" t="n">
        <v>46230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56933-2024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45628</v>
      </c>
      <c r="E335" s="1" t="n">
        <v>46230</v>
      </c>
      <c r="F335" t="inlineStr">
        <is>
          <t>GÄVLEBORGS LÄN</t>
        </is>
      </c>
      <c r="G335" t="inlineStr">
        <is>
          <t>SÖDERHAMN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22790-2026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46157</v>
      </c>
      <c r="E336" s="1" t="n">
        <v>46230</v>
      </c>
      <c r="F336" t="inlineStr">
        <is>
          <t>GÄVLEBORGS LÄN</t>
        </is>
      </c>
      <c r="G336" t="inlineStr">
        <is>
          <t>SÖDERHAMN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46157</v>
      </c>
      <c r="E337" s="1" t="n">
        <v>46230</v>
      </c>
      <c r="F337" t="inlineStr">
        <is>
          <t>GÄVLEBORGS LÄN</t>
        </is>
      </c>
      <c r="G337" t="inlineStr">
        <is>
          <t>SÖDERHAMN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46157</v>
      </c>
      <c r="E338" s="1" t="n">
        <v>46230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46157</v>
      </c>
      <c r="E339" s="1" t="n">
        <v>46230</v>
      </c>
      <c r="F339" t="inlineStr">
        <is>
          <t>GÄVLEBORGS LÄN</t>
        </is>
      </c>
      <c r="G339" t="inlineStr">
        <is>
          <t>SÖDERHAMN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22737-2026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46230</v>
      </c>
      <c r="F340" t="inlineStr">
        <is>
          <t>GÄVLEBORGS LÄN</t>
        </is>
      </c>
      <c r="G340" t="inlineStr">
        <is>
          <t>SÖDERHAMN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55713-2024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45622</v>
      </c>
      <c r="E341" s="1" t="n">
        <v>46230</v>
      </c>
      <c r="F341" t="inlineStr">
        <is>
          <t>GÄVLEBORGS LÄN</t>
        </is>
      </c>
      <c r="G341" t="inlineStr">
        <is>
          <t>SÖDERHAMN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55715-2024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45622</v>
      </c>
      <c r="E342" s="1" t="n">
        <v>46230</v>
      </c>
      <c r="F342" t="inlineStr">
        <is>
          <t>GÄVLEBORGS LÄN</t>
        </is>
      </c>
      <c r="G342" t="inlineStr">
        <is>
          <t>SÖDERHAMN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50842-2024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46230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42035-2024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46230</v>
      </c>
      <c r="F344" t="inlineStr">
        <is>
          <t>GÄVLEBORGS LÄN</t>
        </is>
      </c>
      <c r="G344" t="inlineStr">
        <is>
          <t>SÖDERHAMN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46157</v>
      </c>
      <c r="E345" s="1" t="n">
        <v>46230</v>
      </c>
      <c r="F345" t="inlineStr">
        <is>
          <t>GÄVLEBORGS LÄN</t>
        </is>
      </c>
      <c r="G345" t="inlineStr">
        <is>
          <t>SÖDERHAMN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46026</v>
      </c>
      <c r="E346" s="1" t="n">
        <v>46230</v>
      </c>
      <c r="F346" t="inlineStr">
        <is>
          <t>GÄVLEBORGS LÄN</t>
        </is>
      </c>
      <c r="G346" t="inlineStr">
        <is>
          <t>SÖDERHAMN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46026</v>
      </c>
      <c r="E347" s="1" t="n">
        <v>46230</v>
      </c>
      <c r="F347" t="inlineStr">
        <is>
          <t>GÄVLEBORGS LÄN</t>
        </is>
      </c>
      <c r="G347" t="inlineStr">
        <is>
          <t>SÖDERHAMN</t>
        </is>
      </c>
      <c r="I347" t="n">
        <v>12.9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22724-2026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46157</v>
      </c>
      <c r="E348" s="1" t="n">
        <v>46230</v>
      </c>
      <c r="F348" t="inlineStr">
        <is>
          <t>GÄVLEBORGS LÄN</t>
        </is>
      </c>
      <c r="G348" t="inlineStr">
        <is>
          <t>SÖDERHAMN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22726-2026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46230</v>
      </c>
      <c r="F349" t="inlineStr">
        <is>
          <t>GÄVLEBORGS LÄN</t>
        </is>
      </c>
      <c r="G349" t="inlineStr">
        <is>
          <t>SÖDERHAMN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46026</v>
      </c>
      <c r="E350" s="1" t="n">
        <v>46230</v>
      </c>
      <c r="F350" t="inlineStr">
        <is>
          <t>GÄVLEBORGS LÄN</t>
        </is>
      </c>
      <c r="G350" t="inlineStr">
        <is>
          <t>SÖDERHAMN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46101</v>
      </c>
      <c r="E351" s="1" t="n">
        <v>46230</v>
      </c>
      <c r="F351" t="inlineStr">
        <is>
          <t>GÄVLEBORGS LÄN</t>
        </is>
      </c>
      <c r="G351" t="inlineStr">
        <is>
          <t>SÖDERHAMN</t>
        </is>
      </c>
      <c r="H351" t="inlineStr">
        <is>
          <t>Bergvik skog väst AB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22727-2026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46157</v>
      </c>
      <c r="E352" s="1" t="n">
        <v>46230</v>
      </c>
      <c r="F352" t="inlineStr">
        <is>
          <t>GÄVLEBORGS LÄN</t>
        </is>
      </c>
      <c r="G352" t="inlineStr">
        <is>
          <t>SÖDERHAMN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46230</v>
      </c>
      <c r="F353" t="inlineStr">
        <is>
          <t>GÄVLEBORGS LÄN</t>
        </is>
      </c>
      <c r="G353" t="inlineStr">
        <is>
          <t>SÖDERHAMN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46026</v>
      </c>
      <c r="E354" s="1" t="n">
        <v>46230</v>
      </c>
      <c r="F354" t="inlineStr">
        <is>
          <t>GÄVLEBORGS LÄN</t>
        </is>
      </c>
      <c r="G354" t="inlineStr">
        <is>
          <t>SÖDERHAMN</t>
        </is>
      </c>
      <c r="I354" t="n">
        <v>10.8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46230</v>
      </c>
      <c r="F355" t="inlineStr">
        <is>
          <t>GÄVLEBORGS LÄN</t>
        </is>
      </c>
      <c r="G355" t="inlineStr">
        <is>
          <t>SÖDERHAMN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46030</v>
      </c>
      <c r="E356" s="1" t="n">
        <v>46230</v>
      </c>
      <c r="F356" t="inlineStr">
        <is>
          <t>GÄVLEBORGS LÄN</t>
        </is>
      </c>
      <c r="G356" t="inlineStr">
        <is>
          <t>SÖDERHAMN</t>
        </is>
      </c>
      <c r="I356" t="n">
        <v>9.1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45747</v>
      </c>
      <c r="E357" s="1" t="n">
        <v>46230</v>
      </c>
      <c r="F357" t="inlineStr">
        <is>
          <t>GÄVLEBORGS LÄN</t>
        </is>
      </c>
      <c r="G357" t="inlineStr">
        <is>
          <t>SÖDERHAMN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18431-2025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45762</v>
      </c>
      <c r="E358" s="1" t="n">
        <v>46230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7979-2025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46230</v>
      </c>
      <c r="F359" t="inlineStr">
        <is>
          <t>GÄVLEBORGS LÄN</t>
        </is>
      </c>
      <c r="G359" t="inlineStr">
        <is>
          <t>SÖDERHAMN</t>
        </is>
      </c>
      <c r="I359" t="n">
        <v>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46230</v>
      </c>
      <c r="F360" t="inlineStr">
        <is>
          <t>GÄVLEBORGS LÄN</t>
        </is>
      </c>
      <c r="G360" t="inlineStr">
        <is>
          <t>SÖDERHAMN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46230</v>
      </c>
      <c r="F361" t="inlineStr">
        <is>
          <t>GÄVLEBORGS LÄN</t>
        </is>
      </c>
      <c r="G361" t="inlineStr">
        <is>
          <t>SÖDERHAMN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46230</v>
      </c>
      <c r="F362" t="inlineStr">
        <is>
          <t>GÄVLEBORGS LÄN</t>
        </is>
      </c>
      <c r="G362" t="inlineStr">
        <is>
          <t>SÖDERHAMN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46035</v>
      </c>
      <c r="E363" s="1" t="n">
        <v>46230</v>
      </c>
      <c r="F363" t="inlineStr">
        <is>
          <t>GÄVLEBORGS LÄN</t>
        </is>
      </c>
      <c r="G363" t="inlineStr">
        <is>
          <t>SÖDERHAMN</t>
        </is>
      </c>
      <c r="I363" t="n">
        <v>12.5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46230</v>
      </c>
      <c r="F364" t="inlineStr">
        <is>
          <t>GÄVLEBORGS LÄN</t>
        </is>
      </c>
      <c r="G364" t="inlineStr">
        <is>
          <t>SÖDERHAMN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47288-2023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45202</v>
      </c>
      <c r="E365" s="1" t="n">
        <v>46230</v>
      </c>
      <c r="F365" t="inlineStr">
        <is>
          <t>GÄVLEBORGS LÄN</t>
        </is>
      </c>
      <c r="G365" t="inlineStr">
        <is>
          <t>SÖDERHAMN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46230</v>
      </c>
      <c r="F366" t="inlineStr">
        <is>
          <t>GÄVLEBORGS LÄN</t>
        </is>
      </c>
      <c r="G366" t="inlineStr">
        <is>
          <t>SÖDERHAMN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46230</v>
      </c>
      <c r="F367" t="inlineStr">
        <is>
          <t>GÄVLEBORGS LÄN</t>
        </is>
      </c>
      <c r="G367" t="inlineStr">
        <is>
          <t>SÖDERHAMN</t>
        </is>
      </c>
      <c r="I367" t="n">
        <v>9.699999999999999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51553-2024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45604</v>
      </c>
      <c r="E368" s="1" t="n">
        <v>46230</v>
      </c>
      <c r="F368" t="inlineStr">
        <is>
          <t>GÄVLEBORGS LÄN</t>
        </is>
      </c>
      <c r="G368" t="inlineStr">
        <is>
          <t>SÖDERHAMN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1990-2026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46035</v>
      </c>
      <c r="E369" s="1" t="n">
        <v>46230</v>
      </c>
      <c r="F369" t="inlineStr">
        <is>
          <t>GÄVLEBORGS LÄN</t>
        </is>
      </c>
      <c r="G369" t="inlineStr">
        <is>
          <t>SÖDERHAMN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46230</v>
      </c>
      <c r="F370" t="inlineStr">
        <is>
          <t>GÄVLEBORGS LÄN</t>
        </is>
      </c>
      <c r="G370" t="inlineStr">
        <is>
          <t>SÖDERHAMN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46230</v>
      </c>
      <c r="F371" t="inlineStr">
        <is>
          <t>GÄVLEBORGS LÄN</t>
        </is>
      </c>
      <c r="G371" t="inlineStr">
        <is>
          <t>SÖDERHAMN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46230</v>
      </c>
      <c r="F372" t="inlineStr">
        <is>
          <t>GÄVLEBORGS LÄN</t>
        </is>
      </c>
      <c r="G372" t="inlineStr">
        <is>
          <t>SÖDERHAMN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45775</v>
      </c>
      <c r="E373" s="1" t="n">
        <v>46230</v>
      </c>
      <c r="F373" t="inlineStr">
        <is>
          <t>GÄVLEBORGS LÄN</t>
        </is>
      </c>
      <c r="G373" t="inlineStr">
        <is>
          <t>SÖDERHAMN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18920-2025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45764</v>
      </c>
      <c r="E374" s="1" t="n">
        <v>46230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46037</v>
      </c>
      <c r="E375" s="1" t="n">
        <v>46230</v>
      </c>
      <c r="F375" t="inlineStr">
        <is>
          <t>GÄVLEBORGS LÄN</t>
        </is>
      </c>
      <c r="G375" t="inlineStr">
        <is>
          <t>SÖDERHAMN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25904-2024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46230</v>
      </c>
      <c r="F376" t="inlineStr">
        <is>
          <t>GÄVLEBORGS LÄN</t>
        </is>
      </c>
      <c r="G376" t="inlineStr">
        <is>
          <t>SÖDERHAMN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16106-2023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45027</v>
      </c>
      <c r="E377" s="1" t="n">
        <v>46230</v>
      </c>
      <c r="F377" t="inlineStr">
        <is>
          <t>GÄVLEBORGS LÄN</t>
        </is>
      </c>
      <c r="G377" t="inlineStr">
        <is>
          <t>SÖDERHAMN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46230</v>
      </c>
      <c r="F378" t="inlineStr">
        <is>
          <t>GÄVLEBORGS LÄN</t>
        </is>
      </c>
      <c r="G378" t="inlineStr">
        <is>
          <t>SÖDERHAMN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46230</v>
      </c>
      <c r="F379" t="inlineStr">
        <is>
          <t>GÄVLEBORGS LÄN</t>
        </is>
      </c>
      <c r="G379" t="inlineStr">
        <is>
          <t>SÖDERHAMN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46230</v>
      </c>
      <c r="F380" t="inlineStr">
        <is>
          <t>GÄVLEBORGS LÄN</t>
        </is>
      </c>
      <c r="G380" t="inlineStr">
        <is>
          <t>SÖDERHAMN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46230</v>
      </c>
      <c r="F381" t="inlineStr">
        <is>
          <t>GÄVLEBORGS LÄN</t>
        </is>
      </c>
      <c r="G381" t="inlineStr">
        <is>
          <t>SÖDERHAMN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46230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46230</v>
      </c>
      <c r="F383" t="inlineStr">
        <is>
          <t>GÄVLEBORGS LÄN</t>
        </is>
      </c>
      <c r="G383" t="inlineStr">
        <is>
          <t>SÖDERHAMN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46043</v>
      </c>
      <c r="E384" s="1" t="n">
        <v>46230</v>
      </c>
      <c r="F384" t="inlineStr">
        <is>
          <t>GÄVLEBORGS LÄN</t>
        </is>
      </c>
      <c r="G384" t="inlineStr">
        <is>
          <t>SÖDERHAMN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46230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46230</v>
      </c>
      <c r="F386" t="inlineStr">
        <is>
          <t>GÄVLEBORGS LÄN</t>
        </is>
      </c>
      <c r="G386" t="inlineStr">
        <is>
          <t>SÖDERHAMN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46045</v>
      </c>
      <c r="E387" s="1" t="n">
        <v>46230</v>
      </c>
      <c r="F387" t="inlineStr">
        <is>
          <t>GÄVLEBORGS LÄN</t>
        </is>
      </c>
      <c r="G387" t="inlineStr">
        <is>
          <t>SÖDERHAMN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23469-2026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46163</v>
      </c>
      <c r="E388" s="1" t="n">
        <v>46230</v>
      </c>
      <c r="F388" t="inlineStr">
        <is>
          <t>GÄVLEBORGS LÄN</t>
        </is>
      </c>
      <c r="G388" t="inlineStr">
        <is>
          <t>SÖDERHAMN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46230</v>
      </c>
      <c r="F389" t="inlineStr">
        <is>
          <t>GÄVLEBORGS LÄN</t>
        </is>
      </c>
      <c r="G389" t="inlineStr">
        <is>
          <t>SÖDERHAMN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20286-2023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45056</v>
      </c>
      <c r="E390" s="1" t="n">
        <v>46230</v>
      </c>
      <c r="F390" t="inlineStr">
        <is>
          <t>GÄVLEBORGS LÄN</t>
        </is>
      </c>
      <c r="G390" t="inlineStr">
        <is>
          <t>SÖDERHAMN</t>
        </is>
      </c>
      <c r="H390" t="inlineStr">
        <is>
          <t>Bergvik skog väst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46044</v>
      </c>
      <c r="E391" s="1" t="n">
        <v>46230</v>
      </c>
      <c r="F391" t="inlineStr">
        <is>
          <t>GÄVLEBORGS LÄN</t>
        </is>
      </c>
      <c r="G391" t="inlineStr">
        <is>
          <t>SÖDERHAMN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55240-2024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45621</v>
      </c>
      <c r="E392" s="1" t="n">
        <v>46230</v>
      </c>
      <c r="F392" t="inlineStr">
        <is>
          <t>GÄVLEBORGS LÄN</t>
        </is>
      </c>
      <c r="G392" t="inlineStr">
        <is>
          <t>SÖDERHAMN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46230</v>
      </c>
      <c r="F393" t="inlineStr">
        <is>
          <t>GÄVLEBORGS LÄN</t>
        </is>
      </c>
      <c r="G393" t="inlineStr">
        <is>
          <t>SÖDERHAMN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44963</v>
      </c>
      <c r="E394" s="1" t="n">
        <v>46230</v>
      </c>
      <c r="F394" t="inlineStr">
        <is>
          <t>GÄVLEBORGS LÄN</t>
        </is>
      </c>
      <c r="G394" t="inlineStr">
        <is>
          <t>SÖDERHAMN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43191-2024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45567</v>
      </c>
      <c r="E395" s="1" t="n">
        <v>46230</v>
      </c>
      <c r="F395" t="inlineStr">
        <is>
          <t>GÄVLEBORGS LÄN</t>
        </is>
      </c>
      <c r="G395" t="inlineStr">
        <is>
          <t>SÖDERHAMN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5077-2026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46230</v>
      </c>
      <c r="F396" t="inlineStr">
        <is>
          <t>GÄVLEBORGS LÄN</t>
        </is>
      </c>
      <c r="G396" t="inlineStr">
        <is>
          <t>SÖDERHAMN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16224-2025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46230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16235-2025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45750</v>
      </c>
      <c r="E398" s="1" t="n">
        <v>46230</v>
      </c>
      <c r="F398" t="inlineStr">
        <is>
          <t>GÄVLEBORGS LÄN</t>
        </is>
      </c>
      <c r="G398" t="inlineStr">
        <is>
          <t>SÖDERHAMN</t>
        </is>
      </c>
      <c r="H398" t="inlineStr">
        <is>
          <t>Kommuner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46055</v>
      </c>
      <c r="E399" s="1" t="n">
        <v>46230</v>
      </c>
      <c r="F399" t="inlineStr">
        <is>
          <t>GÄVLEBORGS LÄN</t>
        </is>
      </c>
      <c r="G399" t="inlineStr">
        <is>
          <t>SÖDERHAMN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44957</v>
      </c>
      <c r="E400" s="1" t="n">
        <v>46230</v>
      </c>
      <c r="F400" t="inlineStr">
        <is>
          <t>GÄVLEBORGS LÄN</t>
        </is>
      </c>
      <c r="G400" t="inlineStr">
        <is>
          <t>SÖDERHAMN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46230</v>
      </c>
      <c r="F401" t="inlineStr">
        <is>
          <t>GÄVLEBORGS LÄN</t>
        </is>
      </c>
      <c r="G401" t="inlineStr">
        <is>
          <t>SÖDERHAMN</t>
        </is>
      </c>
      <c r="I401" t="n">
        <v>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23470-2026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46163</v>
      </c>
      <c r="E402" s="1" t="n">
        <v>46230</v>
      </c>
      <c r="F402" t="inlineStr">
        <is>
          <t>GÄVLEBORGS LÄN</t>
        </is>
      </c>
      <c r="G402" t="inlineStr">
        <is>
          <t>SÖDERHAMN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46230</v>
      </c>
      <c r="F403" t="inlineStr">
        <is>
          <t>GÄVLEBORGS LÄN</t>
        </is>
      </c>
      <c r="G403" t="inlineStr">
        <is>
          <t>SÖDERHAMN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46230</v>
      </c>
      <c r="F404" t="inlineStr">
        <is>
          <t>GÄVLEBORGS LÄN</t>
        </is>
      </c>
      <c r="G404" t="inlineStr">
        <is>
          <t>SÖDERHAMN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23467-2026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46163</v>
      </c>
      <c r="E405" s="1" t="n">
        <v>46230</v>
      </c>
      <c r="F405" t="inlineStr">
        <is>
          <t>GÄVLEBORGS LÄN</t>
        </is>
      </c>
      <c r="G405" t="inlineStr">
        <is>
          <t>SÖDERHAMN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46055</v>
      </c>
      <c r="E406" s="1" t="n">
        <v>46230</v>
      </c>
      <c r="F406" t="inlineStr">
        <is>
          <t>GÄVLEBORGS LÄN</t>
        </is>
      </c>
      <c r="G406" t="inlineStr">
        <is>
          <t>SÖDERHAMN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46052</v>
      </c>
      <c r="E407" s="1" t="n">
        <v>46230</v>
      </c>
      <c r="F407" t="inlineStr">
        <is>
          <t>GÄVLEBORGS LÄN</t>
        </is>
      </c>
      <c r="G407" t="inlineStr">
        <is>
          <t>SÖDERHAMN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58610-2023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45251</v>
      </c>
      <c r="E408" s="1" t="n">
        <v>46230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46058</v>
      </c>
      <c r="E409" s="1" t="n">
        <v>46230</v>
      </c>
      <c r="F409" t="inlineStr">
        <is>
          <t>GÄVLEBORGS LÄN</t>
        </is>
      </c>
      <c r="G409" t="inlineStr">
        <is>
          <t>SÖDERHAMN</t>
        </is>
      </c>
      <c r="H409" t="inlineStr">
        <is>
          <t>Övriga statliga verk och myndigheter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23870-2026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46230</v>
      </c>
      <c r="F410" t="inlineStr">
        <is>
          <t>GÄVLEBORGS LÄN</t>
        </is>
      </c>
      <c r="G410" t="inlineStr">
        <is>
          <t>SÖDERHAMN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23770-2026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46164</v>
      </c>
      <c r="E411" s="1" t="n">
        <v>46230</v>
      </c>
      <c r="F411" t="inlineStr">
        <is>
          <t>GÄVLEBORGS LÄN</t>
        </is>
      </c>
      <c r="G411" t="inlineStr">
        <is>
          <t>SÖDERHAMN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46207</v>
      </c>
      <c r="E412" s="1" t="n">
        <v>46230</v>
      </c>
      <c r="F412" t="inlineStr">
        <is>
          <t>GÄVLEBORGS LÄN</t>
        </is>
      </c>
      <c r="G412" t="inlineStr">
        <is>
          <t>SÖDERHAMN</t>
        </is>
      </c>
      <c r="H412" t="inlineStr">
        <is>
          <t>Bergvik skog väst AB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23651-2026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46164</v>
      </c>
      <c r="E413" s="1" t="n">
        <v>46230</v>
      </c>
      <c r="F413" t="inlineStr">
        <is>
          <t>GÄVLEBORGS LÄN</t>
        </is>
      </c>
      <c r="G413" t="inlineStr">
        <is>
          <t>SÖDERHAMN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46063</v>
      </c>
      <c r="E414" s="1" t="n">
        <v>46230</v>
      </c>
      <c r="F414" t="inlineStr">
        <is>
          <t>GÄVLEBORGS LÄN</t>
        </is>
      </c>
      <c r="G414" t="inlineStr">
        <is>
          <t>SÖDERHAMN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7837-2026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46230</v>
      </c>
      <c r="F415" t="inlineStr">
        <is>
          <t>GÄVLEBORGS LÄN</t>
        </is>
      </c>
      <c r="G415" t="inlineStr">
        <is>
          <t>SÖDERHAMN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46230</v>
      </c>
      <c r="F416" t="inlineStr">
        <is>
          <t>GÄVLEBORGS LÄN</t>
        </is>
      </c>
      <c r="G416" t="inlineStr">
        <is>
          <t>SÖDERHAMN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7608-2026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46062</v>
      </c>
      <c r="E417" s="1" t="n">
        <v>46230</v>
      </c>
      <c r="F417" t="inlineStr">
        <is>
          <t>GÄVLEBORGS LÄN</t>
        </is>
      </c>
      <c r="G417" t="inlineStr">
        <is>
          <t>SÖDERHAMN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46230</v>
      </c>
      <c r="F418" t="inlineStr">
        <is>
          <t>GÄVLEBORGS LÄN</t>
        </is>
      </c>
      <c r="G418" t="inlineStr">
        <is>
          <t>SÖDERHAMN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57753-2023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45246</v>
      </c>
      <c r="E419" s="1" t="n">
        <v>46230</v>
      </c>
      <c r="F419" t="inlineStr">
        <is>
          <t>GÄVLEBORGS LÄN</t>
        </is>
      </c>
      <c r="G419" t="inlineStr">
        <is>
          <t>SÖDERHAMN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46063</v>
      </c>
      <c r="E420" s="1" t="n">
        <v>46230</v>
      </c>
      <c r="F420" t="inlineStr">
        <is>
          <t>GÄVLEBORGS LÄN</t>
        </is>
      </c>
      <c r="G420" t="inlineStr">
        <is>
          <t>SÖDERHAMN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23825-2026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46165</v>
      </c>
      <c r="E421" s="1" t="n">
        <v>46230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7742-2026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46062</v>
      </c>
      <c r="E422" s="1" t="n">
        <v>46230</v>
      </c>
      <c r="F422" t="inlineStr">
        <is>
          <t>GÄVLEBORGS LÄN</t>
        </is>
      </c>
      <c r="G422" t="inlineStr">
        <is>
          <t>SÖDERHAMN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46230</v>
      </c>
      <c r="F423" t="inlineStr">
        <is>
          <t>GÄVLEBORGS LÄN</t>
        </is>
      </c>
      <c r="G423" t="inlineStr">
        <is>
          <t>SÖDERHAMN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72644-2021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44546</v>
      </c>
      <c r="E424" s="1" t="n">
        <v>46230</v>
      </c>
      <c r="F424" t="inlineStr">
        <is>
          <t>GÄVLEBORGS LÄN</t>
        </is>
      </c>
      <c r="G424" t="inlineStr">
        <is>
          <t>SÖDERHAMN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46230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21283-2023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45062</v>
      </c>
      <c r="E426" s="1" t="n">
        <v>46230</v>
      </c>
      <c r="F426" t="inlineStr">
        <is>
          <t>GÄVLEBORGS LÄN</t>
        </is>
      </c>
      <c r="G426" t="inlineStr">
        <is>
          <t>SÖDERHAMN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8709-2026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46066</v>
      </c>
      <c r="E427" s="1" t="n">
        <v>46230</v>
      </c>
      <c r="F427" t="inlineStr">
        <is>
          <t>GÄVLEBORGS LÄN</t>
        </is>
      </c>
      <c r="G427" t="inlineStr">
        <is>
          <t>SÖDERHAMN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8943-2026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46069</v>
      </c>
      <c r="E428" s="1" t="n">
        <v>46230</v>
      </c>
      <c r="F428" t="inlineStr">
        <is>
          <t>GÄVLEBORGS LÄN</t>
        </is>
      </c>
      <c r="G428" t="inlineStr">
        <is>
          <t>SÖDERHAMN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8715-2026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46230</v>
      </c>
      <c r="F429" t="inlineStr">
        <is>
          <t>GÄVLEBORGS LÄN</t>
        </is>
      </c>
      <c r="G429" t="inlineStr">
        <is>
          <t>SÖDERHAMN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46230</v>
      </c>
      <c r="F430" t="inlineStr">
        <is>
          <t>GÄVLEBORGS LÄN</t>
        </is>
      </c>
      <c r="G430" t="inlineStr">
        <is>
          <t>SÖDERHAMN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8661-2026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46230</v>
      </c>
      <c r="F431" t="inlineStr">
        <is>
          <t>GÄVLEBORGS LÄN</t>
        </is>
      </c>
      <c r="G431" t="inlineStr">
        <is>
          <t>SÖDERHAMN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46230</v>
      </c>
      <c r="F432" t="inlineStr">
        <is>
          <t>GÄVLEBORGS LÄN</t>
        </is>
      </c>
      <c r="G432" t="inlineStr">
        <is>
          <t>SÖDERHAMN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46230</v>
      </c>
      <c r="F433" t="inlineStr">
        <is>
          <t>GÄVLEBORGS LÄN</t>
        </is>
      </c>
      <c r="G433" t="inlineStr">
        <is>
          <t>SÖDERHAMN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9176-2026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46070</v>
      </c>
      <c r="E434" s="1" t="n">
        <v>46230</v>
      </c>
      <c r="F434" t="inlineStr">
        <is>
          <t>GÄVLEBORGS LÄN</t>
        </is>
      </c>
      <c r="G434" t="inlineStr">
        <is>
          <t>SÖDERHAMN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46211</v>
      </c>
      <c r="E435" s="1" t="n">
        <v>46230</v>
      </c>
      <c r="F435" t="inlineStr">
        <is>
          <t>GÄVLEBORGS LÄN</t>
        </is>
      </c>
      <c r="G435" t="inlineStr">
        <is>
          <t>SÖDERHAMN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48561-2025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45936</v>
      </c>
      <c r="E436" s="1" t="n">
        <v>46230</v>
      </c>
      <c r="F436" t="inlineStr">
        <is>
          <t>GÄVLEBORGS LÄN</t>
        </is>
      </c>
      <c r="G436" t="inlineStr">
        <is>
          <t>SÖDERHAMN</t>
        </is>
      </c>
      <c r="I436" t="n">
        <v>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16472-2026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46230</v>
      </c>
      <c r="F437" t="inlineStr">
        <is>
          <t>GÄVLEBORGS LÄN</t>
        </is>
      </c>
      <c r="G437" t="inlineStr">
        <is>
          <t>SÖDERHAMN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46073</v>
      </c>
      <c r="E438" s="1" t="n">
        <v>46230</v>
      </c>
      <c r="F438" t="inlineStr">
        <is>
          <t>GÄVLEBORGS LÄN</t>
        </is>
      </c>
      <c r="G438" t="inlineStr">
        <is>
          <t>SÖDERHAMN</t>
        </is>
      </c>
      <c r="H438" t="inlineStr">
        <is>
          <t>Bergvik skog väst AB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48797-2024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45593</v>
      </c>
      <c r="E439" s="1" t="n">
        <v>46230</v>
      </c>
      <c r="F439" t="inlineStr">
        <is>
          <t>GÄVLEBORGS LÄN</t>
        </is>
      </c>
      <c r="G439" t="inlineStr">
        <is>
          <t>SÖDERHAMN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10483-2026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46077</v>
      </c>
      <c r="E440" s="1" t="n">
        <v>46230</v>
      </c>
      <c r="F440" t="inlineStr">
        <is>
          <t>GÄVLEBORGS LÄN</t>
        </is>
      </c>
      <c r="G440" t="inlineStr">
        <is>
          <t>SÖDERHAMN</t>
        </is>
      </c>
      <c r="H440" t="inlineStr">
        <is>
          <t>Kyrkan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10345-2026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46076</v>
      </c>
      <c r="E441" s="1" t="n">
        <v>46230</v>
      </c>
      <c r="F441" t="inlineStr">
        <is>
          <t>GÄVLEBORGS LÄN</t>
        </is>
      </c>
      <c r="G441" t="inlineStr">
        <is>
          <t>SÖDERHAMN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46076</v>
      </c>
      <c r="E442" s="1" t="n">
        <v>46230</v>
      </c>
      <c r="F442" t="inlineStr">
        <is>
          <t>GÄVLEBORGS LÄN</t>
        </is>
      </c>
      <c r="G442" t="inlineStr">
        <is>
          <t>SÖDERHAMN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46230</v>
      </c>
      <c r="F443" t="inlineStr">
        <is>
          <t>GÄVLEBORGS LÄN</t>
        </is>
      </c>
      <c r="G443" t="inlineStr">
        <is>
          <t>SÖDERHAMN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46035</v>
      </c>
      <c r="E444" s="1" t="n">
        <v>46230</v>
      </c>
      <c r="F444" t="inlineStr">
        <is>
          <t>GÄVLEBORGS LÄN</t>
        </is>
      </c>
      <c r="G444" t="inlineStr">
        <is>
          <t>SÖDERHAMN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46230</v>
      </c>
      <c r="F445" t="inlineStr">
        <is>
          <t>GÄVLEBORGS LÄN</t>
        </is>
      </c>
      <c r="G445" t="inlineStr">
        <is>
          <t>SÖDERHAMN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46230</v>
      </c>
      <c r="F446" t="inlineStr">
        <is>
          <t>GÄVLEBORGS LÄN</t>
        </is>
      </c>
      <c r="G446" t="inlineStr">
        <is>
          <t>SÖDERHAMN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46230</v>
      </c>
      <c r="F447" t="inlineStr">
        <is>
          <t>GÄVLEBORGS LÄN</t>
        </is>
      </c>
      <c r="G447" t="inlineStr">
        <is>
          <t>SÖDERHAMN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45425</v>
      </c>
      <c r="E448" s="1" t="n">
        <v>46230</v>
      </c>
      <c r="F448" t="inlineStr">
        <is>
          <t>GÄVLEBORGS LÄN</t>
        </is>
      </c>
      <c r="G448" t="inlineStr">
        <is>
          <t>SÖDERHAMN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47794-2024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45588</v>
      </c>
      <c r="E449" s="1" t="n">
        <v>46230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11046-2026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46230</v>
      </c>
      <c r="F450" t="inlineStr">
        <is>
          <t>GÄVLEBORGS LÄN</t>
        </is>
      </c>
      <c r="G450" t="inlineStr">
        <is>
          <t>SÖDERHAMN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40811-2022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44824</v>
      </c>
      <c r="E451" s="1" t="n">
        <v>46230</v>
      </c>
      <c r="F451" t="inlineStr">
        <is>
          <t>GÄVLEBORGS LÄN</t>
        </is>
      </c>
      <c r="G451" t="inlineStr">
        <is>
          <t>SÖDERHAMN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11620-2026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46230</v>
      </c>
      <c r="F452" t="inlineStr">
        <is>
          <t>GÄVLEBORGS LÄN</t>
        </is>
      </c>
      <c r="G452" t="inlineStr">
        <is>
          <t>SÖDERHAMN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42549-2024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45565</v>
      </c>
      <c r="E453" s="1" t="n">
        <v>46230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45566</v>
      </c>
      <c r="E454" s="1" t="n">
        <v>46230</v>
      </c>
      <c r="F454" t="inlineStr">
        <is>
          <t>GÄVLEBORGS LÄN</t>
        </is>
      </c>
      <c r="G454" t="inlineStr">
        <is>
          <t>SÖDERHAMN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11794-2026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46230</v>
      </c>
      <c r="F455" t="inlineStr">
        <is>
          <t>GÄVLEBORGS LÄN</t>
        </is>
      </c>
      <c r="G455" t="inlineStr">
        <is>
          <t>SÖDERHAMN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46230</v>
      </c>
      <c r="F456" t="inlineStr">
        <is>
          <t>GÄVLEBORGS LÄN</t>
        </is>
      </c>
      <c r="G456" t="inlineStr">
        <is>
          <t>SÖDERHAMN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46085</v>
      </c>
      <c r="E457" s="1" t="n">
        <v>46230</v>
      </c>
      <c r="F457" t="inlineStr">
        <is>
          <t>GÄVLEBORGS LÄN</t>
        </is>
      </c>
      <c r="G457" t="inlineStr">
        <is>
          <t>SÖDERHAMN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7972-2025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45707</v>
      </c>
      <c r="E458" s="1" t="n">
        <v>46230</v>
      </c>
      <c r="F458" t="inlineStr">
        <is>
          <t>GÄVLEBORGS LÄN</t>
        </is>
      </c>
      <c r="G458" t="inlineStr">
        <is>
          <t>SÖDERHAMN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57814-2022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46230</v>
      </c>
      <c r="F459" t="inlineStr">
        <is>
          <t>GÄVLEBORGS LÄN</t>
        </is>
      </c>
      <c r="G459" t="inlineStr">
        <is>
          <t>SÖDERHAMN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12063-2026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46086</v>
      </c>
      <c r="E460" s="1" t="n">
        <v>46230</v>
      </c>
      <c r="F460" t="inlineStr">
        <is>
          <t>GÄVLEBORGS LÄN</t>
        </is>
      </c>
      <c r="G460" t="inlineStr">
        <is>
          <t>SÖDERHAMN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30871-2026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46212</v>
      </c>
      <c r="E461" s="1" t="n">
        <v>46230</v>
      </c>
      <c r="F461" t="inlineStr">
        <is>
          <t>GÄVLEBORGS LÄN</t>
        </is>
      </c>
      <c r="G461" t="inlineStr">
        <is>
          <t>SÖDERHAMN</t>
        </is>
      </c>
      <c r="H461" t="inlineStr">
        <is>
          <t>Kyrkan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30875-2026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46212</v>
      </c>
      <c r="E462" s="1" t="n">
        <v>46230</v>
      </c>
      <c r="F462" t="inlineStr">
        <is>
          <t>GÄVLEBORGS LÄN</t>
        </is>
      </c>
      <c r="G462" t="inlineStr">
        <is>
          <t>SÖDERHAMN</t>
        </is>
      </c>
      <c r="H462" t="inlineStr">
        <is>
          <t>Kyrkan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51458-2022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44869</v>
      </c>
      <c r="E463" s="1" t="n">
        <v>46230</v>
      </c>
      <c r="F463" t="inlineStr">
        <is>
          <t>GÄVLEBORGS LÄN</t>
        </is>
      </c>
      <c r="G463" t="inlineStr">
        <is>
          <t>SÖDERHAMN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57500-2023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45246</v>
      </c>
      <c r="E464" s="1" t="n">
        <v>46230</v>
      </c>
      <c r="F464" t="inlineStr">
        <is>
          <t>GÄVLEBORGS LÄN</t>
        </is>
      </c>
      <c r="G464" t="inlineStr">
        <is>
          <t>SÖDERHAMN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46230</v>
      </c>
      <c r="F465" t="inlineStr">
        <is>
          <t>GÄVLEBORGS LÄN</t>
        </is>
      </c>
      <c r="G465" t="inlineStr">
        <is>
          <t>SÖDERHAMN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30877-2026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46212</v>
      </c>
      <c r="E466" s="1" t="n">
        <v>46230</v>
      </c>
      <c r="F466" t="inlineStr">
        <is>
          <t>GÄVLEBORGS LÄN</t>
        </is>
      </c>
      <c r="G466" t="inlineStr">
        <is>
          <t>SÖDERHAMN</t>
        </is>
      </c>
      <c r="H466" t="inlineStr">
        <is>
          <t>Kyrkan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30848-2026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46212</v>
      </c>
      <c r="E467" s="1" t="n">
        <v>46230</v>
      </c>
      <c r="F467" t="inlineStr">
        <is>
          <t>GÄVLEBORGS LÄN</t>
        </is>
      </c>
      <c r="G467" t="inlineStr">
        <is>
          <t>SÖDERHAMN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54135-2024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45616</v>
      </c>
      <c r="E468" s="1" t="n">
        <v>46230</v>
      </c>
      <c r="F468" t="inlineStr">
        <is>
          <t>GÄVLEBORGS LÄN</t>
        </is>
      </c>
      <c r="G468" t="inlineStr">
        <is>
          <t>SÖDERHAMN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13287-2026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46093</v>
      </c>
      <c r="E469" s="1" t="n">
        <v>46230</v>
      </c>
      <c r="F469" t="inlineStr">
        <is>
          <t>GÄVLEBORGS LÄN</t>
        </is>
      </c>
      <c r="G469" t="inlineStr">
        <is>
          <t>SÖDERHAMN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13126-2026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46093</v>
      </c>
      <c r="E470" s="1" t="n">
        <v>46230</v>
      </c>
      <c r="F470" t="inlineStr">
        <is>
          <t>GÄVLEBORGS LÄN</t>
        </is>
      </c>
      <c r="G470" t="inlineStr">
        <is>
          <t>SÖDERHAMN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46230</v>
      </c>
      <c r="F471" t="inlineStr">
        <is>
          <t>GÄVLEBORGS LÄN</t>
        </is>
      </c>
      <c r="G471" t="inlineStr">
        <is>
          <t>SÖDERHAMN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51492-2023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45222</v>
      </c>
      <c r="E472" s="1" t="n">
        <v>46230</v>
      </c>
      <c r="F472" t="inlineStr">
        <is>
          <t>GÄVLEBORGS LÄN</t>
        </is>
      </c>
      <c r="G472" t="inlineStr">
        <is>
          <t>SÖDERHAMN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46098</v>
      </c>
      <c r="E473" s="1" t="n">
        <v>46230</v>
      </c>
      <c r="F473" t="inlineStr">
        <is>
          <t>GÄVLEBORGS LÄN</t>
        </is>
      </c>
      <c r="G473" t="inlineStr">
        <is>
          <t>SÖDERHAMN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46230</v>
      </c>
      <c r="F474" t="inlineStr">
        <is>
          <t>GÄVLEBORGS LÄN</t>
        </is>
      </c>
      <c r="G474" t="inlineStr">
        <is>
          <t>SÖDERHAMN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46174</v>
      </c>
      <c r="E475" s="1" t="n">
        <v>46230</v>
      </c>
      <c r="F475" t="inlineStr">
        <is>
          <t>GÄVLEBORGS LÄN</t>
        </is>
      </c>
      <c r="G475" t="inlineStr">
        <is>
          <t>SÖDERHAMN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24966-2026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46174</v>
      </c>
      <c r="E476" s="1" t="n">
        <v>46230</v>
      </c>
      <c r="F476" t="inlineStr">
        <is>
          <t>GÄVLEBORGS LÄN</t>
        </is>
      </c>
      <c r="G476" t="inlineStr">
        <is>
          <t>SÖDERHAMN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14259-2026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46230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16.2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46230</v>
      </c>
      <c r="F478" t="inlineStr">
        <is>
          <t>GÄVLEBORGS LÄN</t>
        </is>
      </c>
      <c r="G478" t="inlineStr">
        <is>
          <t>SÖDERHAMN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45324</v>
      </c>
      <c r="E479" s="1" t="n">
        <v>46230</v>
      </c>
      <c r="F479" t="inlineStr">
        <is>
          <t>GÄVLEBORGS LÄN</t>
        </is>
      </c>
      <c r="G479" t="inlineStr">
        <is>
          <t>SÖDERHAMN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46230</v>
      </c>
      <c r="F480" t="inlineStr">
        <is>
          <t>GÄVLEBORGS LÄN</t>
        </is>
      </c>
      <c r="G480" t="inlineStr">
        <is>
          <t>SÖDERHAMN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46230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14061-2026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46099</v>
      </c>
      <c r="E482" s="1" t="n">
        <v>46230</v>
      </c>
      <c r="F482" t="inlineStr">
        <is>
          <t>GÄVLEBORGS LÄN</t>
        </is>
      </c>
      <c r="G482" t="inlineStr">
        <is>
          <t>SÖDERHAMN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51292-2023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45219</v>
      </c>
      <c r="E483" s="1" t="n">
        <v>46230</v>
      </c>
      <c r="F483" t="inlineStr">
        <is>
          <t>GÄVLEBORGS LÄN</t>
        </is>
      </c>
      <c r="G483" t="inlineStr">
        <is>
          <t>SÖDERHAMN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46230</v>
      </c>
      <c r="F484" t="inlineStr">
        <is>
          <t>GÄVLEBORGS LÄN</t>
        </is>
      </c>
      <c r="G484" t="inlineStr">
        <is>
          <t>SÖDERHAMN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15066-2026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46104</v>
      </c>
      <c r="E485" s="1" t="n">
        <v>46230</v>
      </c>
      <c r="F485" t="inlineStr">
        <is>
          <t>GÄVLEBORGS LÄN</t>
        </is>
      </c>
      <c r="G485" t="inlineStr">
        <is>
          <t>SÖDERHAMN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46230</v>
      </c>
      <c r="F486" t="inlineStr">
        <is>
          <t>GÄVLEBORGS LÄN</t>
        </is>
      </c>
      <c r="G486" t="inlineStr">
        <is>
          <t>SÖDERHAMN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24921-2026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46230</v>
      </c>
      <c r="F487" t="inlineStr">
        <is>
          <t>GÄVLEBORGS LÄN</t>
        </is>
      </c>
      <c r="G487" t="inlineStr">
        <is>
          <t>SÖDERHAMN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46230</v>
      </c>
      <c r="F488" t="inlineStr">
        <is>
          <t>GÄVLEBORGS LÄN</t>
        </is>
      </c>
      <c r="G488" t="inlineStr">
        <is>
          <t>SÖDERHAMN</t>
        </is>
      </c>
      <c r="I488" t="n">
        <v>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46230</v>
      </c>
      <c r="F489" t="inlineStr">
        <is>
          <t>GÄVLEBORGS LÄN</t>
        </is>
      </c>
      <c r="G489" t="inlineStr">
        <is>
          <t>SÖDERHAMN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46219</v>
      </c>
      <c r="E490" s="1" t="n">
        <v>46230</v>
      </c>
      <c r="F490" t="inlineStr">
        <is>
          <t>GÄVLEBORGS LÄN</t>
        </is>
      </c>
      <c r="G490" t="inlineStr">
        <is>
          <t>SÖDERHAMN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46230</v>
      </c>
      <c r="F491" t="inlineStr">
        <is>
          <t>GÄVLEBORGS LÄN</t>
        </is>
      </c>
      <c r="G491" t="inlineStr">
        <is>
          <t>SÖDERHAMN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31274-2026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46218</v>
      </c>
      <c r="E492" s="1" t="n">
        <v>46230</v>
      </c>
      <c r="F492" t="inlineStr">
        <is>
          <t>GÄVLEBORGS LÄN</t>
        </is>
      </c>
      <c r="G492" t="inlineStr">
        <is>
          <t>SÖDERHAMN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45757</v>
      </c>
      <c r="E493" s="1" t="n">
        <v>46230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46230</v>
      </c>
      <c r="F494" t="inlineStr">
        <is>
          <t>GÄVLEBORGS LÄN</t>
        </is>
      </c>
      <c r="G494" t="inlineStr">
        <is>
          <t>SÖDERHAMN</t>
        </is>
      </c>
      <c r="I494" t="n">
        <v>4.3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16178-2026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46230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16231-2026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46230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46230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31347-2026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46219</v>
      </c>
      <c r="E498" s="1" t="n">
        <v>46230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46230</v>
      </c>
      <c r="F499" t="inlineStr">
        <is>
          <t>GÄVLEBORGS LÄN</t>
        </is>
      </c>
      <c r="G499" t="inlineStr">
        <is>
          <t>SÖDERHAMN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25200-2026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46175</v>
      </c>
      <c r="E500" s="1" t="n">
        <v>46230</v>
      </c>
      <c r="F500" t="inlineStr">
        <is>
          <t>GÄVLEBORGS LÄN</t>
        </is>
      </c>
      <c r="G500" t="inlineStr">
        <is>
          <t>SÖDERHAMN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16485-2026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46230</v>
      </c>
      <c r="F501" t="inlineStr">
        <is>
          <t>GÄVLEBORGS LÄN</t>
        </is>
      </c>
      <c r="G501" t="inlineStr">
        <is>
          <t>SÖDERHAMN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60698-2023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46230</v>
      </c>
      <c r="F502" t="inlineStr">
        <is>
          <t>GÄVLEBORGS LÄN</t>
        </is>
      </c>
      <c r="G502" t="inlineStr">
        <is>
          <t>SÖDERHAMN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31531-2026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46223</v>
      </c>
      <c r="E503" s="1" t="n">
        <v>46230</v>
      </c>
      <c r="F503" t="inlineStr">
        <is>
          <t>GÄVLEBORGS LÄN</t>
        </is>
      </c>
      <c r="G503" t="inlineStr">
        <is>
          <t>SÖDERHAMN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26839-2024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45470</v>
      </c>
      <c r="E504" s="1" t="n">
        <v>46230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16828-2026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46230</v>
      </c>
      <c r="F505" t="inlineStr">
        <is>
          <t>GÄVLEBORGS LÄN</t>
        </is>
      </c>
      <c r="G505" t="inlineStr">
        <is>
          <t>SÖDERHAMN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16908-2026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46230</v>
      </c>
      <c r="F506" t="inlineStr">
        <is>
          <t>GÄVLEBORGS LÄN</t>
        </is>
      </c>
      <c r="G506" t="inlineStr">
        <is>
          <t>SÖDERHAMN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46117</v>
      </c>
      <c r="E507" s="1" t="n">
        <v>46230</v>
      </c>
      <c r="F507" t="inlineStr">
        <is>
          <t>GÄVLEBORGS LÄN</t>
        </is>
      </c>
      <c r="G507" t="inlineStr">
        <is>
          <t>SÖDERHAMN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46117</v>
      </c>
      <c r="E508" s="1" t="n">
        <v>46230</v>
      </c>
      <c r="F508" t="inlineStr">
        <is>
          <t>GÄVLEBORGS LÄN</t>
        </is>
      </c>
      <c r="G508" t="inlineStr">
        <is>
          <t>SÖDERHAMN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46117</v>
      </c>
      <c r="E509" s="1" t="n">
        <v>46230</v>
      </c>
      <c r="F509" t="inlineStr">
        <is>
          <t>GÄVLEBORGS LÄN</t>
        </is>
      </c>
      <c r="G509" t="inlineStr">
        <is>
          <t>SÖDERHAMN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17191-2026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46117</v>
      </c>
      <c r="E510" s="1" t="n">
        <v>46230</v>
      </c>
      <c r="F510" t="inlineStr">
        <is>
          <t>GÄVLEBORGS LÄN</t>
        </is>
      </c>
      <c r="G510" t="inlineStr">
        <is>
          <t>SÖDERHAMN</t>
        </is>
      </c>
      <c r="I510" t="n">
        <v>3.6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16731-2025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45754</v>
      </c>
      <c r="E511" s="1" t="n">
        <v>46230</v>
      </c>
      <c r="F511" t="inlineStr">
        <is>
          <t>GÄVLEBORGS LÄN</t>
        </is>
      </c>
      <c r="G511" t="inlineStr">
        <is>
          <t>SÖDERHAMN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52518-2024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45609</v>
      </c>
      <c r="E512" s="1" t="n">
        <v>46230</v>
      </c>
      <c r="F512" t="inlineStr">
        <is>
          <t>GÄVLEBORGS LÄN</t>
        </is>
      </c>
      <c r="G512" t="inlineStr">
        <is>
          <t>SÖDERHAMN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46230</v>
      </c>
      <c r="F513" t="inlineStr">
        <is>
          <t>GÄVLEBORGS LÄN</t>
        </is>
      </c>
      <c r="G513" t="inlineStr">
        <is>
          <t>SÖDERHAMN</t>
        </is>
      </c>
      <c r="I513" t="n">
        <v>20.9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17809-2026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46122</v>
      </c>
      <c r="E514" s="1" t="n">
        <v>46230</v>
      </c>
      <c r="F514" t="inlineStr">
        <is>
          <t>GÄVLEBORGS LÄN</t>
        </is>
      </c>
      <c r="G514" t="inlineStr">
        <is>
          <t>SÖDERHAMN</t>
        </is>
      </c>
      <c r="H514" t="inlineStr">
        <is>
          <t>Bergvik skog väst AB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46177</v>
      </c>
      <c r="E515" s="1" t="n">
        <v>46230</v>
      </c>
      <c r="F515" t="inlineStr">
        <is>
          <t>GÄVLEBORGS LÄN</t>
        </is>
      </c>
      <c r="G515" t="inlineStr">
        <is>
          <t>SÖDERHAMN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44564</v>
      </c>
      <c r="E516" s="1" t="n">
        <v>46230</v>
      </c>
      <c r="F516" t="inlineStr">
        <is>
          <t>GÄVLEBORGS LÄN</t>
        </is>
      </c>
      <c r="G516" t="inlineStr">
        <is>
          <t>SÖDERHAMN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25552-2026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46230</v>
      </c>
      <c r="F517" t="inlineStr">
        <is>
          <t>GÄVLEBORGS LÄN</t>
        </is>
      </c>
      <c r="G517" t="inlineStr">
        <is>
          <t>SÖDERHAMN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46230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22507-2026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46230</v>
      </c>
      <c r="F519" t="inlineStr">
        <is>
          <t>GÄVLEBORGS LÄN</t>
        </is>
      </c>
      <c r="G519" t="inlineStr">
        <is>
          <t>SÖDERHAMN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14960-2024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45398</v>
      </c>
      <c r="E520" s="1" t="n">
        <v>46230</v>
      </c>
      <c r="F520" t="inlineStr">
        <is>
          <t>GÄVLEBORGS LÄN</t>
        </is>
      </c>
      <c r="G520" t="inlineStr">
        <is>
          <t>SÖDERHAMN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26042-2026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46177</v>
      </c>
      <c r="E521" s="1" t="n">
        <v>46230</v>
      </c>
      <c r="F521" t="inlineStr">
        <is>
          <t>GÄVLEBORGS LÄN</t>
        </is>
      </c>
      <c r="G521" t="inlineStr">
        <is>
          <t>SÖDERHAMN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59216-2021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44490</v>
      </c>
      <c r="E522" s="1" t="n">
        <v>46230</v>
      </c>
      <c r="F522" t="inlineStr">
        <is>
          <t>GÄVLEBORGS LÄN</t>
        </is>
      </c>
      <c r="G522" t="inlineStr">
        <is>
          <t>SÖDERHAMN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63632-2023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45275</v>
      </c>
      <c r="E523" s="1" t="n">
        <v>46230</v>
      </c>
      <c r="F523" t="inlineStr">
        <is>
          <t>GÄVLEBORGS LÄN</t>
        </is>
      </c>
      <c r="G523" t="inlineStr">
        <is>
          <t>SÖDERHAMN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18479-2026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46127</v>
      </c>
      <c r="E524" s="1" t="n">
        <v>46230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6.8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46230</v>
      </c>
      <c r="F525" t="inlineStr">
        <is>
          <t>GÄVLEBORGS LÄN</t>
        </is>
      </c>
      <c r="G525" t="inlineStr">
        <is>
          <t>SÖDERHAMN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56500-2023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45243</v>
      </c>
      <c r="E526" s="1" t="n">
        <v>46230</v>
      </c>
      <c r="F526" t="inlineStr">
        <is>
          <t>GÄVLEBORGS LÄN</t>
        </is>
      </c>
      <c r="G526" t="inlineStr">
        <is>
          <t>SÖDERHAMN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19310-2026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46133</v>
      </c>
      <c r="E527" s="1" t="n">
        <v>46230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19109-2026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46132</v>
      </c>
      <c r="E528" s="1" t="n">
        <v>46230</v>
      </c>
      <c r="F528" t="inlineStr">
        <is>
          <t>GÄVLEBORGS LÄN</t>
        </is>
      </c>
      <c r="G528" t="inlineStr">
        <is>
          <t>SÖDERHAMN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26213-2026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46182</v>
      </c>
      <c r="E529" s="1" t="n">
        <v>46230</v>
      </c>
      <c r="F529" t="inlineStr">
        <is>
          <t>GÄVLEBORGS LÄN</t>
        </is>
      </c>
      <c r="G529" t="inlineStr">
        <is>
          <t>SÖDERHAMN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19175-2026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46132</v>
      </c>
      <c r="E530" s="1" t="n">
        <v>46230</v>
      </c>
      <c r="F530" t="inlineStr">
        <is>
          <t>GÄVLEBORGS LÄN</t>
        </is>
      </c>
      <c r="G530" t="inlineStr">
        <is>
          <t>SÖDERHAMN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49306-2023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45210</v>
      </c>
      <c r="E531" s="1" t="n">
        <v>46230</v>
      </c>
      <c r="F531" t="inlineStr">
        <is>
          <t>GÄVLEBORGS LÄN</t>
        </is>
      </c>
      <c r="G531" t="inlineStr">
        <is>
          <t>SÖDERHAMN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26013-2026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46230</v>
      </c>
      <c r="F532" t="inlineStr">
        <is>
          <t>GÄVLEBORGS LÄN</t>
        </is>
      </c>
      <c r="G532" t="inlineStr">
        <is>
          <t>SÖDERHAMN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18195-2023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45041</v>
      </c>
      <c r="E533" s="1" t="n">
        <v>46230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19647-2026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46134</v>
      </c>
      <c r="E534" s="1" t="n">
        <v>46230</v>
      </c>
      <c r="F534" t="inlineStr">
        <is>
          <t>GÄVLEBORGS LÄN</t>
        </is>
      </c>
      <c r="G534" t="inlineStr">
        <is>
          <t>SÖDERHAMN</t>
        </is>
      </c>
      <c r="H534" t="inlineStr">
        <is>
          <t>Övriga statliga verk och myndigheter</t>
        </is>
      </c>
      <c r="I534" t="n">
        <v>7.8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46135</v>
      </c>
      <c r="E535" s="1" t="n">
        <v>46230</v>
      </c>
      <c r="F535" t="inlineStr">
        <is>
          <t>GÄVLEBORGS LÄN</t>
        </is>
      </c>
      <c r="G535" t="inlineStr">
        <is>
          <t>SÖDERHAMN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50066-2023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45215</v>
      </c>
      <c r="E536" s="1" t="n">
        <v>46230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46007-2024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45580</v>
      </c>
      <c r="E537" s="1" t="n">
        <v>46230</v>
      </c>
      <c r="F537" t="inlineStr">
        <is>
          <t>GÄVLEBORGS LÄN</t>
        </is>
      </c>
      <c r="G537" t="inlineStr">
        <is>
          <t>SÖDERHAMN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46230</v>
      </c>
      <c r="F538" t="inlineStr">
        <is>
          <t>GÄVLEBORGS LÄN</t>
        </is>
      </c>
      <c r="G538" t="inlineStr">
        <is>
          <t>SÖDERHAMN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41649-2024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45560</v>
      </c>
      <c r="E539" s="1" t="n">
        <v>46230</v>
      </c>
      <c r="F539" t="inlineStr">
        <is>
          <t>GÄVLEBORGS LÄN</t>
        </is>
      </c>
      <c r="G539" t="inlineStr">
        <is>
          <t>SÖDERHAMN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45560</v>
      </c>
      <c r="E540" s="1" t="n">
        <v>46230</v>
      </c>
      <c r="F540" t="inlineStr">
        <is>
          <t>GÄVLEBORGS LÄN</t>
        </is>
      </c>
      <c r="G540" t="inlineStr">
        <is>
          <t>SÖDERHAMN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29818-2023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45107</v>
      </c>
      <c r="E541" s="1" t="n">
        <v>46230</v>
      </c>
      <c r="F541" t="inlineStr">
        <is>
          <t>GÄVLEBORGS LÄN</t>
        </is>
      </c>
      <c r="G541" t="inlineStr">
        <is>
          <t>SÖDERHAMN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51273-2021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44460</v>
      </c>
      <c r="E542" s="1" t="n">
        <v>46230</v>
      </c>
      <c r="F542" t="inlineStr">
        <is>
          <t>GÄVLEBORGS LÄN</t>
        </is>
      </c>
      <c r="G542" t="inlineStr">
        <is>
          <t>SÖDERHAMN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11075-2023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44992</v>
      </c>
      <c r="E543" s="1" t="n">
        <v>46230</v>
      </c>
      <c r="F543" t="inlineStr">
        <is>
          <t>GÄVLEBORGS LÄN</t>
        </is>
      </c>
      <c r="G543" t="inlineStr">
        <is>
          <t>SÖDERHAMN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30336-2022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44760</v>
      </c>
      <c r="E544" s="1" t="n">
        <v>46230</v>
      </c>
      <c r="F544" t="inlineStr">
        <is>
          <t>GÄVLEBORGS LÄN</t>
        </is>
      </c>
      <c r="G544" t="inlineStr">
        <is>
          <t>SÖDERHAMN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18913-2025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45764</v>
      </c>
      <c r="E545" s="1" t="n">
        <v>46230</v>
      </c>
      <c r="F545" t="inlineStr">
        <is>
          <t>GÄVLEBORGS LÄN</t>
        </is>
      </c>
      <c r="G545" t="inlineStr">
        <is>
          <t>SÖDERHAMN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63932-2023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46230</v>
      </c>
      <c r="F546" t="inlineStr">
        <is>
          <t>GÄVLEBORGS LÄN</t>
        </is>
      </c>
      <c r="G546" t="inlineStr">
        <is>
          <t>SÖDERHAMN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23230-2024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45453</v>
      </c>
      <c r="E547" s="1" t="n">
        <v>46230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26554-2022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44739</v>
      </c>
      <c r="E548" s="1" t="n">
        <v>46230</v>
      </c>
      <c r="F548" t="inlineStr">
        <is>
          <t>GÄVLEBORGS LÄN</t>
        </is>
      </c>
      <c r="G548" t="inlineStr">
        <is>
          <t>SÖDERHAMN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3031-2022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44582</v>
      </c>
      <c r="E549" s="1" t="n">
        <v>46230</v>
      </c>
      <c r="F549" t="inlineStr">
        <is>
          <t>GÄVLEBORGS LÄN</t>
        </is>
      </c>
      <c r="G549" t="inlineStr">
        <is>
          <t>SÖDERHAMN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15454-2025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45747</v>
      </c>
      <c r="E550" s="1" t="n">
        <v>46230</v>
      </c>
      <c r="F550" t="inlineStr">
        <is>
          <t>GÄVLEBORGS LÄN</t>
        </is>
      </c>
      <c r="G550" t="inlineStr">
        <is>
          <t>SÖDERHAMN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37837-2024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45544</v>
      </c>
      <c r="E551" s="1" t="n">
        <v>46230</v>
      </c>
      <c r="F551" t="inlineStr">
        <is>
          <t>GÄVLEBORGS LÄN</t>
        </is>
      </c>
      <c r="G551" t="inlineStr">
        <is>
          <t>SÖDERHAMN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26930-2023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45093</v>
      </c>
      <c r="E552" s="1" t="n">
        <v>46230</v>
      </c>
      <c r="F552" t="inlineStr">
        <is>
          <t>GÄVLEBORGS LÄN</t>
        </is>
      </c>
      <c r="G552" t="inlineStr">
        <is>
          <t>SÖDERHAMN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10763-2025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45722</v>
      </c>
      <c r="E553" s="1" t="n">
        <v>46230</v>
      </c>
      <c r="F553" t="inlineStr">
        <is>
          <t>GÄVLEBORGS LÄN</t>
        </is>
      </c>
      <c r="G553" t="inlineStr">
        <is>
          <t>SÖDERHAMN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4563-2023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44956</v>
      </c>
      <c r="E554" s="1" t="n">
        <v>46230</v>
      </c>
      <c r="F554" t="inlineStr">
        <is>
          <t>GÄVLEBORGS LÄN</t>
        </is>
      </c>
      <c r="G554" t="inlineStr">
        <is>
          <t>SÖDERHAMN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41648-2024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45560</v>
      </c>
      <c r="E555" s="1" t="n">
        <v>46230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45639</v>
      </c>
      <c r="E556" s="1" t="n">
        <v>46230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11206-2023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44992</v>
      </c>
      <c r="E557" s="1" t="n">
        <v>46230</v>
      </c>
      <c r="F557" t="inlineStr">
        <is>
          <t>GÄVLEBORGS LÄN</t>
        </is>
      </c>
      <c r="G557" t="inlineStr">
        <is>
          <t>SÖDERHAMN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28340-2024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45477</v>
      </c>
      <c r="E558" s="1" t="n">
        <v>46230</v>
      </c>
      <c r="F558" t="inlineStr">
        <is>
          <t>GÄVLEBORGS LÄN</t>
        </is>
      </c>
      <c r="G558" t="inlineStr">
        <is>
          <t>SÖDERHAMN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46230</v>
      </c>
      <c r="F559" t="inlineStr">
        <is>
          <t>GÄVLEBORGS LÄN</t>
        </is>
      </c>
      <c r="G559" t="inlineStr">
        <is>
          <t>SÖDERHAMN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54007-2023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45231</v>
      </c>
      <c r="E560" s="1" t="n">
        <v>46230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29979-2023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45108</v>
      </c>
      <c r="E561" s="1" t="n">
        <v>46230</v>
      </c>
      <c r="F561" t="inlineStr">
        <is>
          <t>GÄVLEBORGS LÄN</t>
        </is>
      </c>
      <c r="G561" t="inlineStr">
        <is>
          <t>SÖDERHAMN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28070-2024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46230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46230</v>
      </c>
      <c r="F563" t="inlineStr">
        <is>
          <t>GÄVLEBORGS LÄN</t>
        </is>
      </c>
      <c r="G563" t="inlineStr">
        <is>
          <t>SÖDERHAMN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19652-2024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45432</v>
      </c>
      <c r="E564" s="1" t="n">
        <v>46230</v>
      </c>
      <c r="F564" t="inlineStr">
        <is>
          <t>GÄVLEBORGS LÄN</t>
        </is>
      </c>
      <c r="G564" t="inlineStr">
        <is>
          <t>SÖDERHAMN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40577-2022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44823</v>
      </c>
      <c r="E565" s="1" t="n">
        <v>46230</v>
      </c>
      <c r="F565" t="inlineStr">
        <is>
          <t>GÄVLEBORGS LÄN</t>
        </is>
      </c>
      <c r="G565" t="inlineStr">
        <is>
          <t>SÖDERHAMN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45602</v>
      </c>
      <c r="E566" s="1" t="n">
        <v>46230</v>
      </c>
      <c r="F566" t="inlineStr">
        <is>
          <t>GÄVLEBORGS LÄN</t>
        </is>
      </c>
      <c r="G566" t="inlineStr">
        <is>
          <t>SÖDERHAMN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19536-2025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45770</v>
      </c>
      <c r="E567" s="1" t="n">
        <v>46230</v>
      </c>
      <c r="F567" t="inlineStr">
        <is>
          <t>GÄVLEBORGS LÄN</t>
        </is>
      </c>
      <c r="G567" t="inlineStr">
        <is>
          <t>SÖDERHAMN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29982-2023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45108</v>
      </c>
      <c r="E568" s="1" t="n">
        <v>46230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52519-2024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45609</v>
      </c>
      <c r="E569" s="1" t="n">
        <v>46230</v>
      </c>
      <c r="F569" t="inlineStr">
        <is>
          <t>GÄVLEBORGS LÄN</t>
        </is>
      </c>
      <c r="G569" t="inlineStr">
        <is>
          <t>SÖDERHAMN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45595</v>
      </c>
      <c r="E570" s="1" t="n">
        <v>46230</v>
      </c>
      <c r="F570" t="inlineStr">
        <is>
          <t>GÄVLEBORGS LÄN</t>
        </is>
      </c>
      <c r="G570" t="inlineStr">
        <is>
          <t>SÖDERHAMN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19782-2025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45771</v>
      </c>
      <c r="E571" s="1" t="n">
        <v>46230</v>
      </c>
      <c r="F571" t="inlineStr">
        <is>
          <t>GÄVLEBORGS LÄN</t>
        </is>
      </c>
      <c r="G571" t="inlineStr">
        <is>
          <t>SÖDERHAMN</t>
        </is>
      </c>
      <c r="I571" t="n">
        <v>6.4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45590</v>
      </c>
      <c r="E572" s="1" t="n">
        <v>46230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46230</v>
      </c>
      <c r="F573" t="inlineStr">
        <is>
          <t>GÄVLEBORGS LÄN</t>
        </is>
      </c>
      <c r="G573" t="inlineStr">
        <is>
          <t>SÖDERHAMN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45327</v>
      </c>
      <c r="E574" s="1" t="n">
        <v>46230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45435</v>
      </c>
      <c r="E575" s="1" t="n">
        <v>46230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36204-2024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45534</v>
      </c>
      <c r="E576" s="1" t="n">
        <v>46230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48943-2024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45594</v>
      </c>
      <c r="E577" s="1" t="n">
        <v>46230</v>
      </c>
      <c r="F577" t="inlineStr">
        <is>
          <t>GÄVLEBORGS LÄN</t>
        </is>
      </c>
      <c r="G577" t="inlineStr">
        <is>
          <t>SÖDERHAMN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18909-2025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45764</v>
      </c>
      <c r="E578" s="1" t="n">
        <v>46230</v>
      </c>
      <c r="F578" t="inlineStr">
        <is>
          <t>GÄVLEBORGS LÄN</t>
        </is>
      </c>
      <c r="G578" t="inlineStr">
        <is>
          <t>SÖDERHAMN</t>
        </is>
      </c>
      <c r="H578" t="inlineStr">
        <is>
          <t>Kommuner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45113</v>
      </c>
      <c r="E579" s="1" t="n">
        <v>46230</v>
      </c>
      <c r="F579" t="inlineStr">
        <is>
          <t>GÄVLEBORGS LÄN</t>
        </is>
      </c>
      <c r="G579" t="inlineStr">
        <is>
          <t>SÖDERHAMN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50283-2024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45600</v>
      </c>
      <c r="E580" s="1" t="n">
        <v>46230</v>
      </c>
      <c r="F580" t="inlineStr">
        <is>
          <t>GÄVLEBORGS LÄN</t>
        </is>
      </c>
      <c r="G580" t="inlineStr">
        <is>
          <t>SÖDERHAMN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15881-2025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46230</v>
      </c>
      <c r="F581" t="inlineStr">
        <is>
          <t>GÄVLEBORGS LÄN</t>
        </is>
      </c>
      <c r="G581" t="inlineStr">
        <is>
          <t>SÖDERHAMN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21252-2025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45779</v>
      </c>
      <c r="E582" s="1" t="n">
        <v>46230</v>
      </c>
      <c r="F582" t="inlineStr">
        <is>
          <t>GÄVLEBORGS LÄN</t>
        </is>
      </c>
      <c r="G582" t="inlineStr">
        <is>
          <t>SÖDERHAMN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37916-2024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45544</v>
      </c>
      <c r="E583" s="1" t="n">
        <v>46230</v>
      </c>
      <c r="F583" t="inlineStr">
        <is>
          <t>GÄVLEBORGS LÄN</t>
        </is>
      </c>
      <c r="G583" t="inlineStr">
        <is>
          <t>SÖDERHAMN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47676-2024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45588</v>
      </c>
      <c r="E584" s="1" t="n">
        <v>46230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45149</v>
      </c>
      <c r="E585" s="1" t="n">
        <v>46230</v>
      </c>
      <c r="F585" t="inlineStr">
        <is>
          <t>GÄVLEBORGS LÄN</t>
        </is>
      </c>
      <c r="G585" t="inlineStr">
        <is>
          <t>SÖDERHAMN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18189-2024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45420</v>
      </c>
      <c r="E586" s="1" t="n">
        <v>46230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23265-2025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45791</v>
      </c>
      <c r="E587" s="1" t="n">
        <v>46230</v>
      </c>
      <c r="F587" t="inlineStr">
        <is>
          <t>GÄVLEBORGS LÄN</t>
        </is>
      </c>
      <c r="G587" t="inlineStr">
        <is>
          <t>SÖDERHAMN</t>
        </is>
      </c>
      <c r="H587" t="inlineStr">
        <is>
          <t>Bergvik skog väst AB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46230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23332-2025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45791</v>
      </c>
      <c r="E589" s="1" t="n">
        <v>46230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24307-2025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45797</v>
      </c>
      <c r="E590" s="1" t="n">
        <v>46230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20166-2022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44698</v>
      </c>
      <c r="E591" s="1" t="n">
        <v>46230</v>
      </c>
      <c r="F591" t="inlineStr">
        <is>
          <t>GÄVLEBORGS LÄN</t>
        </is>
      </c>
      <c r="G591" t="inlineStr">
        <is>
          <t>SÖDERHAMN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45797</v>
      </c>
      <c r="E592" s="1" t="n">
        <v>46230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34978-2024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46230</v>
      </c>
      <c r="F593" t="inlineStr">
        <is>
          <t>GÄVLEBORGS LÄN</t>
        </is>
      </c>
      <c r="G593" t="inlineStr">
        <is>
          <t>SÖDERHAMN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45442</v>
      </c>
      <c r="E594" s="1" t="n">
        <v>46230</v>
      </c>
      <c r="F594" t="inlineStr">
        <is>
          <t>GÄVLEBORGS LÄN</t>
        </is>
      </c>
      <c r="G594" t="inlineStr">
        <is>
          <t>SÖDERHAMN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46230</v>
      </c>
      <c r="F595" t="inlineStr">
        <is>
          <t>GÄVLEBORGS LÄN</t>
        </is>
      </c>
      <c r="G595" t="inlineStr">
        <is>
          <t>SÖDERHAMN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25900-2024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45467</v>
      </c>
      <c r="E596" s="1" t="n">
        <v>46230</v>
      </c>
      <c r="F596" t="inlineStr">
        <is>
          <t>GÄVLEBORGS LÄN</t>
        </is>
      </c>
      <c r="G596" t="inlineStr">
        <is>
          <t>SÖDERHAMN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31676-2022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44776</v>
      </c>
      <c r="E597" s="1" t="n">
        <v>46230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24610-2025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45798</v>
      </c>
      <c r="E598" s="1" t="n">
        <v>46230</v>
      </c>
      <c r="F598" t="inlineStr">
        <is>
          <t>GÄVLEBORGS LÄN</t>
        </is>
      </c>
      <c r="G598" t="inlineStr">
        <is>
          <t>SÖDERHAMN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25036-2025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46230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60292-2024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45643</v>
      </c>
      <c r="E600" s="1" t="n">
        <v>46230</v>
      </c>
      <c r="F600" t="inlineStr">
        <is>
          <t>GÄVLEBORGS LÄN</t>
        </is>
      </c>
      <c r="G600" t="inlineStr">
        <is>
          <t>SÖDERHAMN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19188-2024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45428</v>
      </c>
      <c r="E601" s="1" t="n">
        <v>46230</v>
      </c>
      <c r="F601" t="inlineStr">
        <is>
          <t>GÄVLEBORGS LÄN</t>
        </is>
      </c>
      <c r="G601" t="inlineStr">
        <is>
          <t>SÖDERHAMN</t>
        </is>
      </c>
      <c r="H601" t="inlineStr">
        <is>
          <t>Bergvik skog väst AB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26266-2025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45805</v>
      </c>
      <c r="E602" s="1" t="n">
        <v>46230</v>
      </c>
      <c r="F602" t="inlineStr">
        <is>
          <t>GÄVLEBORGS LÄN</t>
        </is>
      </c>
      <c r="G602" t="inlineStr">
        <is>
          <t>SÖDERHAMN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26187-2025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46230</v>
      </c>
      <c r="F603" t="inlineStr">
        <is>
          <t>GÄVLEBORGS LÄN</t>
        </is>
      </c>
      <c r="G603" t="inlineStr">
        <is>
          <t>SÖDERHAMN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62903-2023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45272</v>
      </c>
      <c r="E604" s="1" t="n">
        <v>46230</v>
      </c>
      <c r="F604" t="inlineStr">
        <is>
          <t>GÄVLEBORGS LÄN</t>
        </is>
      </c>
      <c r="G604" t="inlineStr">
        <is>
          <t>SÖDERHAMN</t>
        </is>
      </c>
      <c r="I604" t="n">
        <v>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25029-2025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45799</v>
      </c>
      <c r="E605" s="1" t="n">
        <v>46230</v>
      </c>
      <c r="F605" t="inlineStr">
        <is>
          <t>GÄVLEBORGS LÄN</t>
        </is>
      </c>
      <c r="G605" t="inlineStr">
        <is>
          <t>SÖDERHAMN</t>
        </is>
      </c>
      <c r="H605" t="inlineStr">
        <is>
          <t>Bergvik skog väst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54799-2022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44883</v>
      </c>
      <c r="E606" s="1" t="n">
        <v>46230</v>
      </c>
      <c r="F606" t="inlineStr">
        <is>
          <t>GÄVLEBORGS LÄN</t>
        </is>
      </c>
      <c r="G606" t="inlineStr">
        <is>
          <t>SÖDERHAMN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26805-2025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45810</v>
      </c>
      <c r="E607" s="1" t="n">
        <v>46230</v>
      </c>
      <c r="F607" t="inlineStr">
        <is>
          <t>GÄVLEBORGS LÄN</t>
        </is>
      </c>
      <c r="G607" t="inlineStr">
        <is>
          <t>SÖDERHAMN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46230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29036-2025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45821</v>
      </c>
      <c r="E609" s="1" t="n">
        <v>46230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45824</v>
      </c>
      <c r="E610" s="1" t="n">
        <v>46230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29459-2025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45824</v>
      </c>
      <c r="E611" s="1" t="n">
        <v>46230</v>
      </c>
      <c r="F611" t="inlineStr">
        <is>
          <t>GÄVLEBORGS LÄN</t>
        </is>
      </c>
      <c r="G611" t="inlineStr">
        <is>
          <t>SÖDERHAMN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30058-2025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45826</v>
      </c>
      <c r="E612" s="1" t="n">
        <v>46230</v>
      </c>
      <c r="F612" t="inlineStr">
        <is>
          <t>GÄVLEBORGS LÄN</t>
        </is>
      </c>
      <c r="G612" t="inlineStr">
        <is>
          <t>SÖDERHAMN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29835-2025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45825</v>
      </c>
      <c r="E613" s="1" t="n">
        <v>46230</v>
      </c>
      <c r="F613" t="inlineStr">
        <is>
          <t>GÄVLEBORGS LÄN</t>
        </is>
      </c>
      <c r="G613" t="inlineStr">
        <is>
          <t>SÖDERHAMN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50268-2024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45600</v>
      </c>
      <c r="E614" s="1" t="n">
        <v>46230</v>
      </c>
      <c r="F614" t="inlineStr">
        <is>
          <t>GÄVLEBORGS LÄN</t>
        </is>
      </c>
      <c r="G614" t="inlineStr">
        <is>
          <t>SÖDERHAMN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45436</v>
      </c>
      <c r="E615" s="1" t="n">
        <v>46230</v>
      </c>
      <c r="F615" t="inlineStr">
        <is>
          <t>GÄVLEBORGS LÄN</t>
        </is>
      </c>
      <c r="G615" t="inlineStr">
        <is>
          <t>SÖDERHAMN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28062-2025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45817</v>
      </c>
      <c r="E616" s="1" t="n">
        <v>46230</v>
      </c>
      <c r="F616" t="inlineStr">
        <is>
          <t>GÄVLEBORGS LÄN</t>
        </is>
      </c>
      <c r="G616" t="inlineStr">
        <is>
          <t>SÖDERHAMN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34525-2025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45847</v>
      </c>
      <c r="E617" s="1" t="n">
        <v>46230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34662-2025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45848</v>
      </c>
      <c r="E618" s="1" t="n">
        <v>46230</v>
      </c>
      <c r="F618" t="inlineStr">
        <is>
          <t>GÄVLEBORGS LÄN</t>
        </is>
      </c>
      <c r="G618" t="inlineStr">
        <is>
          <t>SÖDERHAMN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34669-2025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45848</v>
      </c>
      <c r="E619" s="1" t="n">
        <v>46230</v>
      </c>
      <c r="F619" t="inlineStr">
        <is>
          <t>GÄVLEBORGS LÄN</t>
        </is>
      </c>
      <c r="G619" t="inlineStr">
        <is>
          <t>SÖDERHAMN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45863</v>
      </c>
      <c r="E620" s="1" t="n">
        <v>46230</v>
      </c>
      <c r="F620" t="inlineStr">
        <is>
          <t>GÄVLEBORGS LÄN</t>
        </is>
      </c>
      <c r="G620" t="inlineStr">
        <is>
          <t>SÖDERHAMN</t>
        </is>
      </c>
      <c r="H620" t="inlineStr">
        <is>
          <t>Bergvik skog väst AB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36186-2025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45867</v>
      </c>
      <c r="E621" s="1" t="n">
        <v>46230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27028-2025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45811</v>
      </c>
      <c r="E622" s="1" t="n">
        <v>46230</v>
      </c>
      <c r="F622" t="inlineStr">
        <is>
          <t>GÄVLEBORGS LÄN</t>
        </is>
      </c>
      <c r="G622" t="inlineStr">
        <is>
          <t>SÖDERHAMN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15-2024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45293</v>
      </c>
      <c r="E623" s="1" t="n">
        <v>46230</v>
      </c>
      <c r="F623" t="inlineStr">
        <is>
          <t>GÄVLEBORGS LÄN</t>
        </is>
      </c>
      <c r="G623" t="inlineStr">
        <is>
          <t>SÖDERHAMN</t>
        </is>
      </c>
      <c r="H623" t="inlineStr">
        <is>
          <t>Bergvik skog väst AB</t>
        </is>
      </c>
      <c r="I623" t="n">
        <v>17.7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168-2022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44566</v>
      </c>
      <c r="E624" s="1" t="n">
        <v>46230</v>
      </c>
      <c r="F624" t="inlineStr">
        <is>
          <t>GÄVLEBORGS LÄN</t>
        </is>
      </c>
      <c r="G624" t="inlineStr">
        <is>
          <t>SÖDERHAMN</t>
        </is>
      </c>
      <c r="H624" t="inlineStr">
        <is>
          <t>Bergvik skog väst AB</t>
        </is>
      </c>
      <c r="I624" t="n">
        <v>56.6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170-2022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44566</v>
      </c>
      <c r="E625" s="1" t="n">
        <v>46230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87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175-2022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46230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45.7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>
      <c r="A627" t="inlineStr">
        <is>
          <t>S 3155-2025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45973</v>
      </c>
      <c r="E627" s="1" t="n">
        <v>46230</v>
      </c>
      <c r="F627" t="inlineStr">
        <is>
          <t>GÄVLEBORGS LÄN</t>
        </is>
      </c>
      <c r="G627" t="inlineStr">
        <is>
          <t>SÖDERHAMN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2026-07-27T01:51:51Z</dcterms:created>
  <dcterms:modified xmlns:dcterms="http://purl.org/dc/terms/" xmlns:xsi="http://www.w3.org/2001/XMLSchema-instance" xsi:type="dcterms:W3CDTF">2026-07-27T01:51:51Z</dcterms:modified>
</cp:coreProperties>
</file>