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31805-2024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45509</v>
      </c>
      <c r="E11" s="1" t="n">
        <v>46254</v>
      </c>
      <c r="F11" t="inlineStr">
        <is>
          <t>GÄVLEBORGS LÄN</t>
        </is>
      </c>
      <c r="G11" t="inlineStr">
        <is>
          <t>SÖDERHAMN</t>
        </is>
      </c>
      <c r="I11" t="n">
        <v>7.3</v>
      </c>
      <c r="J11" t="n">
        <v>4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5</v>
      </c>
      <c r="V11" s="2" t="inlineStr">
        <is>
          <t>Knärot
Duvhök
Havsörn
Kungsfågel</t>
        </is>
      </c>
      <c r="W11">
        <f>HYPERLINK("https://klasma.github.io/Logging_2182/artfynd/A 31805-2024 artfynd.xlsx", "A 31805-2024")</f>
        <v/>
      </c>
      <c r="X11">
        <f>HYPERLINK("https://klasma.github.io/Logging_2182/kartor/A 31805-2024 karta.png", "A 31805-2024")</f>
        <v/>
      </c>
      <c r="Y11">
        <f>HYPERLINK("https://klasma.github.io/Logging_2182/kartor_geotiff/A 31805-2024 georefererad karta.tif", "A 31805-2024")</f>
        <v/>
      </c>
      <c r="Z11">
        <f>HYPERLINK("https://klasma.github.io/Logging_2182/knärot/A 31805-2024 karta knärot.png", "A 31805-2024")</f>
        <v/>
      </c>
      <c r="AA11">
        <f>HYPERLINK("https://klasma.github.io/Logging_2182/klagomål/A 31805-2024 FSC-klagomål.docx", "A 31805-2024")</f>
        <v/>
      </c>
      <c r="AB11">
        <f>HYPERLINK("https://klasma.github.io/Logging_2182/klagomålsmail/A 31805-2024 FSC-klagomål mail.docx", "A 31805-2024")</f>
        <v/>
      </c>
      <c r="AC11">
        <f>HYPERLINK("https://klasma.github.io/Logging_2182/tillsyn/A 31805-2024 tillsynsbegäran.docx", "A 31805-2024")</f>
        <v/>
      </c>
      <c r="AD11">
        <f>HYPERLINK("https://klasma.github.io/Logging_2182/tillsynsmail/A 31805-2024 tillsynsbegäran mail.docx", "A 31805-2024")</f>
        <v/>
      </c>
      <c r="AE11">
        <f>HYPERLINK("https://klasma.github.io/Logging_2182/fåglar/A 31805-2024 prioriterade fågelarter.docx", "A 31805-2024")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46254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46254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46254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46254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46254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23333-2026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46254</v>
      </c>
      <c r="F17" t="inlineStr">
        <is>
          <t>GÄVLEBORGS LÄN</t>
        </is>
      </c>
      <c r="G17" t="inlineStr">
        <is>
          <t>SÖDERHAMN</t>
        </is>
      </c>
      <c r="I17" t="n">
        <v>1.1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Korallblylav
Stuplav</t>
        </is>
      </c>
      <c r="W17">
        <f>HYPERLINK("https://klasma.github.io/Logging_2182/artfynd/A 23333-2026 artfynd.xlsx", "A 23333-2026")</f>
        <v/>
      </c>
      <c r="X17">
        <f>HYPERLINK("https://klasma.github.io/Logging_2182/kartor/A 23333-2026 karta.png", "A 23333-2026")</f>
        <v/>
      </c>
      <c r="Y17">
        <f>HYPERLINK("https://klasma.github.io/Logging_2182/kartor_geotiff/A 23333-2026 georefererad karta.tif", "A 23333-2026")</f>
        <v/>
      </c>
      <c r="AA17">
        <f>HYPERLINK("https://klasma.github.io/Logging_2182/klagomål/A 23333-2026 FSC-klagomål.docx", "A 23333-2026")</f>
        <v/>
      </c>
      <c r="AB17">
        <f>HYPERLINK("https://klasma.github.io/Logging_2182/klagomålsmail/A 23333-2026 FSC-klagomål mail.docx", "A 23333-2026")</f>
        <v/>
      </c>
      <c r="AC17">
        <f>HYPERLINK("https://klasma.github.io/Logging_2182/tillsyn/A 23333-2026 tillsynsbegäran.docx", "A 23333-2026")</f>
        <v/>
      </c>
      <c r="AD17">
        <f>HYPERLINK("https://klasma.github.io/Logging_2182/tillsynsmail/A 23333-2026 tillsynsbegäran mail.docx", "A 23333-2026")</f>
        <v/>
      </c>
    </row>
    <row r="18" ht="15" customHeight="1">
      <c r="A18" t="inlineStr">
        <is>
          <t>A 24156-2026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46168</v>
      </c>
      <c r="E18" s="1" t="n">
        <v>46254</v>
      </c>
      <c r="F18" t="inlineStr">
        <is>
          <t>GÄVLEBORGS LÄN</t>
        </is>
      </c>
      <c r="G18" t="inlineStr">
        <is>
          <t>SÖDERHAMN</t>
        </is>
      </c>
      <c r="I18" t="n">
        <v>15.1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Blåsippa</t>
        </is>
      </c>
      <c r="W18">
        <f>HYPERLINK("https://klasma.github.io/Logging_2182/artfynd/A 24156-2026 artfynd.xlsx", "A 24156-2026")</f>
        <v/>
      </c>
      <c r="X18">
        <f>HYPERLINK("https://klasma.github.io/Logging_2182/kartor/A 24156-2026 karta.png", "A 24156-2026")</f>
        <v/>
      </c>
      <c r="Y18">
        <f>HYPERLINK("https://klasma.github.io/Logging_2182/kartor_geotiff/A 24156-2026 georefererad karta.tif", "A 24156-2026")</f>
        <v/>
      </c>
      <c r="AA18">
        <f>HYPERLINK("https://klasma.github.io/Logging_2182/klagomål/A 24156-2026 FSC-klagomål.docx", "A 24156-2026")</f>
        <v/>
      </c>
      <c r="AB18">
        <f>HYPERLINK("https://klasma.github.io/Logging_2182/klagomålsmail/A 24156-2026 FSC-klagomål mail.docx", "A 24156-2026")</f>
        <v/>
      </c>
      <c r="AC18">
        <f>HYPERLINK("https://klasma.github.io/Logging_2182/tillsyn/A 24156-2026 tillsynsbegäran.docx", "A 24156-2026")</f>
        <v/>
      </c>
      <c r="AD18">
        <f>HYPERLINK("https://klasma.github.io/Logging_2182/tillsynsmail/A 24156-2026 tillsynsbegäran mail.docx", "A 24156-2026")</f>
        <v/>
      </c>
    </row>
    <row r="19" ht="15" customHeight="1">
      <c r="A19" t="inlineStr">
        <is>
          <t>A 25237-2022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44729</v>
      </c>
      <c r="E19" s="1" t="n">
        <v>46254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18.6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HYPERLINK("https://klasma.github.io/Logging_2182/artfynd/A 25237-2022 artfynd.xlsx", "A 25237-2022")</f>
        <v/>
      </c>
      <c r="X19">
        <f>HYPERLINK("https://klasma.github.io/Logging_2182/kartor/A 25237-2022 karta.png", "A 25237-2022")</f>
        <v/>
      </c>
      <c r="Y19">
        <f>HYPERLINK("https://klasma.github.io/Logging_2182/kartor_geotiff/A 25237-2022 georefererad karta.tif", "A 25237-2022")</f>
        <v/>
      </c>
      <c r="AA19">
        <f>HYPERLINK("https://klasma.github.io/Logging_2182/klagomål/A 25237-2022 FSC-klagomål.docx", "A 25237-2022")</f>
        <v/>
      </c>
      <c r="AB19">
        <f>HYPERLINK("https://klasma.github.io/Logging_2182/klagomålsmail/A 25237-2022 FSC-klagomål mail.docx", "A 25237-2022")</f>
        <v/>
      </c>
      <c r="AC19">
        <f>HYPERLINK("https://klasma.github.io/Logging_2182/tillsyn/A 25237-2022 tillsynsbegäran.docx", "A 25237-2022")</f>
        <v/>
      </c>
      <c r="AD19">
        <f>HYPERLINK("https://klasma.github.io/Logging_2182/tillsynsmail/A 25237-2022 tillsynsbegäran mail.docx", "A 25237-2022")</f>
        <v/>
      </c>
      <c r="AE19">
        <f>HYPERLINK("https://klasma.github.io/Logging_2182/fåglar/A 25237-2022 prioriterade fågelarter.docx", "A 25237-2022")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46254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49305-2023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46254</v>
      </c>
      <c r="F21" t="inlineStr">
        <is>
          <t>GÄVLEBORGS LÄN</t>
        </is>
      </c>
      <c r="G21" t="inlineStr">
        <is>
          <t>SÖDERHAMN</t>
        </is>
      </c>
      <c r="I21" t="n">
        <v>1.4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Rödvingetrast
Trädlärka</t>
        </is>
      </c>
      <c r="W21">
        <f>HYPERLINK("https://klasma.github.io/Logging_2182/artfynd/A 49305-2023 artfynd.xlsx", "A 49305-2023")</f>
        <v/>
      </c>
      <c r="X21">
        <f>HYPERLINK("https://klasma.github.io/Logging_2182/kartor/A 49305-2023 karta.png", "A 49305-2023")</f>
        <v/>
      </c>
      <c r="Y21">
        <f>HYPERLINK("https://klasma.github.io/Logging_2182/kartor_geotiff/A 49305-2023 georefererad karta.tif", "A 49305-2023")</f>
        <v/>
      </c>
      <c r="AA21">
        <f>HYPERLINK("https://klasma.github.io/Logging_2182/klagomål/A 49305-2023 FSC-klagomål.docx", "A 49305-2023")</f>
        <v/>
      </c>
      <c r="AB21">
        <f>HYPERLINK("https://klasma.github.io/Logging_2182/klagomålsmail/A 49305-2023 FSC-klagomål mail.docx", "A 49305-2023")</f>
        <v/>
      </c>
      <c r="AC21">
        <f>HYPERLINK("https://klasma.github.io/Logging_2182/tillsyn/A 49305-2023 tillsynsbegäran.docx", "A 49305-2023")</f>
        <v/>
      </c>
      <c r="AD21">
        <f>HYPERLINK("https://klasma.github.io/Logging_2182/tillsynsmail/A 49305-2023 tillsynsbegäran mail.docx", "A 49305-2023")</f>
        <v/>
      </c>
      <c r="AE21">
        <f>HYPERLINK("https://klasma.github.io/Logging_2182/fåglar/A 49305-2023 prioriterade fågelarter.docx", "A 49305-2023")</f>
        <v/>
      </c>
    </row>
    <row r="22" ht="15" customHeight="1">
      <c r="A22" t="inlineStr">
        <is>
          <t>A 59754-2025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45992</v>
      </c>
      <c r="E22" s="1" t="n">
        <v>46254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2.8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Jättesvampmal
Spillkråka</t>
        </is>
      </c>
      <c r="W22">
        <f>HYPERLINK("https://klasma.github.io/Logging_2182/artfynd/A 59754-2025 artfynd.xlsx", "A 59754-2025")</f>
        <v/>
      </c>
      <c r="X22">
        <f>HYPERLINK("https://klasma.github.io/Logging_2182/kartor/A 59754-2025 karta.png", "A 59754-2025")</f>
        <v/>
      </c>
      <c r="Y22">
        <f>HYPERLINK("https://klasma.github.io/Logging_2182/kartor_geotiff/A 59754-2025 georefererad karta.tif", "A 59754-2025")</f>
        <v/>
      </c>
      <c r="AA22">
        <f>HYPERLINK("https://klasma.github.io/Logging_2182/klagomål/A 59754-2025 FSC-klagomål.docx", "A 59754-2025")</f>
        <v/>
      </c>
      <c r="AB22">
        <f>HYPERLINK("https://klasma.github.io/Logging_2182/klagomålsmail/A 59754-2025 FSC-klagomål mail.docx", "A 59754-2025")</f>
        <v/>
      </c>
      <c r="AC22">
        <f>HYPERLINK("https://klasma.github.io/Logging_2182/tillsyn/A 59754-2025 tillsynsbegäran.docx", "A 59754-2025")</f>
        <v/>
      </c>
      <c r="AD22">
        <f>HYPERLINK("https://klasma.github.io/Logging_2182/tillsynsmail/A 59754-2025 tillsynsbegäran mail.docx", "A 59754-2025")</f>
        <v/>
      </c>
      <c r="AE22">
        <f>HYPERLINK("https://klasma.github.io/Logging_2182/fåglar/A 59754-2025 prioriterade fågelarter.docx", "A 59754-2025")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46254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46254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46254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46254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46254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46254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41258-2022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44826</v>
      </c>
      <c r="E30" s="1" t="n">
        <v>46254</v>
      </c>
      <c r="F30" t="inlineStr">
        <is>
          <t>GÄVLEBORGS LÄN</t>
        </is>
      </c>
      <c r="G30" t="inlineStr">
        <is>
          <t>SÖDERHAMN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Rosenticka</t>
        </is>
      </c>
      <c r="W30">
        <f>HYPERLINK("https://klasma.github.io/Logging_2182/artfynd/A 41258-2022 artfynd.xlsx", "A 41258-2022")</f>
        <v/>
      </c>
      <c r="X30">
        <f>HYPERLINK("https://klasma.github.io/Logging_2182/kartor/A 41258-2022 karta.png", "A 41258-2022")</f>
        <v/>
      </c>
      <c r="Y30">
        <f>HYPERLINK("https://klasma.github.io/Logging_2182/kartor_geotiff/A 41258-2022 georefererad karta.tif", "A 41258-2022")</f>
        <v/>
      </c>
      <c r="AA30">
        <f>HYPERLINK("https://klasma.github.io/Logging_2182/klagomål/A 41258-2022 FSC-klagomål.docx", "A 41258-2022")</f>
        <v/>
      </c>
      <c r="AB30">
        <f>HYPERLINK("https://klasma.github.io/Logging_2182/klagomålsmail/A 41258-2022 FSC-klagomål mail.docx", "A 41258-2022")</f>
        <v/>
      </c>
      <c r="AC30">
        <f>HYPERLINK("https://klasma.github.io/Logging_2182/tillsyn/A 41258-2022 tillsynsbegäran.docx", "A 41258-2022")</f>
        <v/>
      </c>
      <c r="AD30">
        <f>HYPERLINK("https://klasma.github.io/Logging_2182/tillsynsmail/A 41258-2022 tillsynsbegäran mail.docx", "A 41258-2022")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46254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46254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46254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55768-2025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45972</v>
      </c>
      <c r="E34" s="1" t="n">
        <v>46254</v>
      </c>
      <c r="F34" t="inlineStr">
        <is>
          <t>GÄVLEBORGS LÄN</t>
        </is>
      </c>
      <c r="G34" t="inlineStr">
        <is>
          <t>SÖDERHAMN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Sydlig ladlav</t>
        </is>
      </c>
      <c r="W34">
        <f>HYPERLINK("https://klasma.github.io/Logging_2182/artfynd/A 55768-2025 artfynd.xlsx", "A 55768-2025")</f>
        <v/>
      </c>
      <c r="X34">
        <f>HYPERLINK("https://klasma.github.io/Logging_2182/kartor/A 55768-2025 karta.png", "A 55768-2025")</f>
        <v/>
      </c>
      <c r="Y34">
        <f>HYPERLINK("https://klasma.github.io/Logging_2182/kartor_geotiff/A 55768-2025 georefererad karta.tif", "A 55768-2025")</f>
        <v/>
      </c>
      <c r="AA34">
        <f>HYPERLINK("https://klasma.github.io/Logging_2182/klagomål/A 55768-2025 FSC-klagomål.docx", "A 55768-2025")</f>
        <v/>
      </c>
      <c r="AB34">
        <f>HYPERLINK("https://klasma.github.io/Logging_2182/klagomålsmail/A 55768-2025 FSC-klagomål mail.docx", "A 55768-2025")</f>
        <v/>
      </c>
      <c r="AC34">
        <f>HYPERLINK("https://klasma.github.io/Logging_2182/tillsyn/A 55768-2025 tillsynsbegäran.docx", "A 55768-2025")</f>
        <v/>
      </c>
      <c r="AD34">
        <f>HYPERLINK("https://klasma.github.io/Logging_2182/tillsynsmail/A 55768-2025 tillsynsbegäran mail.docx", "A 55768-2025")</f>
        <v/>
      </c>
    </row>
    <row r="35" ht="15" customHeight="1">
      <c r="A35" t="inlineStr">
        <is>
          <t>A 40097-2024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46254</v>
      </c>
      <c r="F35" t="inlineStr">
        <is>
          <t>GÄVLEBORGS LÄN</t>
        </is>
      </c>
      <c r="G35" t="inlineStr">
        <is>
          <t>SÖDERHAMN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40097-2024 artfynd.xlsx", "A 40097-2024")</f>
        <v/>
      </c>
      <c r="X35">
        <f>HYPERLINK("https://klasma.github.io/Logging_2182/kartor/A 40097-2024 karta.png", "A 40097-2024")</f>
        <v/>
      </c>
      <c r="Y35">
        <f>HYPERLINK("https://klasma.github.io/Logging_2182/kartor_geotiff/A 40097-2024 georefererad karta.tif", "A 40097-2024")</f>
        <v/>
      </c>
      <c r="AA35">
        <f>HYPERLINK("https://klasma.github.io/Logging_2182/klagomål/A 40097-2024 FSC-klagomål.docx", "A 40097-2024")</f>
        <v/>
      </c>
      <c r="AB35">
        <f>HYPERLINK("https://klasma.github.io/Logging_2182/klagomålsmail/A 40097-2024 FSC-klagomål mail.docx", "A 40097-2024")</f>
        <v/>
      </c>
      <c r="AC35">
        <f>HYPERLINK("https://klasma.github.io/Logging_2182/tillsyn/A 40097-2024 tillsynsbegäran.docx", "A 40097-2024")</f>
        <v/>
      </c>
      <c r="AD35">
        <f>HYPERLINK("https://klasma.github.io/Logging_2182/tillsynsmail/A 40097-2024 tillsynsbegäran mail.docx", "A 40097-2024")</f>
        <v/>
      </c>
    </row>
    <row r="36" ht="15" customHeight="1">
      <c r="A36" t="inlineStr">
        <is>
          <t>A 58261-2024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46254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58261-2024 artfynd.xlsx", "A 58261-2024")</f>
        <v/>
      </c>
      <c r="X36">
        <f>HYPERLINK("https://klasma.github.io/Logging_2182/kartor/A 58261-2024 karta.png", "A 58261-2024")</f>
        <v/>
      </c>
      <c r="Y36">
        <f>HYPERLINK("https://klasma.github.io/Logging_2182/kartor_geotiff/A 58261-2024 georefererad karta.tif", "A 58261-2024")</f>
        <v/>
      </c>
      <c r="AA36">
        <f>HYPERLINK("https://klasma.github.io/Logging_2182/klagomål/A 58261-2024 FSC-klagomål.docx", "A 58261-2024")</f>
        <v/>
      </c>
      <c r="AB36">
        <f>HYPERLINK("https://klasma.github.io/Logging_2182/klagomålsmail/A 58261-2024 FSC-klagomål mail.docx", "A 58261-2024")</f>
        <v/>
      </c>
      <c r="AC36">
        <f>HYPERLINK("https://klasma.github.io/Logging_2182/tillsyn/A 58261-2024 tillsynsbegäran.docx", "A 58261-2024")</f>
        <v/>
      </c>
      <c r="AD36">
        <f>HYPERLINK("https://klasma.github.io/Logging_2182/tillsynsmail/A 58261-2024 tillsynsbegäran mail.docx", "A 58261-2024")</f>
        <v/>
      </c>
    </row>
    <row r="37" ht="15" customHeight="1">
      <c r="A37" t="inlineStr">
        <is>
          <t>A 58077-2024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46254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Motaggsvamp</t>
        </is>
      </c>
      <c r="W37">
        <f>HYPERLINK("https://klasma.github.io/Logging_2182/artfynd/A 58077-2024 artfynd.xlsx", "A 58077-2024")</f>
        <v/>
      </c>
      <c r="X37">
        <f>HYPERLINK("https://klasma.github.io/Logging_2182/kartor/A 58077-2024 karta.png", "A 58077-2024")</f>
        <v/>
      </c>
      <c r="Y37">
        <f>HYPERLINK("https://klasma.github.io/Logging_2182/kartor_geotiff/A 58077-2024 georefererad karta.tif", "A 58077-2024")</f>
        <v/>
      </c>
      <c r="AA37">
        <f>HYPERLINK("https://klasma.github.io/Logging_2182/klagomål/A 58077-2024 FSC-klagomål.docx", "A 58077-2024")</f>
        <v/>
      </c>
      <c r="AB37">
        <f>HYPERLINK("https://klasma.github.io/Logging_2182/klagomålsmail/A 58077-2024 FSC-klagomål mail.docx", "A 58077-2024")</f>
        <v/>
      </c>
      <c r="AC37">
        <f>HYPERLINK("https://klasma.github.io/Logging_2182/tillsyn/A 58077-2024 tillsynsbegäran.docx", "A 58077-2024")</f>
        <v/>
      </c>
      <c r="AD37">
        <f>HYPERLINK("https://klasma.github.io/Logging_2182/tillsynsmail/A 58077-2024 tillsynsbegäran mail.docx", "A 58077-2024")</f>
        <v/>
      </c>
    </row>
    <row r="38" ht="15" customHeight="1">
      <c r="A38" t="inlineStr">
        <is>
          <t>A 51157-2025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45947</v>
      </c>
      <c r="E38" s="1" t="n">
        <v>46254</v>
      </c>
      <c r="F38" t="inlineStr">
        <is>
          <t>GÄVLEBORGS LÄN</t>
        </is>
      </c>
      <c r="G38" t="inlineStr">
        <is>
          <t>SÖDERHAMN</t>
        </is>
      </c>
      <c r="I38" t="n">
        <v>10.2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Gråspett</t>
        </is>
      </c>
      <c r="W38">
        <f>HYPERLINK("https://klasma.github.io/Logging_2182/artfynd/A 51157-2025 artfynd.xlsx", "A 51157-2025")</f>
        <v/>
      </c>
      <c r="X38">
        <f>HYPERLINK("https://klasma.github.io/Logging_2182/kartor/A 51157-2025 karta.png", "A 51157-2025")</f>
        <v/>
      </c>
      <c r="Y38">
        <f>HYPERLINK("https://klasma.github.io/Logging_2182/kartor_geotiff/A 51157-2025 georefererad karta.tif", "A 51157-2025")</f>
        <v/>
      </c>
      <c r="AA38">
        <f>HYPERLINK("https://klasma.github.io/Logging_2182/klagomål/A 51157-2025 FSC-klagomål.docx", "A 51157-2025")</f>
        <v/>
      </c>
      <c r="AB38">
        <f>HYPERLINK("https://klasma.github.io/Logging_2182/klagomålsmail/A 51157-2025 FSC-klagomål mail.docx", "A 51157-2025")</f>
        <v/>
      </c>
      <c r="AC38">
        <f>HYPERLINK("https://klasma.github.io/Logging_2182/tillsyn/A 51157-2025 tillsynsbegäran.docx", "A 51157-2025")</f>
        <v/>
      </c>
      <c r="AD38">
        <f>HYPERLINK("https://klasma.github.io/Logging_2182/tillsynsmail/A 51157-2025 tillsynsbegäran mail.docx", "A 51157-2025")</f>
        <v/>
      </c>
      <c r="AE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46254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2755-2022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46254</v>
      </c>
      <c r="F40" t="inlineStr">
        <is>
          <t>GÄVLEBORGS LÄN</t>
        </is>
      </c>
      <c r="G40" t="inlineStr">
        <is>
          <t>SÖDERHAMN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Fläcknycklar</t>
        </is>
      </c>
      <c r="W40">
        <f>HYPERLINK("https://klasma.github.io/Logging_2182/artfynd/A 2755-2022 artfynd.xlsx", "A 2755-2022")</f>
        <v/>
      </c>
      <c r="X40">
        <f>HYPERLINK("https://klasma.github.io/Logging_2182/kartor/A 2755-2022 karta.png", "A 2755-2022")</f>
        <v/>
      </c>
      <c r="Y40">
        <f>HYPERLINK("https://klasma.github.io/Logging_2182/kartor_geotiff/A 2755-2022 georefererad karta.tif", "A 2755-2022")</f>
        <v/>
      </c>
      <c r="AA40">
        <f>HYPERLINK("https://klasma.github.io/Logging_2182/klagomål/A 2755-2022 FSC-klagomål.docx", "A 2755-2022")</f>
        <v/>
      </c>
      <c r="AB40">
        <f>HYPERLINK("https://klasma.github.io/Logging_2182/klagomålsmail/A 2755-2022 FSC-klagomål mail.docx", "A 2755-2022")</f>
        <v/>
      </c>
      <c r="AC40">
        <f>HYPERLINK("https://klasma.github.io/Logging_2182/tillsyn/A 2755-2022 tillsynsbegäran.docx", "A 2755-2022")</f>
        <v/>
      </c>
      <c r="AD40">
        <f>HYPERLINK("https://klasma.github.io/Logging_2182/tillsynsmail/A 2755-2022 tillsynsbegäran mail.docx", "A 2755-2022")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46254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46254</v>
      </c>
      <c r="F42" t="inlineStr">
        <is>
          <t>GÄVLEBORGS LÄN</t>
        </is>
      </c>
      <c r="G42" t="inlineStr">
        <is>
          <t>SÖDERHAMN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HYPERLINK("https://klasma.github.io/Logging_2182/artfynd/A 60322-2025 artfynd.xlsx", "A 60322-2025")</f>
        <v/>
      </c>
      <c r="X42">
        <f>HYPERLINK("https://klasma.github.io/Logging_2182/kartor/A 60322-2025 karta.png", "A 60322-2025")</f>
        <v/>
      </c>
      <c r="Y42">
        <f>HYPERLINK("https://klasma.github.io/Logging_2182/kartor_geotiff/A 60322-2025 georefererad karta.tif", "A 60322-2025")</f>
        <v/>
      </c>
      <c r="AA42">
        <f>HYPERLINK("https://klasma.github.io/Logging_2182/klagomål/A 60322-2025 FSC-klagomål.docx", "A 60322-2025")</f>
        <v/>
      </c>
      <c r="AB42">
        <f>HYPERLINK("https://klasma.github.io/Logging_2182/klagomålsmail/A 60322-2025 FSC-klagomål mail.docx", "A 60322-2025")</f>
        <v/>
      </c>
      <c r="AC42">
        <f>HYPERLINK("https://klasma.github.io/Logging_2182/tillsyn/A 60322-2025 tillsynsbegäran.docx", "A 60322-2025")</f>
        <v/>
      </c>
      <c r="AD42">
        <f>HYPERLINK("https://klasma.github.io/Logging_2182/tillsynsmail/A 60322-2025 tillsynsbegäran mail.docx", "A 60322-2025")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46254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46254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46254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46254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46254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46254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46254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46254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46254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46254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46254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46254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46254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46254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46254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46254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46254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46254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46254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46254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46254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46254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46254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46254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46254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46254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46254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46254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46254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46254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46254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46254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46254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46254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46254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46254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46254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46254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46254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46254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46254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46254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46254</v>
      </c>
      <c r="F86" t="inlineStr">
        <is>
          <t>GÄVLEBORGS LÄN</t>
        </is>
      </c>
      <c r="G86" t="inlineStr">
        <is>
          <t>SÖDERHAMN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46254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46254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46254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46254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46254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58544-2023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45251</v>
      </c>
      <c r="E92" s="1" t="n">
        <v>46254</v>
      </c>
      <c r="F92" t="inlineStr">
        <is>
          <t>GÄVLEBORGS LÄN</t>
        </is>
      </c>
      <c r="G92" t="inlineStr">
        <is>
          <t>SÖDERHAMN</t>
        </is>
      </c>
      <c r="H92" t="inlineStr">
        <is>
          <t>Bergvik skog väst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46254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46254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46254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46254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46254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46254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46254</v>
      </c>
      <c r="F99" t="inlineStr">
        <is>
          <t>GÄVLEBORGS LÄN</t>
        </is>
      </c>
      <c r="G99" t="inlineStr">
        <is>
          <t>SÖDERHAMN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46254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46254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46254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46254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46254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46254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46254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46254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44665</v>
      </c>
      <c r="E108" s="1" t="n">
        <v>46254</v>
      </c>
      <c r="F108" t="inlineStr">
        <is>
          <t>GÄVLEBORGS LÄN</t>
        </is>
      </c>
      <c r="G108" t="inlineStr">
        <is>
          <t>SÖDERHAMN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46254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46254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46254</v>
      </c>
      <c r="F111" t="inlineStr">
        <is>
          <t>GÄVLEBORGS LÄN</t>
        </is>
      </c>
      <c r="G111" t="inlineStr">
        <is>
          <t>SÖDERHAMN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46254</v>
      </c>
      <c r="F112" t="inlineStr">
        <is>
          <t>GÄVLEBORGS LÄN</t>
        </is>
      </c>
      <c r="G112" t="inlineStr">
        <is>
          <t>SÖDERHAMN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46254</v>
      </c>
      <c r="F113" t="inlineStr">
        <is>
          <t>GÄVLEBORGS LÄN</t>
        </is>
      </c>
      <c r="G113" t="inlineStr">
        <is>
          <t>SÖDERHAMN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46254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46254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46254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46254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46254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46254</v>
      </c>
      <c r="F119" t="inlineStr">
        <is>
          <t>GÄVLEBORGS LÄN</t>
        </is>
      </c>
      <c r="G119" t="inlineStr">
        <is>
          <t>SÖDERHAMN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45188</v>
      </c>
      <c r="E120" s="1" t="n">
        <v>46254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45188</v>
      </c>
      <c r="E121" s="1" t="n">
        <v>46254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45673</v>
      </c>
      <c r="E122" s="1" t="n">
        <v>46254</v>
      </c>
      <c r="F122" t="inlineStr">
        <is>
          <t>GÄVLEBORGS LÄN</t>
        </is>
      </c>
      <c r="G122" t="inlineStr">
        <is>
          <t>SÖDERHAMN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45008</v>
      </c>
      <c r="E123" s="1" t="n">
        <v>46254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45108</v>
      </c>
      <c r="E124" s="1" t="n">
        <v>46254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46254</v>
      </c>
      <c r="F125" t="inlineStr">
        <is>
          <t>GÄVLEBORGS LÄN</t>
        </is>
      </c>
      <c r="G125" t="inlineStr">
        <is>
          <t>SÖDERHAMN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45670</v>
      </c>
      <c r="E126" s="1" t="n">
        <v>46254</v>
      </c>
      <c r="F126" t="inlineStr">
        <is>
          <t>GÄVLEBORGS LÄN</t>
        </is>
      </c>
      <c r="G126" t="inlineStr">
        <is>
          <t>SÖDERHAMN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46254</v>
      </c>
      <c r="F127" t="inlineStr">
        <is>
          <t>GÄVLEBORGS LÄN</t>
        </is>
      </c>
      <c r="G127" t="inlineStr">
        <is>
          <t>SÖDERHAMN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46254</v>
      </c>
      <c r="F128" t="inlineStr">
        <is>
          <t>GÄVLEBORGS LÄN</t>
        </is>
      </c>
      <c r="G128" t="inlineStr">
        <is>
          <t>SÖDERHAMN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45670</v>
      </c>
      <c r="E129" s="1" t="n">
        <v>46254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46254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46254</v>
      </c>
      <c r="F131" t="inlineStr">
        <is>
          <t>GÄVLEBORGS LÄN</t>
        </is>
      </c>
      <c r="G131" t="inlineStr">
        <is>
          <t>SÖDERHAMN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46254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46254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38355-2022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44812</v>
      </c>
      <c r="E134" s="1" t="n">
        <v>46254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45084</v>
      </c>
      <c r="E135" s="1" t="n">
        <v>46254</v>
      </c>
      <c r="F135" t="inlineStr">
        <is>
          <t>GÄVLEBORGS LÄN</t>
        </is>
      </c>
      <c r="G135" t="inlineStr">
        <is>
          <t>SÖDERHAMN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46254</v>
      </c>
      <c r="F136" t="inlineStr">
        <is>
          <t>GÄVLEBORGS LÄN</t>
        </is>
      </c>
      <c r="G136" t="inlineStr">
        <is>
          <t>SÖDERHAMN</t>
        </is>
      </c>
      <c r="H136" t="inlineStr">
        <is>
          <t>Kommuner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71645-2021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46254</v>
      </c>
      <c r="F137" t="inlineStr">
        <is>
          <t>GÄVLEBORGS LÄN</t>
        </is>
      </c>
      <c r="G137" t="inlineStr">
        <is>
          <t>SÖDERHAMN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41221-2022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44826</v>
      </c>
      <c r="E138" s="1" t="n">
        <v>46254</v>
      </c>
      <c r="F138" t="inlineStr">
        <is>
          <t>GÄVLEBORGS LÄN</t>
        </is>
      </c>
      <c r="G138" t="inlineStr">
        <is>
          <t>SÖDERHAMN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46254</v>
      </c>
      <c r="F139" t="inlineStr">
        <is>
          <t>GÄVLEBORGS LÄN</t>
        </is>
      </c>
      <c r="G139" t="inlineStr">
        <is>
          <t>SÖDERHAMN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44757</v>
      </c>
      <c r="E140" s="1" t="n">
        <v>46254</v>
      </c>
      <c r="F140" t="inlineStr">
        <is>
          <t>GÄVLEBORGS LÄN</t>
        </is>
      </c>
      <c r="G140" t="inlineStr">
        <is>
          <t>SÖDERHAMN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46254</v>
      </c>
      <c r="F141" t="inlineStr">
        <is>
          <t>GÄVLEBORGS LÄN</t>
        </is>
      </c>
      <c r="G141" t="inlineStr">
        <is>
          <t>SÖDERHAMN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44856</v>
      </c>
      <c r="E142" s="1" t="n">
        <v>46254</v>
      </c>
      <c r="F142" t="inlineStr">
        <is>
          <t>GÄVLEBORGS LÄN</t>
        </is>
      </c>
      <c r="G142" t="inlineStr">
        <is>
          <t>SÖDERHAMN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6792-2024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45342</v>
      </c>
      <c r="E143" s="1" t="n">
        <v>46254</v>
      </c>
      <c r="F143" t="inlineStr">
        <is>
          <t>GÄVLEBORGS LÄN</t>
        </is>
      </c>
      <c r="G143" t="inlineStr">
        <is>
          <t>SÖDERHAMN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46254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46254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46254</v>
      </c>
      <c r="F146" t="inlineStr">
        <is>
          <t>GÄVLEBORGS LÄN</t>
        </is>
      </c>
      <c r="G146" t="inlineStr">
        <is>
          <t>SÖDERHAMN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24933-2024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45461</v>
      </c>
      <c r="E147" s="1" t="n">
        <v>46254</v>
      </c>
      <c r="F147" t="inlineStr">
        <is>
          <t>GÄVLEBORGS LÄN</t>
        </is>
      </c>
      <c r="G147" t="inlineStr">
        <is>
          <t>SÖDERHAMN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46043</v>
      </c>
      <c r="E148" s="1" t="n">
        <v>46254</v>
      </c>
      <c r="F148" t="inlineStr">
        <is>
          <t>GÄVLEBORGS LÄN</t>
        </is>
      </c>
      <c r="G148" t="inlineStr">
        <is>
          <t>SÖDERHAMN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46254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46254</v>
      </c>
      <c r="F150" t="inlineStr">
        <is>
          <t>GÄVLEBORGS LÄN</t>
        </is>
      </c>
      <c r="G150" t="inlineStr">
        <is>
          <t>SÖDERHAMN</t>
        </is>
      </c>
      <c r="I150" t="n">
        <v>11.2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46254</v>
      </c>
      <c r="F151" t="inlineStr">
        <is>
          <t>GÄVLEBORGS LÄN</t>
        </is>
      </c>
      <c r="G151" t="inlineStr">
        <is>
          <t>SÖDERHAMN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46254</v>
      </c>
      <c r="F152" t="inlineStr">
        <is>
          <t>GÄVLEBORGS LÄN</t>
        </is>
      </c>
      <c r="G152" t="inlineStr">
        <is>
          <t>SÖDERHAMN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46254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46254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46254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46254</v>
      </c>
      <c r="F156" t="inlineStr">
        <is>
          <t>GÄVLEBORGS LÄN</t>
        </is>
      </c>
      <c r="G156" t="inlineStr">
        <is>
          <t>SÖDERHAMN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45296</v>
      </c>
      <c r="E157" s="1" t="n">
        <v>46254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46254</v>
      </c>
      <c r="F158" t="inlineStr">
        <is>
          <t>GÄVLEBORGS LÄN</t>
        </is>
      </c>
      <c r="G158" t="inlineStr">
        <is>
          <t>SÖDERHAMN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46254</v>
      </c>
      <c r="F159" t="inlineStr">
        <is>
          <t>GÄVLEBORGS LÄN</t>
        </is>
      </c>
      <c r="G159" t="inlineStr">
        <is>
          <t>SÖDERHAMN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46254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46254</v>
      </c>
      <c r="F161" t="inlineStr">
        <is>
          <t>GÄVLEBORGS LÄN</t>
        </is>
      </c>
      <c r="G161" t="inlineStr">
        <is>
          <t>SÖDERHAMN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46254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46254</v>
      </c>
      <c r="F163" t="inlineStr">
        <is>
          <t>GÄVLEBORGS LÄN</t>
        </is>
      </c>
      <c r="G163" t="inlineStr">
        <is>
          <t>SÖDERHAMN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46254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46087</v>
      </c>
      <c r="E165" s="1" t="n">
        <v>46254</v>
      </c>
      <c r="F165" t="inlineStr">
        <is>
          <t>GÄVLEBORGS LÄN</t>
        </is>
      </c>
      <c r="G165" t="inlineStr">
        <is>
          <t>SÖDERHAMN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46254</v>
      </c>
      <c r="F166" t="inlineStr">
        <is>
          <t>GÄVLEBORGS LÄN</t>
        </is>
      </c>
      <c r="G166" t="inlineStr">
        <is>
          <t>SÖDERHAMN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46097</v>
      </c>
      <c r="E167" s="1" t="n">
        <v>46254</v>
      </c>
      <c r="F167" t="inlineStr">
        <is>
          <t>GÄVLEBORGS LÄN</t>
        </is>
      </c>
      <c r="G167" t="inlineStr">
        <is>
          <t>SÖDERHAMN</t>
        </is>
      </c>
      <c r="I167" t="n">
        <v>14.2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46254</v>
      </c>
      <c r="F168" t="inlineStr">
        <is>
          <t>GÄVLEBORGS LÄN</t>
        </is>
      </c>
      <c r="G168" t="inlineStr">
        <is>
          <t>SÖDERHAMN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44662</v>
      </c>
      <c r="E169" s="1" t="n">
        <v>46254</v>
      </c>
      <c r="F169" t="inlineStr">
        <is>
          <t>GÄVLEBORGS LÄN</t>
        </is>
      </c>
      <c r="G169" t="inlineStr">
        <is>
          <t>SÖDERHAMN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46254</v>
      </c>
      <c r="F170" t="inlineStr">
        <is>
          <t>GÄVLEBORGS LÄN</t>
        </is>
      </c>
      <c r="G170" t="inlineStr">
        <is>
          <t>SÖDERHAMN</t>
        </is>
      </c>
      <c r="I170" t="n">
        <v>11.2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46254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46254</v>
      </c>
      <c r="F172" t="inlineStr">
        <is>
          <t>GÄVLEBORGS LÄN</t>
        </is>
      </c>
      <c r="G172" t="inlineStr">
        <is>
          <t>SÖDERHAMN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46254</v>
      </c>
      <c r="F173" t="inlineStr">
        <is>
          <t>GÄVLEBORGS LÄN</t>
        </is>
      </c>
      <c r="G173" t="inlineStr">
        <is>
          <t>SÖDERHAMN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46254</v>
      </c>
      <c r="F174" t="inlineStr">
        <is>
          <t>GÄVLEBORGS LÄN</t>
        </is>
      </c>
      <c r="G174" t="inlineStr">
        <is>
          <t>SÖDERHAMN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46254</v>
      </c>
      <c r="F175" t="inlineStr">
        <is>
          <t>GÄVLEBORGS LÄN</t>
        </is>
      </c>
      <c r="G175" t="inlineStr">
        <is>
          <t>SÖDERHAMN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46254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46254</v>
      </c>
      <c r="F177" t="inlineStr">
        <is>
          <t>GÄVLEBORGS LÄN</t>
        </is>
      </c>
      <c r="G177" t="inlineStr">
        <is>
          <t>SÖDERHAMN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46098</v>
      </c>
      <c r="E178" s="1" t="n">
        <v>46254</v>
      </c>
      <c r="F178" t="inlineStr">
        <is>
          <t>GÄVLEBORGS LÄN</t>
        </is>
      </c>
      <c r="G178" t="inlineStr">
        <is>
          <t>SÖDERHAMN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46254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46254</v>
      </c>
      <c r="F180" t="inlineStr">
        <is>
          <t>GÄVLEBORGS LÄN</t>
        </is>
      </c>
      <c r="G180" t="inlineStr">
        <is>
          <t>SÖDERHAMN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46254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Kommuner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46254</v>
      </c>
      <c r="F182" t="inlineStr">
        <is>
          <t>GÄVLEBORGS LÄN</t>
        </is>
      </c>
      <c r="G182" t="inlineStr">
        <is>
          <t>SÖDERHAMN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46254</v>
      </c>
      <c r="F183" t="inlineStr">
        <is>
          <t>GÄVLEBORGS LÄN</t>
        </is>
      </c>
      <c r="G183" t="inlineStr">
        <is>
          <t>SÖDERHAMN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46142</v>
      </c>
      <c r="E184" s="1" t="n">
        <v>46254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45899</v>
      </c>
      <c r="E185" s="1" t="n">
        <v>46254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46254</v>
      </c>
      <c r="F186" t="inlineStr">
        <is>
          <t>GÄVLEBORGS LÄN</t>
        </is>
      </c>
      <c r="G186" t="inlineStr">
        <is>
          <t>SÖDERHAMN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46254</v>
      </c>
      <c r="F187" t="inlineStr">
        <is>
          <t>GÄVLEBORGS LÄN</t>
        </is>
      </c>
      <c r="G187" t="inlineStr">
        <is>
          <t>SÖDERHAMN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55765-2025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45972</v>
      </c>
      <c r="E188" s="1" t="n">
        <v>46254</v>
      </c>
      <c r="F188" t="inlineStr">
        <is>
          <t>GÄVLEBORGS LÄN</t>
        </is>
      </c>
      <c r="G188" t="inlineStr">
        <is>
          <t>SÖDERHAMN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46024</v>
      </c>
      <c r="E189" s="1" t="n">
        <v>46254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46254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45597</v>
      </c>
      <c r="E191" s="1" t="n">
        <v>46254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46254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46147</v>
      </c>
      <c r="E193" s="1" t="n">
        <v>46254</v>
      </c>
      <c r="F193" t="inlineStr">
        <is>
          <t>GÄVLEBORGS LÄN</t>
        </is>
      </c>
      <c r="G193" t="inlineStr">
        <is>
          <t>SÖDERHAMN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46147</v>
      </c>
      <c r="E194" s="1" t="n">
        <v>46254</v>
      </c>
      <c r="F194" t="inlineStr">
        <is>
          <t>GÄVLEBORGS LÄN</t>
        </is>
      </c>
      <c r="G194" t="inlineStr">
        <is>
          <t>SÖDERHAMN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45040</v>
      </c>
      <c r="E195" s="1" t="n">
        <v>46254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46254</v>
      </c>
      <c r="F196" t="inlineStr">
        <is>
          <t>GÄVLEBORGS LÄN</t>
        </is>
      </c>
      <c r="G196" t="inlineStr">
        <is>
          <t>SÖDERHAMN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46254</v>
      </c>
      <c r="F197" t="inlineStr">
        <is>
          <t>GÄVLEBORGS LÄN</t>
        </is>
      </c>
      <c r="G197" t="inlineStr">
        <is>
          <t>SÖDERHAMN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46254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45254</v>
      </c>
      <c r="E199" s="1" t="n">
        <v>46254</v>
      </c>
      <c r="F199" t="inlineStr">
        <is>
          <t>GÄVLEBORGS LÄN</t>
        </is>
      </c>
      <c r="G199" t="inlineStr">
        <is>
          <t>SÖDERHAMN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46254</v>
      </c>
      <c r="F200" t="inlineStr">
        <is>
          <t>GÄVLEBORGS LÄN</t>
        </is>
      </c>
      <c r="G200" t="inlineStr">
        <is>
          <t>SÖDERHAMN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46148</v>
      </c>
      <c r="E201" s="1" t="n">
        <v>46254</v>
      </c>
      <c r="F201" t="inlineStr">
        <is>
          <t>GÄVLEBORGS LÄN</t>
        </is>
      </c>
      <c r="G201" t="inlineStr">
        <is>
          <t>SÖDERHAMN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42501-2025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46254</v>
      </c>
      <c r="F202" t="inlineStr">
        <is>
          <t>GÄVLEBORGS LÄN</t>
        </is>
      </c>
      <c r="G202" t="inlineStr">
        <is>
          <t>SÖDERHAMN</t>
        </is>
      </c>
      <c r="H202" t="inlineStr">
        <is>
          <t>Bergvik skog väst AB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46254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46254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46254</v>
      </c>
      <c r="F205" t="inlineStr">
        <is>
          <t>GÄVLEBORGS LÄN</t>
        </is>
      </c>
      <c r="G205" t="inlineStr">
        <is>
          <t>SÖDERHAMN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46254</v>
      </c>
      <c r="F206" t="inlineStr">
        <is>
          <t>GÄVLEBORGS LÄN</t>
        </is>
      </c>
      <c r="G206" t="inlineStr">
        <is>
          <t>SÖDERHAMN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46254</v>
      </c>
      <c r="F207" t="inlineStr">
        <is>
          <t>GÄVLEBORGS LÄN</t>
        </is>
      </c>
      <c r="G207" t="inlineStr">
        <is>
          <t>SÖDERHAMN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46254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45393</v>
      </c>
      <c r="E209" s="1" t="n">
        <v>46254</v>
      </c>
      <c r="F209" t="inlineStr">
        <is>
          <t>GÄVLEBORGS LÄN</t>
        </is>
      </c>
      <c r="G209" t="inlineStr">
        <is>
          <t>SÖDERHAMN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56502-2023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46254</v>
      </c>
      <c r="F210" t="inlineStr">
        <is>
          <t>GÄVLEBORGS LÄN</t>
        </is>
      </c>
      <c r="G210" t="inlineStr">
        <is>
          <t>SÖDERHAMN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46254</v>
      </c>
      <c r="F211" t="inlineStr">
        <is>
          <t>GÄVLEBORGS LÄN</t>
        </is>
      </c>
      <c r="G211" t="inlineStr">
        <is>
          <t>SÖDERHAMN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46254</v>
      </c>
      <c r="F212" t="inlineStr">
        <is>
          <t>GÄVLEBORGS LÄN</t>
        </is>
      </c>
      <c r="G212" t="inlineStr">
        <is>
          <t>SÖDERHAMN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45677</v>
      </c>
      <c r="E213" s="1" t="n">
        <v>46254</v>
      </c>
      <c r="F213" t="inlineStr">
        <is>
          <t>GÄVLEBORGS LÄN</t>
        </is>
      </c>
      <c r="G213" t="inlineStr">
        <is>
          <t>SÖDERHAMN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46254</v>
      </c>
      <c r="F214" t="inlineStr">
        <is>
          <t>GÄVLEBORGS LÄN</t>
        </is>
      </c>
      <c r="G214" t="inlineStr">
        <is>
          <t>SÖDERHAMN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46254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46254</v>
      </c>
      <c r="F216" t="inlineStr">
        <is>
          <t>GÄVLEBORGS LÄN</t>
        </is>
      </c>
      <c r="G216" t="inlineStr">
        <is>
          <t>SÖDERHAMN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46254</v>
      </c>
      <c r="F217" t="inlineStr">
        <is>
          <t>GÄVLEBORGS LÄN</t>
        </is>
      </c>
      <c r="G217" t="inlineStr">
        <is>
          <t>SÖDERHAMN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46254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46254</v>
      </c>
      <c r="F219" t="inlineStr">
        <is>
          <t>GÄVLEBORGS LÄN</t>
        </is>
      </c>
      <c r="G219" t="inlineStr">
        <is>
          <t>SÖDERHAMN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46254</v>
      </c>
      <c r="F220" t="inlineStr">
        <is>
          <t>GÄVLEBORGS LÄN</t>
        </is>
      </c>
      <c r="G220" t="inlineStr">
        <is>
          <t>SÖDERHAMN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46254</v>
      </c>
      <c r="F221" t="inlineStr">
        <is>
          <t>GÄVLEBORGS LÄN</t>
        </is>
      </c>
      <c r="G221" t="inlineStr">
        <is>
          <t>SÖDERHAMN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46254</v>
      </c>
      <c r="F222" t="inlineStr">
        <is>
          <t>GÄVLEBORGS LÄN</t>
        </is>
      </c>
      <c r="G222" t="inlineStr">
        <is>
          <t>SÖDERHAMN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46254</v>
      </c>
      <c r="F223" t="inlineStr">
        <is>
          <t>GÄVLEBORGS LÄN</t>
        </is>
      </c>
      <c r="G223" t="inlineStr">
        <is>
          <t>SÖDERHAMN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46254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46254</v>
      </c>
      <c r="F225" t="inlineStr">
        <is>
          <t>GÄVLEBORGS LÄN</t>
        </is>
      </c>
      <c r="G225" t="inlineStr">
        <is>
          <t>SÖDERHAMN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46254</v>
      </c>
      <c r="F226" t="inlineStr">
        <is>
          <t>GÄVLEBORGS LÄN</t>
        </is>
      </c>
      <c r="G226" t="inlineStr">
        <is>
          <t>SÖDERHAMN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46254</v>
      </c>
      <c r="F227" t="inlineStr">
        <is>
          <t>GÄVLEBORGS LÄN</t>
        </is>
      </c>
      <c r="G227" t="inlineStr">
        <is>
          <t>SÖDERHAMN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46254</v>
      </c>
      <c r="F228" t="inlineStr">
        <is>
          <t>GÄVLEBORGS LÄN</t>
        </is>
      </c>
      <c r="G228" t="inlineStr">
        <is>
          <t>SÖDERHAMN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46254</v>
      </c>
      <c r="F229" t="inlineStr">
        <is>
          <t>GÄVLEBORGS LÄN</t>
        </is>
      </c>
      <c r="G229" t="inlineStr">
        <is>
          <t>SÖDERHAMN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43355-2025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46254</v>
      </c>
      <c r="F230" t="inlineStr">
        <is>
          <t>GÄVLEBORGS LÄN</t>
        </is>
      </c>
      <c r="G230" t="inlineStr">
        <is>
          <t>SÖDERHAMN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46254</v>
      </c>
      <c r="F231" t="inlineStr">
        <is>
          <t>GÄVLEBORGS LÄN</t>
        </is>
      </c>
      <c r="G231" t="inlineStr">
        <is>
          <t>SÖDERHAMN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46254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45597</v>
      </c>
      <c r="E233" s="1" t="n">
        <v>46254</v>
      </c>
      <c r="F233" t="inlineStr">
        <is>
          <t>GÄVLEBORGS LÄN</t>
        </is>
      </c>
      <c r="G233" t="inlineStr">
        <is>
          <t>SÖDERHAMN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46254</v>
      </c>
      <c r="F234" t="inlineStr">
        <is>
          <t>GÄVLEBORGS LÄN</t>
        </is>
      </c>
      <c r="G234" t="inlineStr">
        <is>
          <t>SÖDERHAMN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46254</v>
      </c>
      <c r="F235" t="inlineStr">
        <is>
          <t>GÄVLEBORGS LÄN</t>
        </is>
      </c>
      <c r="G235" t="inlineStr">
        <is>
          <t>SÖDERHAMN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46254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46254</v>
      </c>
      <c r="F237" t="inlineStr">
        <is>
          <t>GÄVLEBORGS LÄN</t>
        </is>
      </c>
      <c r="G237" t="inlineStr">
        <is>
          <t>SÖDERHAMN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46254</v>
      </c>
      <c r="F238" t="inlineStr">
        <is>
          <t>GÄVLEBORGS LÄN</t>
        </is>
      </c>
      <c r="G238" t="inlineStr">
        <is>
          <t>SÖDERHAMN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46165</v>
      </c>
      <c r="E239" s="1" t="n">
        <v>46254</v>
      </c>
      <c r="F239" t="inlineStr">
        <is>
          <t>GÄVLEBORGS LÄN</t>
        </is>
      </c>
      <c r="G239" t="inlineStr">
        <is>
          <t>SÖDERHAMN</t>
        </is>
      </c>
      <c r="H239" t="inlineStr">
        <is>
          <t>Bergvik skog väst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46254</v>
      </c>
      <c r="F240" t="inlineStr">
        <is>
          <t>GÄVLEBORGS LÄN</t>
        </is>
      </c>
      <c r="G240" t="inlineStr">
        <is>
          <t>SÖDERHAMN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46254</v>
      </c>
      <c r="F241" t="inlineStr">
        <is>
          <t>GÄVLEBORGS LÄN</t>
        </is>
      </c>
      <c r="G241" t="inlineStr">
        <is>
          <t>SÖDERHAMN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46254</v>
      </c>
      <c r="F242" t="inlineStr">
        <is>
          <t>GÄVLEBORGS LÄN</t>
        </is>
      </c>
      <c r="G242" t="inlineStr">
        <is>
          <t>SÖDERHAMN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46254</v>
      </c>
      <c r="F243" t="inlineStr">
        <is>
          <t>GÄVLEBORGS LÄN</t>
        </is>
      </c>
      <c r="G243" t="inlineStr">
        <is>
          <t>SÖDERHAMN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46254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45748</v>
      </c>
      <c r="E245" s="1" t="n">
        <v>46254</v>
      </c>
      <c r="F245" t="inlineStr">
        <is>
          <t>GÄVLEBORGS LÄN</t>
        </is>
      </c>
      <c r="G245" t="inlineStr">
        <is>
          <t>SÖDERHAMN</t>
        </is>
      </c>
      <c r="H245" t="inlineStr">
        <is>
          <t>Kommuner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46254</v>
      </c>
      <c r="F246" t="inlineStr">
        <is>
          <t>GÄVLEBORGS LÄN</t>
        </is>
      </c>
      <c r="G246" t="inlineStr">
        <is>
          <t>SÖDERHAMN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46254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46254</v>
      </c>
      <c r="F248" t="inlineStr">
        <is>
          <t>GÄVLEBORGS LÄN</t>
        </is>
      </c>
      <c r="G248" t="inlineStr">
        <is>
          <t>SÖDERHAMN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34752-2024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45526</v>
      </c>
      <c r="E249" s="1" t="n">
        <v>46254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46254</v>
      </c>
      <c r="F250" t="inlineStr">
        <is>
          <t>GÄVLEBORGS LÄN</t>
        </is>
      </c>
      <c r="G250" t="inlineStr">
        <is>
          <t>SÖDERHAMN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45597</v>
      </c>
      <c r="E251" s="1" t="n">
        <v>46254</v>
      </c>
      <c r="F251" t="inlineStr">
        <is>
          <t>GÄVLEBORGS LÄN</t>
        </is>
      </c>
      <c r="G251" t="inlineStr">
        <is>
          <t>SÖDERHAMN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44938</v>
      </c>
      <c r="E252" s="1" t="n">
        <v>46254</v>
      </c>
      <c r="F252" t="inlineStr">
        <is>
          <t>GÄVLEBORGS LÄN</t>
        </is>
      </c>
      <c r="G252" t="inlineStr">
        <is>
          <t>SÖDERHAMN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46254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46254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46212</v>
      </c>
      <c r="E255" s="1" t="n">
        <v>46254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46254</v>
      </c>
      <c r="F256" t="inlineStr">
        <is>
          <t>GÄVLEBORGS LÄN</t>
        </is>
      </c>
      <c r="G256" t="inlineStr">
        <is>
          <t>SÖDERHAMN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46254</v>
      </c>
      <c r="F257" t="inlineStr">
        <is>
          <t>GÄVLEBORGS LÄN</t>
        </is>
      </c>
      <c r="G257" t="inlineStr">
        <is>
          <t>SÖDERHAMN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46254</v>
      </c>
      <c r="F258" t="inlineStr">
        <is>
          <t>GÄVLEBORGS LÄN</t>
        </is>
      </c>
      <c r="G258" t="inlineStr">
        <is>
          <t>SÖDERHAMN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46254</v>
      </c>
      <c r="F259" t="inlineStr">
        <is>
          <t>GÄVLEBORGS LÄN</t>
        </is>
      </c>
      <c r="G259" t="inlineStr">
        <is>
          <t>SÖDERHAMN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46254</v>
      </c>
      <c r="F260" t="inlineStr">
        <is>
          <t>GÄVLEBORGS LÄN</t>
        </is>
      </c>
      <c r="G260" t="inlineStr">
        <is>
          <t>SÖDERHAMN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45548</v>
      </c>
      <c r="E261" s="1" t="n">
        <v>46254</v>
      </c>
      <c r="F261" t="inlineStr">
        <is>
          <t>GÄVLEBORGS LÄN</t>
        </is>
      </c>
      <c r="G261" t="inlineStr">
        <is>
          <t>SÖDERHAMN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45062</v>
      </c>
      <c r="E262" s="1" t="n">
        <v>46254</v>
      </c>
      <c r="F262" t="inlineStr">
        <is>
          <t>GÄVLEBORGS LÄN</t>
        </is>
      </c>
      <c r="G262" t="inlineStr">
        <is>
          <t>SÖDERHAMN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40745-2023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45170</v>
      </c>
      <c r="E263" s="1" t="n">
        <v>46254</v>
      </c>
      <c r="F263" t="inlineStr">
        <is>
          <t>GÄVLEBORGS LÄN</t>
        </is>
      </c>
      <c r="G263" t="inlineStr">
        <is>
          <t>SÖDERHAMN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45394</v>
      </c>
      <c r="E264" s="1" t="n">
        <v>46254</v>
      </c>
      <c r="F264" t="inlineStr">
        <is>
          <t>GÄVLEBORGS LÄN</t>
        </is>
      </c>
      <c r="G264" t="inlineStr">
        <is>
          <t>SÖDERHAMN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45327</v>
      </c>
      <c r="E265" s="1" t="n">
        <v>46254</v>
      </c>
      <c r="F265" t="inlineStr">
        <is>
          <t>GÄVLEBORGS LÄN</t>
        </is>
      </c>
      <c r="G265" t="inlineStr">
        <is>
          <t>SÖDERHAMN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46254</v>
      </c>
      <c r="F266" t="inlineStr">
        <is>
          <t>GÄVLEBORGS LÄN</t>
        </is>
      </c>
      <c r="G266" t="inlineStr">
        <is>
          <t>SÖDERHAMN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46254</v>
      </c>
      <c r="F267" t="inlineStr">
        <is>
          <t>GÄVLEBORGS LÄN</t>
        </is>
      </c>
      <c r="G267" t="inlineStr">
        <is>
          <t>SÖDERHAMN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46254</v>
      </c>
      <c r="F268" t="inlineStr">
        <is>
          <t>GÄVLEBORGS LÄN</t>
        </is>
      </c>
      <c r="G268" t="inlineStr">
        <is>
          <t>SÖDERHAMN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46254</v>
      </c>
      <c r="F269" t="inlineStr">
        <is>
          <t>GÄVLEBORGS LÄN</t>
        </is>
      </c>
      <c r="G269" t="inlineStr">
        <is>
          <t>SÖDERHAMN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46254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31363-2026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46219</v>
      </c>
      <c r="E271" s="1" t="n">
        <v>46254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46219</v>
      </c>
      <c r="E272" s="1" t="n">
        <v>46254</v>
      </c>
      <c r="F272" t="inlineStr">
        <is>
          <t>GÄVLEBORGS LÄN</t>
        </is>
      </c>
      <c r="G272" t="inlineStr">
        <is>
          <t>SÖDERHAMN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46218</v>
      </c>
      <c r="E273" s="1" t="n">
        <v>46254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46219</v>
      </c>
      <c r="E274" s="1" t="n">
        <v>46254</v>
      </c>
      <c r="F274" t="inlineStr">
        <is>
          <t>GÄVLEBORGS LÄN</t>
        </is>
      </c>
      <c r="G274" t="inlineStr">
        <is>
          <t>SÖDERHAMN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46219</v>
      </c>
      <c r="E275" s="1" t="n">
        <v>46254</v>
      </c>
      <c r="F275" t="inlineStr">
        <is>
          <t>GÄVLEBORGS LÄN</t>
        </is>
      </c>
      <c r="G275" t="inlineStr">
        <is>
          <t>SÖDERHAMN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46175</v>
      </c>
      <c r="E276" s="1" t="n">
        <v>46254</v>
      </c>
      <c r="F276" t="inlineStr">
        <is>
          <t>GÄVLEBORGS LÄN</t>
        </is>
      </c>
      <c r="G276" t="inlineStr">
        <is>
          <t>SÖDERHAMN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46223</v>
      </c>
      <c r="E277" s="1" t="n">
        <v>46254</v>
      </c>
      <c r="F277" t="inlineStr">
        <is>
          <t>GÄVLEBORGS LÄN</t>
        </is>
      </c>
      <c r="G277" t="inlineStr">
        <is>
          <t>SÖDERHAMN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46254</v>
      </c>
      <c r="F278" t="inlineStr">
        <is>
          <t>GÄVLEBORGS LÄN</t>
        </is>
      </c>
      <c r="G278" t="inlineStr">
        <is>
          <t>SÖDERHAMN</t>
        </is>
      </c>
      <c r="I278" t="n">
        <v>20.9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46254</v>
      </c>
      <c r="F279" t="inlineStr">
        <is>
          <t>GÄVLEBORGS LÄN</t>
        </is>
      </c>
      <c r="G279" t="inlineStr">
        <is>
          <t>SÖDERHAMN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24910-2024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46254</v>
      </c>
      <c r="F280" t="inlineStr">
        <is>
          <t>GÄVLEBORGS LÄN</t>
        </is>
      </c>
      <c r="G280" t="inlineStr">
        <is>
          <t>SÖDERHAMN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46254</v>
      </c>
      <c r="F281" t="inlineStr">
        <is>
          <t>GÄVLEBORGS LÄN</t>
        </is>
      </c>
      <c r="G281" t="inlineStr">
        <is>
          <t>SÖDERHAMN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45527</v>
      </c>
      <c r="E282" s="1" t="n">
        <v>46254</v>
      </c>
      <c r="F282" t="inlineStr">
        <is>
          <t>GÄVLEBORGS LÄN</t>
        </is>
      </c>
      <c r="G282" t="inlineStr">
        <is>
          <t>SÖDERHAMN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46254</v>
      </c>
      <c r="F283" t="inlineStr">
        <is>
          <t>GÄVLEBORGS LÄN</t>
        </is>
      </c>
      <c r="G283" t="inlineStr">
        <is>
          <t>SÖDERHAMN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26042-2026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46177</v>
      </c>
      <c r="E284" s="1" t="n">
        <v>46254</v>
      </c>
      <c r="F284" t="inlineStr">
        <is>
          <t>GÄVLEBORGS LÄN</t>
        </is>
      </c>
      <c r="G284" t="inlineStr">
        <is>
          <t>SÖDERHAMN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46254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46254</v>
      </c>
      <c r="F286" t="inlineStr">
        <is>
          <t>GÄVLEBORGS LÄN</t>
        </is>
      </c>
      <c r="G286" t="inlineStr">
        <is>
          <t>SÖDERHAMN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46254</v>
      </c>
      <c r="F287" t="inlineStr">
        <is>
          <t>GÄVLEBORGS LÄN</t>
        </is>
      </c>
      <c r="G287" t="inlineStr">
        <is>
          <t>SÖDERHAMN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46254</v>
      </c>
      <c r="F288" t="inlineStr">
        <is>
          <t>GÄVLEBORGS LÄN</t>
        </is>
      </c>
      <c r="G288" t="inlineStr">
        <is>
          <t>SÖDERHAMN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46254</v>
      </c>
      <c r="F289" t="inlineStr">
        <is>
          <t>GÄVLEBORGS LÄN</t>
        </is>
      </c>
      <c r="G289" t="inlineStr">
        <is>
          <t>SÖDERHAMN</t>
        </is>
      </c>
      <c r="H289" t="inlineStr">
        <is>
          <t>Bergvik skog väst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46254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46254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63431-2021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44508</v>
      </c>
      <c r="E292" s="1" t="n">
        <v>46254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13805-2022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44649</v>
      </c>
      <c r="E293" s="1" t="n">
        <v>46254</v>
      </c>
      <c r="F293" t="inlineStr">
        <is>
          <t>GÄVLEBORGS LÄN</t>
        </is>
      </c>
      <c r="G293" t="inlineStr">
        <is>
          <t>SÖDERHAMN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46254</v>
      </c>
      <c r="F294" t="inlineStr">
        <is>
          <t>GÄVLEBORGS LÄN</t>
        </is>
      </c>
      <c r="G294" t="inlineStr">
        <is>
          <t>SÖDERHAMN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46254</v>
      </c>
      <c r="F295" t="inlineStr">
        <is>
          <t>GÄVLEBORGS LÄN</t>
        </is>
      </c>
      <c r="G295" t="inlineStr">
        <is>
          <t>SÖDERHAMN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46254</v>
      </c>
      <c r="F296" t="inlineStr">
        <is>
          <t>GÄVLEBORGS LÄN</t>
        </is>
      </c>
      <c r="G296" t="inlineStr">
        <is>
          <t>SÖDERHAMN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46254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45373</v>
      </c>
      <c r="E298" s="1" t="n">
        <v>46254</v>
      </c>
      <c r="F298" t="inlineStr">
        <is>
          <t>GÄVLEBORGS LÄN</t>
        </is>
      </c>
      <c r="G298" t="inlineStr">
        <is>
          <t>SÖDERHAMN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46227</v>
      </c>
      <c r="E299" s="1" t="n">
        <v>46254</v>
      </c>
      <c r="F299" t="inlineStr">
        <is>
          <t>GÄVLEBORGS LÄN</t>
        </is>
      </c>
      <c r="G299" t="inlineStr">
        <is>
          <t>SÖDERHAMN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51986-2024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45607</v>
      </c>
      <c r="E300" s="1" t="n">
        <v>46254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56933-2024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45628</v>
      </c>
      <c r="E301" s="1" t="n">
        <v>46254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46254</v>
      </c>
      <c r="F302" t="inlineStr">
        <is>
          <t>GÄVLEBORGS LÄN</t>
        </is>
      </c>
      <c r="G302" t="inlineStr">
        <is>
          <t>SÖDERHAMN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46254</v>
      </c>
      <c r="F303" t="inlineStr">
        <is>
          <t>GÄVLEBORGS LÄN</t>
        </is>
      </c>
      <c r="G303" t="inlineStr">
        <is>
          <t>SÖDERHAMN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46254</v>
      </c>
      <c r="F304" t="inlineStr">
        <is>
          <t>GÄVLEBORGS LÄN</t>
        </is>
      </c>
      <c r="G304" t="inlineStr">
        <is>
          <t>SÖDERHAMN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46254</v>
      </c>
      <c r="F305" t="inlineStr">
        <is>
          <t>GÄVLEBORGS LÄN</t>
        </is>
      </c>
      <c r="G305" t="inlineStr">
        <is>
          <t>SÖDERHAMN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46254</v>
      </c>
      <c r="F306" t="inlineStr">
        <is>
          <t>GÄVLEBORGS LÄN</t>
        </is>
      </c>
      <c r="G306" t="inlineStr">
        <is>
          <t>SÖDERHAMN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46254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46254</v>
      </c>
      <c r="F308" t="inlineStr">
        <is>
          <t>GÄVLEBORGS LÄN</t>
        </is>
      </c>
      <c r="G308" t="inlineStr">
        <is>
          <t>SÖDERHAMN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46254</v>
      </c>
      <c r="F309" t="inlineStr">
        <is>
          <t>GÄVLEBORGS LÄN</t>
        </is>
      </c>
      <c r="G309" t="inlineStr">
        <is>
          <t>SÖDERHAMN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46237</v>
      </c>
      <c r="E310" s="1" t="n">
        <v>46254</v>
      </c>
      <c r="F310" t="inlineStr">
        <is>
          <t>GÄVLEBORGS LÄN</t>
        </is>
      </c>
      <c r="G310" t="inlineStr">
        <is>
          <t>SÖDERHAMN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46254</v>
      </c>
      <c r="F311" t="inlineStr">
        <is>
          <t>GÄVLEBORGS LÄN</t>
        </is>
      </c>
      <c r="G311" t="inlineStr">
        <is>
          <t>SÖDERHAMN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46254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51553-2024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46254</v>
      </c>
      <c r="F313" t="inlineStr">
        <is>
          <t>GÄVLEBORGS LÄN</t>
        </is>
      </c>
      <c r="G313" t="inlineStr">
        <is>
          <t>SÖDERHAMN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46254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46254</v>
      </c>
      <c r="F315" t="inlineStr">
        <is>
          <t>GÄVLEBORGS LÄN</t>
        </is>
      </c>
      <c r="G315" t="inlineStr">
        <is>
          <t>SÖDERHAMN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46212</v>
      </c>
      <c r="E316" s="1" t="n">
        <v>46254</v>
      </c>
      <c r="F316" t="inlineStr">
        <is>
          <t>GÄVLEBORGS LÄN</t>
        </is>
      </c>
      <c r="G316" t="inlineStr">
        <is>
          <t>SÖDERHAMN</t>
        </is>
      </c>
      <c r="H316" t="inlineStr">
        <is>
          <t>Kyrkan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46212</v>
      </c>
      <c r="E317" s="1" t="n">
        <v>46254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Kyrkan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46254</v>
      </c>
      <c r="F318" t="inlineStr">
        <is>
          <t>GÄVLEBORGS LÄN</t>
        </is>
      </c>
      <c r="G318" t="inlineStr">
        <is>
          <t>SÖDERHAMN</t>
        </is>
      </c>
      <c r="H318" t="inlineStr">
        <is>
          <t>Kyrkan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46254</v>
      </c>
      <c r="F319" t="inlineStr">
        <is>
          <t>GÄVLEBORGS LÄN</t>
        </is>
      </c>
      <c r="G319" t="inlineStr">
        <is>
          <t>SÖDERHAMN</t>
        </is>
      </c>
      <c r="H319" t="inlineStr">
        <is>
          <t>Kommuner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25904-2024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45467</v>
      </c>
      <c r="E320" s="1" t="n">
        <v>46254</v>
      </c>
      <c r="F320" t="inlineStr">
        <is>
          <t>GÄVLEBORGS LÄN</t>
        </is>
      </c>
      <c r="G320" t="inlineStr">
        <is>
          <t>SÖDERHAMN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46254</v>
      </c>
      <c r="F321" t="inlineStr">
        <is>
          <t>GÄVLEBORGS LÄN</t>
        </is>
      </c>
      <c r="G321" t="inlineStr">
        <is>
          <t>SÖDERHAMN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46254</v>
      </c>
      <c r="F322" t="inlineStr">
        <is>
          <t>GÄVLEBORGS LÄN</t>
        </is>
      </c>
      <c r="G322" t="inlineStr">
        <is>
          <t>SÖDERHAMN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45027</v>
      </c>
      <c r="E323" s="1" t="n">
        <v>46254</v>
      </c>
      <c r="F323" t="inlineStr">
        <is>
          <t>GÄVLEBORGS LÄN</t>
        </is>
      </c>
      <c r="G323" t="inlineStr">
        <is>
          <t>SÖDERHAMN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46254</v>
      </c>
      <c r="F324" t="inlineStr">
        <is>
          <t>GÄVLEBORGS LÄN</t>
        </is>
      </c>
      <c r="G324" t="inlineStr">
        <is>
          <t>SÖDERHAMN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53781-2025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46254</v>
      </c>
      <c r="F325" t="inlineStr">
        <is>
          <t>GÄVLEBORGS LÄN</t>
        </is>
      </c>
      <c r="G325" t="inlineStr">
        <is>
          <t>SÖDERHAMN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46254</v>
      </c>
      <c r="F326" t="inlineStr">
        <is>
          <t>GÄVLEBORGS LÄN</t>
        </is>
      </c>
      <c r="G326" t="inlineStr">
        <is>
          <t>SÖDERHAMN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46254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46254</v>
      </c>
      <c r="F328" t="inlineStr">
        <is>
          <t>GÄVLEBORGS LÄN</t>
        </is>
      </c>
      <c r="G328" t="inlineStr">
        <is>
          <t>SÖDERHAMN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46254</v>
      </c>
      <c r="F329" t="inlineStr">
        <is>
          <t>GÄVLEBORGS LÄN</t>
        </is>
      </c>
      <c r="G329" t="inlineStr">
        <is>
          <t>SÖDERHAMN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46254</v>
      </c>
      <c r="F330" t="inlineStr">
        <is>
          <t>GÄVLEBORGS LÄN</t>
        </is>
      </c>
      <c r="G330" t="inlineStr">
        <is>
          <t>SÖDERHAMN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46254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45964</v>
      </c>
      <c r="E332" s="1" t="n">
        <v>46254</v>
      </c>
      <c r="F332" t="inlineStr">
        <is>
          <t>GÄVLEBORGS LÄN</t>
        </is>
      </c>
      <c r="G332" t="inlineStr">
        <is>
          <t>SÖDERHAMN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46254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54995-2025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45967</v>
      </c>
      <c r="E334" s="1" t="n">
        <v>46254</v>
      </c>
      <c r="F334" t="inlineStr">
        <is>
          <t>GÄVLEBORGS LÄN</t>
        </is>
      </c>
      <c r="G334" t="inlineStr">
        <is>
          <t>SÖDERHAMN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46254</v>
      </c>
      <c r="F335" t="inlineStr">
        <is>
          <t>GÄVLEBORGS LÄN</t>
        </is>
      </c>
      <c r="G335" t="inlineStr">
        <is>
          <t>SÖDERHAMN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46254</v>
      </c>
      <c r="F336" t="inlineStr">
        <is>
          <t>GÄVLEBORGS LÄN</t>
        </is>
      </c>
      <c r="G336" t="inlineStr">
        <is>
          <t>SÖDERHAMN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46254</v>
      </c>
      <c r="F337" t="inlineStr">
        <is>
          <t>GÄVLEBORGS LÄN</t>
        </is>
      </c>
      <c r="G337" t="inlineStr">
        <is>
          <t>SÖDERHAMN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20286-2023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45056</v>
      </c>
      <c r="E338" s="1" t="n">
        <v>46254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46254</v>
      </c>
      <c r="F339" t="inlineStr">
        <is>
          <t>GÄVLEBORGS LÄN</t>
        </is>
      </c>
      <c r="G339" t="inlineStr">
        <is>
          <t>SÖDERHAMN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55240-2024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45621</v>
      </c>
      <c r="E340" s="1" t="n">
        <v>46254</v>
      </c>
      <c r="F340" t="inlineStr">
        <is>
          <t>GÄVLEBORGS LÄN</t>
        </is>
      </c>
      <c r="G340" t="inlineStr">
        <is>
          <t>SÖDERHAMN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46254</v>
      </c>
      <c r="F341" t="inlineStr">
        <is>
          <t>GÄVLEBORGS LÄN</t>
        </is>
      </c>
      <c r="G341" t="inlineStr">
        <is>
          <t>SÖDERHAMN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46254</v>
      </c>
      <c r="F342" t="inlineStr">
        <is>
          <t>GÄVLEBORGS LÄN</t>
        </is>
      </c>
      <c r="G342" t="inlineStr">
        <is>
          <t>SÖDERHAMN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44963</v>
      </c>
      <c r="E343" s="1" t="n">
        <v>46254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46254</v>
      </c>
      <c r="F344" t="inlineStr">
        <is>
          <t>GÄVLEBORGS LÄN</t>
        </is>
      </c>
      <c r="G344" t="inlineStr">
        <is>
          <t>SÖDERHAMN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55711-2025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45972</v>
      </c>
      <c r="E345" s="1" t="n">
        <v>46254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55730-2025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45972</v>
      </c>
      <c r="E346" s="1" t="n">
        <v>46254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45750</v>
      </c>
      <c r="E347" s="1" t="n">
        <v>46254</v>
      </c>
      <c r="F347" t="inlineStr">
        <is>
          <t>GÄVLEBORGS LÄN</t>
        </is>
      </c>
      <c r="G347" t="inlineStr">
        <is>
          <t>SÖDERHAMN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45750</v>
      </c>
      <c r="E348" s="1" t="n">
        <v>46254</v>
      </c>
      <c r="F348" t="inlineStr">
        <is>
          <t>GÄVLEBORGS LÄN</t>
        </is>
      </c>
      <c r="G348" t="inlineStr">
        <is>
          <t>SÖDERHAMN</t>
        </is>
      </c>
      <c r="H348" t="inlineStr">
        <is>
          <t>Kommuner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44957</v>
      </c>
      <c r="E349" s="1" t="n">
        <v>46254</v>
      </c>
      <c r="F349" t="inlineStr">
        <is>
          <t>GÄVLEBORGS LÄN</t>
        </is>
      </c>
      <c r="G349" t="inlineStr">
        <is>
          <t>SÖDERHAMN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46254</v>
      </c>
      <c r="F350" t="inlineStr">
        <is>
          <t>GÄVLEBORGS LÄN</t>
        </is>
      </c>
      <c r="G350" t="inlineStr">
        <is>
          <t>SÖDERHAMN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46254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46254</v>
      </c>
      <c r="F352" t="inlineStr">
        <is>
          <t>GÄVLEBORGS LÄN</t>
        </is>
      </c>
      <c r="G352" t="inlineStr">
        <is>
          <t>SÖDERHAMN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46254</v>
      </c>
      <c r="F353" t="inlineStr">
        <is>
          <t>GÄVLEBORGS LÄN</t>
        </is>
      </c>
      <c r="G353" t="inlineStr">
        <is>
          <t>SÖDERHAMN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53918-2025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46254</v>
      </c>
      <c r="F354" t="inlineStr">
        <is>
          <t>GÄVLEBORGS LÄN</t>
        </is>
      </c>
      <c r="G354" t="inlineStr">
        <is>
          <t>SÖDERHAMN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46254</v>
      </c>
      <c r="F355" t="inlineStr">
        <is>
          <t>GÄVLEBORGS LÄN</t>
        </is>
      </c>
      <c r="G355" t="inlineStr">
        <is>
          <t>SÖDERHAMN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56949-2025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46254</v>
      </c>
      <c r="F356" t="inlineStr">
        <is>
          <t>GÄVLEBORGS LÄN</t>
        </is>
      </c>
      <c r="G356" t="inlineStr">
        <is>
          <t>SÖDERHAMN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57753-2023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45246</v>
      </c>
      <c r="E357" s="1" t="n">
        <v>46254</v>
      </c>
      <c r="F357" t="inlineStr">
        <is>
          <t>GÄVLEBORGS LÄN</t>
        </is>
      </c>
      <c r="G357" t="inlineStr">
        <is>
          <t>SÖDERHAMN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57175-2025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46254</v>
      </c>
      <c r="F358" t="inlineStr">
        <is>
          <t>GÄVLEBORGS LÄN</t>
        </is>
      </c>
      <c r="G358" t="inlineStr">
        <is>
          <t>SÖDERHAMN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72644-2021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44546</v>
      </c>
      <c r="E359" s="1" t="n">
        <v>46254</v>
      </c>
      <c r="F359" t="inlineStr">
        <is>
          <t>GÄVLEBORGS LÄN</t>
        </is>
      </c>
      <c r="G359" t="inlineStr">
        <is>
          <t>SÖDERHAMN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46254</v>
      </c>
      <c r="F360" t="inlineStr">
        <is>
          <t>GÄVLEBORGS LÄN</t>
        </is>
      </c>
      <c r="G360" t="inlineStr">
        <is>
          <t>SÖDERHAMN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46254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46254</v>
      </c>
      <c r="F362" t="inlineStr">
        <is>
          <t>GÄVLEBORGS LÄN</t>
        </is>
      </c>
      <c r="G362" t="inlineStr">
        <is>
          <t>SÖDERHAMN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46207</v>
      </c>
      <c r="E363" s="1" t="n">
        <v>46254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46254</v>
      </c>
      <c r="F364" t="inlineStr">
        <is>
          <t>GÄVLEBORGS LÄN</t>
        </is>
      </c>
      <c r="G364" t="inlineStr">
        <is>
          <t>SÖDERHAMN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46254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46254</v>
      </c>
      <c r="F366" t="inlineStr">
        <is>
          <t>GÄVLEBORGS LÄN</t>
        </is>
      </c>
      <c r="G366" t="inlineStr">
        <is>
          <t>SÖDERHAMN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34190-2026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46254</v>
      </c>
      <c r="F367" t="inlineStr">
        <is>
          <t>GÄVLEBORGS LÄN</t>
        </is>
      </c>
      <c r="G367" t="inlineStr">
        <is>
          <t>SÖDERHAMN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34001-2026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46252</v>
      </c>
      <c r="E368" s="1" t="n">
        <v>46254</v>
      </c>
      <c r="F368" t="inlineStr">
        <is>
          <t>GÄVLEBORGS LÄN</t>
        </is>
      </c>
      <c r="G368" t="inlineStr">
        <is>
          <t>SÖDERHAMN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45982</v>
      </c>
      <c r="E369" s="1" t="n">
        <v>46254</v>
      </c>
      <c r="F369" t="inlineStr">
        <is>
          <t>GÄVLEBORGS LÄN</t>
        </is>
      </c>
      <c r="G369" t="inlineStr">
        <is>
          <t>SÖDERHAMN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46253</v>
      </c>
      <c r="E370" s="1" t="n">
        <v>46254</v>
      </c>
      <c r="F370" t="inlineStr">
        <is>
          <t>GÄVLEBORGS LÄN</t>
        </is>
      </c>
      <c r="G370" t="inlineStr">
        <is>
          <t>SÖDERHAMN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48797-2024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45593</v>
      </c>
      <c r="E371" s="1" t="n">
        <v>46254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46252</v>
      </c>
      <c r="E372" s="1" t="n">
        <v>46254</v>
      </c>
      <c r="F372" t="inlineStr">
        <is>
          <t>GÄVLEBORGS LÄN</t>
        </is>
      </c>
      <c r="G372" t="inlineStr">
        <is>
          <t>SÖDERHAMN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46254</v>
      </c>
      <c r="F373" t="inlineStr">
        <is>
          <t>GÄVLEBORGS LÄN</t>
        </is>
      </c>
      <c r="G373" t="inlineStr">
        <is>
          <t>SÖDERHAMN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46254</v>
      </c>
      <c r="F374" t="inlineStr">
        <is>
          <t>GÄVLEBORGS LÄN</t>
        </is>
      </c>
      <c r="G374" t="inlineStr">
        <is>
          <t>SÖDERHAMN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45425</v>
      </c>
      <c r="E375" s="1" t="n">
        <v>46254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45588</v>
      </c>
      <c r="E376" s="1" t="n">
        <v>46254</v>
      </c>
      <c r="F376" t="inlineStr">
        <is>
          <t>GÄVLEBORGS LÄN</t>
        </is>
      </c>
      <c r="G376" t="inlineStr">
        <is>
          <t>SÖDERHAMN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40811-2022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44824</v>
      </c>
      <c r="E377" s="1" t="n">
        <v>46254</v>
      </c>
      <c r="F377" t="inlineStr">
        <is>
          <t>GÄVLEBORGS LÄN</t>
        </is>
      </c>
      <c r="G377" t="inlineStr">
        <is>
          <t>SÖDERHAMN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46254</v>
      </c>
      <c r="F378" t="inlineStr">
        <is>
          <t>GÄVLEBORGS LÄN</t>
        </is>
      </c>
      <c r="G378" t="inlineStr">
        <is>
          <t>SÖDERHAMN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46254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45566</v>
      </c>
      <c r="E380" s="1" t="n">
        <v>46254</v>
      </c>
      <c r="F380" t="inlineStr">
        <is>
          <t>GÄVLEBORGS LÄN</t>
        </is>
      </c>
      <c r="G380" t="inlineStr">
        <is>
          <t>SÖDERHAMN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7972-2025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45707</v>
      </c>
      <c r="E381" s="1" t="n">
        <v>46254</v>
      </c>
      <c r="F381" t="inlineStr">
        <is>
          <t>GÄVLEBORGS LÄN</t>
        </is>
      </c>
      <c r="G381" t="inlineStr">
        <is>
          <t>SÖDERHAMN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46254</v>
      </c>
      <c r="F382" t="inlineStr">
        <is>
          <t>GÄVLEBORGS LÄN</t>
        </is>
      </c>
      <c r="G382" t="inlineStr">
        <is>
          <t>SÖDERHAMN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51458-2022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44869</v>
      </c>
      <c r="E383" s="1" t="n">
        <v>46254</v>
      </c>
      <c r="F383" t="inlineStr">
        <is>
          <t>GÄVLEBORGS LÄN</t>
        </is>
      </c>
      <c r="G383" t="inlineStr">
        <is>
          <t>SÖDERHAMN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46254</v>
      </c>
      <c r="F384" t="inlineStr">
        <is>
          <t>GÄVLEBORGS LÄN</t>
        </is>
      </c>
      <c r="G384" t="inlineStr">
        <is>
          <t>SÖDERHAMN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57500-2023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45246</v>
      </c>
      <c r="E385" s="1" t="n">
        <v>46254</v>
      </c>
      <c r="F385" t="inlineStr">
        <is>
          <t>GÄVLEBORGS LÄN</t>
        </is>
      </c>
      <c r="G385" t="inlineStr">
        <is>
          <t>SÖDERHAMN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46254</v>
      </c>
      <c r="F386" t="inlineStr">
        <is>
          <t>GÄVLEBORGS LÄN</t>
        </is>
      </c>
      <c r="G386" t="inlineStr">
        <is>
          <t>SÖDERHAMN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46254</v>
      </c>
      <c r="F387" t="inlineStr">
        <is>
          <t>GÄVLEBORGS LÄN</t>
        </is>
      </c>
      <c r="G387" t="inlineStr">
        <is>
          <t>SÖDERHAMN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46254</v>
      </c>
      <c r="F388" t="inlineStr">
        <is>
          <t>GÄVLEBORGS LÄN</t>
        </is>
      </c>
      <c r="G388" t="inlineStr">
        <is>
          <t>SÖDERHAMN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46254</v>
      </c>
      <c r="F389" t="inlineStr">
        <is>
          <t>GÄVLEBORGS LÄN</t>
        </is>
      </c>
      <c r="G389" t="inlineStr">
        <is>
          <t>SÖDERHAMN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46254</v>
      </c>
      <c r="F390" t="inlineStr">
        <is>
          <t>GÄVLEBORGS LÄN</t>
        </is>
      </c>
      <c r="G390" t="inlineStr">
        <is>
          <t>SÖDERHAMN</t>
        </is>
      </c>
      <c r="I390" t="n">
        <v>14.1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46254</v>
      </c>
      <c r="F391" t="inlineStr">
        <is>
          <t>GÄVLEBORGS LÄN</t>
        </is>
      </c>
      <c r="G391" t="inlineStr">
        <is>
          <t>SÖDERHAMN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46254</v>
      </c>
      <c r="F392" t="inlineStr">
        <is>
          <t>GÄVLEBORGS LÄN</t>
        </is>
      </c>
      <c r="G392" t="inlineStr">
        <is>
          <t>SÖDERHAMN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45999</v>
      </c>
      <c r="E393" s="1" t="n">
        <v>46254</v>
      </c>
      <c r="F393" t="inlineStr">
        <is>
          <t>GÄVLEBORGS LÄN</t>
        </is>
      </c>
      <c r="G393" t="inlineStr">
        <is>
          <t>SÖDERHAMN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46254</v>
      </c>
      <c r="F394" t="inlineStr">
        <is>
          <t>GÄVLEBORGS LÄN</t>
        </is>
      </c>
      <c r="G394" t="inlineStr">
        <is>
          <t>SÖDERHAMN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46254</v>
      </c>
      <c r="F395" t="inlineStr">
        <is>
          <t>GÄVLEBORGS LÄN</t>
        </is>
      </c>
      <c r="G395" t="inlineStr">
        <is>
          <t>SÖDERHAMN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46254</v>
      </c>
      <c r="F396" t="inlineStr">
        <is>
          <t>GÄVLEBORGS LÄN</t>
        </is>
      </c>
      <c r="G396" t="inlineStr">
        <is>
          <t>SÖDERHAMN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46001</v>
      </c>
      <c r="E397" s="1" t="n">
        <v>46254</v>
      </c>
      <c r="F397" t="inlineStr">
        <is>
          <t>GÄVLEBORGS LÄN</t>
        </is>
      </c>
      <c r="G397" t="inlineStr">
        <is>
          <t>SÖDERHAMN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45324</v>
      </c>
      <c r="E398" s="1" t="n">
        <v>46254</v>
      </c>
      <c r="F398" t="inlineStr">
        <is>
          <t>GÄVLEBORGS LÄN</t>
        </is>
      </c>
      <c r="G398" t="inlineStr">
        <is>
          <t>SÖDERHAMN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46254</v>
      </c>
      <c r="F399" t="inlineStr">
        <is>
          <t>GÄVLEBORGS LÄN</t>
        </is>
      </c>
      <c r="G399" t="inlineStr">
        <is>
          <t>SÖDERHAMN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51292-2023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45219</v>
      </c>
      <c r="E400" s="1" t="n">
        <v>46254</v>
      </c>
      <c r="F400" t="inlineStr">
        <is>
          <t>GÄVLEBORGS LÄN</t>
        </is>
      </c>
      <c r="G400" t="inlineStr">
        <is>
          <t>SÖDERHAMN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62414-2025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46007</v>
      </c>
      <c r="E401" s="1" t="n">
        <v>46254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46254</v>
      </c>
      <c r="F402" t="inlineStr">
        <is>
          <t>GÄVLEBORGS LÄN</t>
        </is>
      </c>
      <c r="G402" t="inlineStr">
        <is>
          <t>SÖDERHAMN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46254</v>
      </c>
      <c r="F403" t="inlineStr">
        <is>
          <t>GÄVLEBORGS LÄN</t>
        </is>
      </c>
      <c r="G403" t="inlineStr">
        <is>
          <t>SÖDERHAMN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46254</v>
      </c>
      <c r="F404" t="inlineStr">
        <is>
          <t>GÄVLEBORGS LÄN</t>
        </is>
      </c>
      <c r="G404" t="inlineStr">
        <is>
          <t>SÖDERHAMN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26839-2024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46254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46254</v>
      </c>
      <c r="F406" t="inlineStr">
        <is>
          <t>GÄVLEBORGS LÄN</t>
        </is>
      </c>
      <c r="G406" t="inlineStr">
        <is>
          <t>SÖDERHAMN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52518-2024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45609</v>
      </c>
      <c r="E407" s="1" t="n">
        <v>46254</v>
      </c>
      <c r="F407" t="inlineStr">
        <is>
          <t>GÄVLEBORGS LÄN</t>
        </is>
      </c>
      <c r="G407" t="inlineStr">
        <is>
          <t>SÖDERHAMN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44564</v>
      </c>
      <c r="E408" s="1" t="n">
        <v>46254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46026</v>
      </c>
      <c r="E409" s="1" t="n">
        <v>46254</v>
      </c>
      <c r="F409" t="inlineStr">
        <is>
          <t>GÄVLEBORGS LÄN</t>
        </is>
      </c>
      <c r="G409" t="inlineStr">
        <is>
          <t>SÖDERHAMN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46026</v>
      </c>
      <c r="E410" s="1" t="n">
        <v>46254</v>
      </c>
      <c r="F410" t="inlineStr">
        <is>
          <t>GÄVLEBORGS LÄN</t>
        </is>
      </c>
      <c r="G410" t="inlineStr">
        <is>
          <t>SÖDERHAMN</t>
        </is>
      </c>
      <c r="I410" t="n">
        <v>12.9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46026</v>
      </c>
      <c r="E411" s="1" t="n">
        <v>46254</v>
      </c>
      <c r="F411" t="inlineStr">
        <is>
          <t>GÄVLEBORGS LÄN</t>
        </is>
      </c>
      <c r="G411" t="inlineStr">
        <is>
          <t>SÖDERHAMN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46254</v>
      </c>
      <c r="F412" t="inlineStr">
        <is>
          <t>GÄVLEBORGS LÄN</t>
        </is>
      </c>
      <c r="G412" t="inlineStr">
        <is>
          <t>SÖDERHAMN</t>
        </is>
      </c>
      <c r="I412" t="n">
        <v>13.8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46254</v>
      </c>
      <c r="F413" t="inlineStr">
        <is>
          <t>GÄVLEBORGS LÄN</t>
        </is>
      </c>
      <c r="G413" t="inlineStr">
        <is>
          <t>SÖDERHAMN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45707</v>
      </c>
      <c r="E414" s="1" t="n">
        <v>46254</v>
      </c>
      <c r="F414" t="inlineStr">
        <is>
          <t>GÄVLEBORGS LÄN</t>
        </is>
      </c>
      <c r="G414" t="inlineStr">
        <is>
          <t>SÖDERHAMN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46254</v>
      </c>
      <c r="F415" t="inlineStr">
        <is>
          <t>GÄVLEBORGS LÄN</t>
        </is>
      </c>
      <c r="G415" t="inlineStr">
        <is>
          <t>SÖDERHAMN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45677</v>
      </c>
      <c r="E416" s="1" t="n">
        <v>46254</v>
      </c>
      <c r="F416" t="inlineStr">
        <is>
          <t>GÄVLEBORGS LÄN</t>
        </is>
      </c>
      <c r="G416" t="inlineStr">
        <is>
          <t>SÖDERHAMN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46254</v>
      </c>
      <c r="F417" t="inlineStr">
        <is>
          <t>GÄVLEBORGS LÄN</t>
        </is>
      </c>
      <c r="G417" t="inlineStr">
        <is>
          <t>SÖDERHAMN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46254</v>
      </c>
      <c r="F418" t="inlineStr">
        <is>
          <t>GÄVLEBORGS LÄN</t>
        </is>
      </c>
      <c r="G418" t="inlineStr">
        <is>
          <t>SÖDERHAMN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46254</v>
      </c>
      <c r="F419" t="inlineStr">
        <is>
          <t>GÄVLEBORGS LÄN</t>
        </is>
      </c>
      <c r="G419" t="inlineStr">
        <is>
          <t>SÖDERHAMN</t>
        </is>
      </c>
      <c r="I419" t="n">
        <v>12.5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46024</v>
      </c>
      <c r="E420" s="1" t="n">
        <v>46254</v>
      </c>
      <c r="F420" t="inlineStr">
        <is>
          <t>GÄVLEBORGS LÄN</t>
        </is>
      </c>
      <c r="G420" t="inlineStr">
        <is>
          <t>SÖDERHAMN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46254</v>
      </c>
      <c r="F421" t="inlineStr">
        <is>
          <t>GÄVLEBORGS LÄN</t>
        </is>
      </c>
      <c r="G421" t="inlineStr">
        <is>
          <t>SÖDERHAMN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46254</v>
      </c>
      <c r="F422" t="inlineStr">
        <is>
          <t>GÄVLEBORGS LÄN</t>
        </is>
      </c>
      <c r="G422" t="inlineStr">
        <is>
          <t>SÖDERHAMN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46254</v>
      </c>
      <c r="F423" t="inlineStr">
        <is>
          <t>GÄVLEBORGS LÄN</t>
        </is>
      </c>
      <c r="G423" t="inlineStr">
        <is>
          <t>SÖDERHAMN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46035</v>
      </c>
      <c r="E424" s="1" t="n">
        <v>46254</v>
      </c>
      <c r="F424" t="inlineStr">
        <is>
          <t>GÄVLEBORGS LÄN</t>
        </is>
      </c>
      <c r="G424" t="inlineStr">
        <is>
          <t>SÖDERHAMN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46024</v>
      </c>
      <c r="E425" s="1" t="n">
        <v>46254</v>
      </c>
      <c r="F425" t="inlineStr">
        <is>
          <t>GÄVLEBORGS LÄN</t>
        </is>
      </c>
      <c r="G425" t="inlineStr">
        <is>
          <t>SÖDERHAMN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46254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46254</v>
      </c>
      <c r="F427" t="inlineStr">
        <is>
          <t>GÄVLEBORGS LÄN</t>
        </is>
      </c>
      <c r="G427" t="inlineStr">
        <is>
          <t>SÖDERHAMN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18195-2023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45041</v>
      </c>
      <c r="E428" s="1" t="n">
        <v>46254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46254</v>
      </c>
      <c r="F429" t="inlineStr">
        <is>
          <t>GÄVLEBORGS LÄN</t>
        </is>
      </c>
      <c r="G429" t="inlineStr">
        <is>
          <t>SÖDERHAMN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46254</v>
      </c>
      <c r="F430" t="inlineStr">
        <is>
          <t>GÄVLEBORGS LÄN</t>
        </is>
      </c>
      <c r="G430" t="inlineStr">
        <is>
          <t>SÖDERHAMN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46254</v>
      </c>
      <c r="F431" t="inlineStr">
        <is>
          <t>GÄVLEBORGS LÄN</t>
        </is>
      </c>
      <c r="G431" t="inlineStr">
        <is>
          <t>SÖDERHAMN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46041</v>
      </c>
      <c r="E432" s="1" t="n">
        <v>46254</v>
      </c>
      <c r="F432" t="inlineStr">
        <is>
          <t>GÄVLEBORGS LÄN</t>
        </is>
      </c>
      <c r="G432" t="inlineStr">
        <is>
          <t>SÖDERHAMN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46254</v>
      </c>
      <c r="F433" t="inlineStr">
        <is>
          <t>GÄVLEBORGS LÄN</t>
        </is>
      </c>
      <c r="G433" t="inlineStr">
        <is>
          <t>SÖDERHAMN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50066-2023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45215</v>
      </c>
      <c r="E434" s="1" t="n">
        <v>46254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46254</v>
      </c>
      <c r="F435" t="inlineStr">
        <is>
          <t>GÄVLEBORGS LÄN</t>
        </is>
      </c>
      <c r="G435" t="inlineStr">
        <is>
          <t>SÖDERHAMN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46254</v>
      </c>
      <c r="F436" t="inlineStr">
        <is>
          <t>GÄVLEBORGS LÄN</t>
        </is>
      </c>
      <c r="G436" t="inlineStr">
        <is>
          <t>SÖDERHAMN</t>
        </is>
      </c>
      <c r="I436" t="n">
        <v>12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46254</v>
      </c>
      <c r="F437" t="inlineStr">
        <is>
          <t>GÄVLEBORGS LÄN</t>
        </is>
      </c>
      <c r="G437" t="inlineStr">
        <is>
          <t>SÖDERHAMN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46044</v>
      </c>
      <c r="E438" s="1" t="n">
        <v>46254</v>
      </c>
      <c r="F438" t="inlineStr">
        <is>
          <t>GÄVLEBORGS LÄN</t>
        </is>
      </c>
      <c r="G438" t="inlineStr">
        <is>
          <t>SÖDERHAMN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46254</v>
      </c>
      <c r="F439" t="inlineStr">
        <is>
          <t>GÄVLEBORGS LÄN</t>
        </is>
      </c>
      <c r="G439" t="inlineStr">
        <is>
          <t>SÖDERHAMN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41649-2024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45560</v>
      </c>
      <c r="E440" s="1" t="n">
        <v>46254</v>
      </c>
      <c r="F440" t="inlineStr">
        <is>
          <t>GÄVLEBORGS LÄN</t>
        </is>
      </c>
      <c r="G440" t="inlineStr">
        <is>
          <t>SÖDERHAMN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45560</v>
      </c>
      <c r="E441" s="1" t="n">
        <v>46254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46254</v>
      </c>
      <c r="F442" t="inlineStr">
        <is>
          <t>GÄVLEBORGS LÄN</t>
        </is>
      </c>
      <c r="G442" t="inlineStr">
        <is>
          <t>SÖDERHAMN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51273-2021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44460</v>
      </c>
      <c r="E443" s="1" t="n">
        <v>46254</v>
      </c>
      <c r="F443" t="inlineStr">
        <is>
          <t>GÄVLEBORGS LÄN</t>
        </is>
      </c>
      <c r="G443" t="inlineStr">
        <is>
          <t>SÖDERHAMN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11075-2023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44992</v>
      </c>
      <c r="E444" s="1" t="n">
        <v>46254</v>
      </c>
      <c r="F444" t="inlineStr">
        <is>
          <t>GÄVLEBORGS LÄN</t>
        </is>
      </c>
      <c r="G444" t="inlineStr">
        <is>
          <t>SÖDERHAMN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46254</v>
      </c>
      <c r="F445" t="inlineStr">
        <is>
          <t>GÄVLEBORGS LÄN</t>
        </is>
      </c>
      <c r="G445" t="inlineStr">
        <is>
          <t>SÖDERHAMN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46254</v>
      </c>
      <c r="F446" t="inlineStr">
        <is>
          <t>GÄVLEBORGS LÄN</t>
        </is>
      </c>
      <c r="G446" t="inlineStr">
        <is>
          <t>SÖDERHAMN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30336-2022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44760</v>
      </c>
      <c r="E447" s="1" t="n">
        <v>46254</v>
      </c>
      <c r="F447" t="inlineStr">
        <is>
          <t>GÄVLEBORGS LÄN</t>
        </is>
      </c>
      <c r="G447" t="inlineStr">
        <is>
          <t>SÖDERHAMN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46052</v>
      </c>
      <c r="E448" s="1" t="n">
        <v>46254</v>
      </c>
      <c r="F448" t="inlineStr">
        <is>
          <t>GÄVLEBORGS LÄN</t>
        </is>
      </c>
      <c r="G448" t="inlineStr">
        <is>
          <t>SÖDERHAMN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46254</v>
      </c>
      <c r="F449" t="inlineStr">
        <is>
          <t>GÄVLEBORGS LÄN</t>
        </is>
      </c>
      <c r="G449" t="inlineStr">
        <is>
          <t>SÖDERHAMN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46254</v>
      </c>
      <c r="F450" t="inlineStr">
        <is>
          <t>GÄVLEBORGS LÄN</t>
        </is>
      </c>
      <c r="G450" t="inlineStr">
        <is>
          <t>SÖDERHAMN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46052</v>
      </c>
      <c r="E451" s="1" t="n">
        <v>46254</v>
      </c>
      <c r="F451" t="inlineStr">
        <is>
          <t>GÄVLEBORGS LÄN</t>
        </is>
      </c>
      <c r="G451" t="inlineStr">
        <is>
          <t>SÖDERHAMN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46254</v>
      </c>
      <c r="F452" t="inlineStr">
        <is>
          <t>GÄVLEBORGS LÄN</t>
        </is>
      </c>
      <c r="G452" t="inlineStr">
        <is>
          <t>SÖDERHAMN</t>
        </is>
      </c>
      <c r="H452" t="inlineStr">
        <is>
          <t>Kommuner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46254</v>
      </c>
      <c r="F453" t="inlineStr">
        <is>
          <t>GÄVLEBORGS LÄN</t>
        </is>
      </c>
      <c r="G453" t="inlineStr">
        <is>
          <t>SÖDERHAMN</t>
        </is>
      </c>
      <c r="H453" t="inlineStr">
        <is>
          <t>Övriga statliga verk och myndigheter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46254</v>
      </c>
      <c r="F454" t="inlineStr">
        <is>
          <t>GÄVLEBORGS LÄN</t>
        </is>
      </c>
      <c r="G454" t="inlineStr">
        <is>
          <t>SÖDERHAMN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23230-2024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45453</v>
      </c>
      <c r="E455" s="1" t="n">
        <v>46254</v>
      </c>
      <c r="F455" t="inlineStr">
        <is>
          <t>GÄVLEBORGS LÄN</t>
        </is>
      </c>
      <c r="G455" t="inlineStr">
        <is>
          <t>SÖDERHAMN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26554-2022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44739</v>
      </c>
      <c r="E456" s="1" t="n">
        <v>46254</v>
      </c>
      <c r="F456" t="inlineStr">
        <is>
          <t>GÄVLEBORGS LÄN</t>
        </is>
      </c>
      <c r="G456" t="inlineStr">
        <is>
          <t>SÖDERHAMN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46254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46254</v>
      </c>
      <c r="F458" t="inlineStr">
        <is>
          <t>GÄVLEBORGS LÄN</t>
        </is>
      </c>
      <c r="G458" t="inlineStr">
        <is>
          <t>SÖDERHAMN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46254</v>
      </c>
      <c r="F459" t="inlineStr">
        <is>
          <t>GÄVLEBORGS LÄN</t>
        </is>
      </c>
      <c r="G459" t="inlineStr">
        <is>
          <t>SÖDERHAMN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46254</v>
      </c>
      <c r="F460" t="inlineStr">
        <is>
          <t>GÄVLEBORGS LÄN</t>
        </is>
      </c>
      <c r="G460" t="inlineStr">
        <is>
          <t>SÖDERHAMN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46254</v>
      </c>
      <c r="F461" t="inlineStr">
        <is>
          <t>GÄVLEBORGS LÄN</t>
        </is>
      </c>
      <c r="G461" t="inlineStr">
        <is>
          <t>SÖDERHAMN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46254</v>
      </c>
      <c r="F462" t="inlineStr">
        <is>
          <t>GÄVLEBORGS LÄN</t>
        </is>
      </c>
      <c r="G462" t="inlineStr">
        <is>
          <t>SÖDERHAMN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46254</v>
      </c>
      <c r="F463" t="inlineStr">
        <is>
          <t>GÄVLEBORGS LÄN</t>
        </is>
      </c>
      <c r="G463" t="inlineStr">
        <is>
          <t>SÖDERHAMN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44582</v>
      </c>
      <c r="E464" s="1" t="n">
        <v>46254</v>
      </c>
      <c r="F464" t="inlineStr">
        <is>
          <t>GÄVLEBORGS LÄN</t>
        </is>
      </c>
      <c r="G464" t="inlineStr">
        <is>
          <t>SÖDERHAMN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46254</v>
      </c>
      <c r="F465" t="inlineStr">
        <is>
          <t>GÄVLEBORGS LÄN</t>
        </is>
      </c>
      <c r="G465" t="inlineStr">
        <is>
          <t>SÖDERHAMN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46254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46069</v>
      </c>
      <c r="E467" s="1" t="n">
        <v>46254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46254</v>
      </c>
      <c r="F468" t="inlineStr">
        <is>
          <t>GÄVLEBORGS LÄN</t>
        </is>
      </c>
      <c r="G468" t="inlineStr">
        <is>
          <t>SÖDERHAMN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46254</v>
      </c>
      <c r="F469" t="inlineStr">
        <is>
          <t>GÄVLEBORGS LÄN</t>
        </is>
      </c>
      <c r="G469" t="inlineStr">
        <is>
          <t>SÖDERHAMN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45093</v>
      </c>
      <c r="E470" s="1" t="n">
        <v>46254</v>
      </c>
      <c r="F470" t="inlineStr">
        <is>
          <t>GÄVLEBORGS LÄN</t>
        </is>
      </c>
      <c r="G470" t="inlineStr">
        <is>
          <t>SÖDERHAMN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8651-2026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46066</v>
      </c>
      <c r="E471" s="1" t="n">
        <v>46254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46254</v>
      </c>
      <c r="F472" t="inlineStr">
        <is>
          <t>GÄVLEBORGS LÄN</t>
        </is>
      </c>
      <c r="G472" t="inlineStr">
        <is>
          <t>SÖDERHAMN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46254</v>
      </c>
      <c r="F473" t="inlineStr">
        <is>
          <t>GÄVLEBORGS LÄN</t>
        </is>
      </c>
      <c r="G473" t="inlineStr">
        <is>
          <t>SÖDERHAMN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46254</v>
      </c>
      <c r="F474" t="inlineStr">
        <is>
          <t>GÄVLEBORGS LÄN</t>
        </is>
      </c>
      <c r="G474" t="inlineStr">
        <is>
          <t>SÖDERHAMN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10763-2025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45722</v>
      </c>
      <c r="E475" s="1" t="n">
        <v>46254</v>
      </c>
      <c r="F475" t="inlineStr">
        <is>
          <t>GÄVLEBORGS LÄN</t>
        </is>
      </c>
      <c r="G475" t="inlineStr">
        <is>
          <t>SÖDERHAMN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44956</v>
      </c>
      <c r="E476" s="1" t="n">
        <v>46254</v>
      </c>
      <c r="F476" t="inlineStr">
        <is>
          <t>GÄVLEBORGS LÄN</t>
        </is>
      </c>
      <c r="G476" t="inlineStr">
        <is>
          <t>SÖDERHAMN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46254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46254</v>
      </c>
      <c r="F478" t="inlineStr">
        <is>
          <t>GÄVLEBORGS LÄN</t>
        </is>
      </c>
      <c r="G478" t="inlineStr">
        <is>
          <t>SÖDERHAMN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46077</v>
      </c>
      <c r="E479" s="1" t="n">
        <v>46254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Kyrkan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46254</v>
      </c>
      <c r="F480" t="inlineStr">
        <is>
          <t>GÄVLEBORGS LÄN</t>
        </is>
      </c>
      <c r="G480" t="inlineStr">
        <is>
          <t>SÖDERHAMN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46076</v>
      </c>
      <c r="E481" s="1" t="n">
        <v>46254</v>
      </c>
      <c r="F481" t="inlineStr">
        <is>
          <t>GÄVLEBORGS LÄN</t>
        </is>
      </c>
      <c r="G481" t="inlineStr">
        <is>
          <t>SÖDERHAMN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45639</v>
      </c>
      <c r="E482" s="1" t="n">
        <v>46254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46254</v>
      </c>
      <c r="F483" t="inlineStr">
        <is>
          <t>GÄVLEBORGS LÄN</t>
        </is>
      </c>
      <c r="G483" t="inlineStr">
        <is>
          <t>SÖDERHAMN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46254</v>
      </c>
      <c r="F484" t="inlineStr">
        <is>
          <t>GÄVLEBORGS LÄN</t>
        </is>
      </c>
      <c r="G484" t="inlineStr">
        <is>
          <t>SÖDERHAMN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46254</v>
      </c>
      <c r="F485" t="inlineStr">
        <is>
          <t>GÄVLEBORGS LÄN</t>
        </is>
      </c>
      <c r="G485" t="inlineStr">
        <is>
          <t>SÖDERHAMN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46254</v>
      </c>
      <c r="F486" t="inlineStr">
        <is>
          <t>GÄVLEBORGS LÄN</t>
        </is>
      </c>
      <c r="G486" t="inlineStr">
        <is>
          <t>SÖDERHAMN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45477</v>
      </c>
      <c r="E487" s="1" t="n">
        <v>46254</v>
      </c>
      <c r="F487" t="inlineStr">
        <is>
          <t>GÄVLEBORGS LÄN</t>
        </is>
      </c>
      <c r="G487" t="inlineStr">
        <is>
          <t>SÖDERHAMN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45096</v>
      </c>
      <c r="E488" s="1" t="n">
        <v>46254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46254</v>
      </c>
      <c r="F489" t="inlineStr">
        <is>
          <t>GÄVLEBORGS LÄN</t>
        </is>
      </c>
      <c r="G489" t="inlineStr">
        <is>
          <t>SÖDERHAMN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11793-2026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46085</v>
      </c>
      <c r="E490" s="1" t="n">
        <v>46254</v>
      </c>
      <c r="F490" t="inlineStr">
        <is>
          <t>GÄVLEBORGS LÄN</t>
        </is>
      </c>
      <c r="G490" t="inlineStr">
        <is>
          <t>SÖDERHAMN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46085</v>
      </c>
      <c r="E491" s="1" t="n">
        <v>46254</v>
      </c>
      <c r="F491" t="inlineStr">
        <is>
          <t>GÄVLEBORGS LÄN</t>
        </is>
      </c>
      <c r="G491" t="inlineStr">
        <is>
          <t>SÖDERHAMN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45231</v>
      </c>
      <c r="E492" s="1" t="n">
        <v>46254</v>
      </c>
      <c r="F492" t="inlineStr">
        <is>
          <t>GÄVLEBORGS LÄN</t>
        </is>
      </c>
      <c r="G492" t="inlineStr">
        <is>
          <t>SÖDERHAMN</t>
        </is>
      </c>
      <c r="H492" t="inlineStr">
        <is>
          <t>Kommuner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45108</v>
      </c>
      <c r="E493" s="1" t="n">
        <v>46254</v>
      </c>
      <c r="F493" t="inlineStr">
        <is>
          <t>GÄVLEBORGS LÄN</t>
        </is>
      </c>
      <c r="G493" t="inlineStr">
        <is>
          <t>SÖDERHAMN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46254</v>
      </c>
      <c r="F494" t="inlineStr">
        <is>
          <t>GÄVLEBORGS LÄN</t>
        </is>
      </c>
      <c r="G494" t="inlineStr">
        <is>
          <t>SÖDERHAMN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45476</v>
      </c>
      <c r="E495" s="1" t="n">
        <v>46254</v>
      </c>
      <c r="F495" t="inlineStr">
        <is>
          <t>GÄVLEBORGS LÄN</t>
        </is>
      </c>
      <c r="G495" t="inlineStr">
        <is>
          <t>SÖDERHAMN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49786-2024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45597</v>
      </c>
      <c r="E496" s="1" t="n">
        <v>46254</v>
      </c>
      <c r="F496" t="inlineStr">
        <is>
          <t>GÄVLEBORGS LÄN</t>
        </is>
      </c>
      <c r="G496" t="inlineStr">
        <is>
          <t>SÖDERHAMN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45432</v>
      </c>
      <c r="E497" s="1" t="n">
        <v>46254</v>
      </c>
      <c r="F497" t="inlineStr">
        <is>
          <t>GÄVLEBORGS LÄN</t>
        </is>
      </c>
      <c r="G497" t="inlineStr">
        <is>
          <t>SÖDERHAMN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40577-2022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44823</v>
      </c>
      <c r="E498" s="1" t="n">
        <v>46254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46254</v>
      </c>
      <c r="F499" t="inlineStr">
        <is>
          <t>GÄVLEBORGS LÄN</t>
        </is>
      </c>
      <c r="G499" t="inlineStr">
        <is>
          <t>SÖDERHAMN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46254</v>
      </c>
      <c r="F500" t="inlineStr">
        <is>
          <t>GÄVLEBORGS LÄN</t>
        </is>
      </c>
      <c r="G500" t="inlineStr">
        <is>
          <t>SÖDERHAMN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46254</v>
      </c>
      <c r="F501" t="inlineStr">
        <is>
          <t>GÄVLEBORGS LÄN</t>
        </is>
      </c>
      <c r="G501" t="inlineStr">
        <is>
          <t>SÖDERHAMN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45602</v>
      </c>
      <c r="E502" s="1" t="n">
        <v>46254</v>
      </c>
      <c r="F502" t="inlineStr">
        <is>
          <t>GÄVLEBORGS LÄN</t>
        </is>
      </c>
      <c r="G502" t="inlineStr">
        <is>
          <t>SÖDERHAMN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19536-2025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45770</v>
      </c>
      <c r="E503" s="1" t="n">
        <v>46254</v>
      </c>
      <c r="F503" t="inlineStr">
        <is>
          <t>GÄVLEBORGS LÄN</t>
        </is>
      </c>
      <c r="G503" t="inlineStr">
        <is>
          <t>SÖDERHAMN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46254</v>
      </c>
      <c r="F504" t="inlineStr">
        <is>
          <t>GÄVLEBORGS LÄN</t>
        </is>
      </c>
      <c r="G504" t="inlineStr">
        <is>
          <t>SÖDERHAMN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46254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45108</v>
      </c>
      <c r="E506" s="1" t="n">
        <v>46254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52519-2024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45609</v>
      </c>
      <c r="E507" s="1" t="n">
        <v>46254</v>
      </c>
      <c r="F507" t="inlineStr">
        <is>
          <t>GÄVLEBORGS LÄN</t>
        </is>
      </c>
      <c r="G507" t="inlineStr">
        <is>
          <t>SÖDERHAMN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49282-2024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45595</v>
      </c>
      <c r="E508" s="1" t="n">
        <v>46254</v>
      </c>
      <c r="F508" t="inlineStr">
        <is>
          <t>GÄVLEBORGS LÄN</t>
        </is>
      </c>
      <c r="G508" t="inlineStr">
        <is>
          <t>SÖDERHAMN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45771</v>
      </c>
      <c r="E509" s="1" t="n">
        <v>46254</v>
      </c>
      <c r="F509" t="inlineStr">
        <is>
          <t>GÄVLEBORGS LÄN</t>
        </is>
      </c>
      <c r="G509" t="inlineStr">
        <is>
          <t>SÖDERHAMN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14129-2026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46099</v>
      </c>
      <c r="E510" s="1" t="n">
        <v>46254</v>
      </c>
      <c r="F510" t="inlineStr">
        <is>
          <t>GÄVLEBORGS LÄN</t>
        </is>
      </c>
      <c r="G510" t="inlineStr">
        <is>
          <t>SÖDERHAMN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46099</v>
      </c>
      <c r="E511" s="1" t="n">
        <v>46254</v>
      </c>
      <c r="F511" t="inlineStr">
        <is>
          <t>GÄVLEBORGS LÄN</t>
        </is>
      </c>
      <c r="G511" t="inlineStr">
        <is>
          <t>SÖDERHAMN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46254</v>
      </c>
      <c r="F512" t="inlineStr">
        <is>
          <t>GÄVLEBORGS LÄN</t>
        </is>
      </c>
      <c r="G512" t="inlineStr">
        <is>
          <t>SÖDERHAMN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46254</v>
      </c>
      <c r="F513" t="inlineStr">
        <is>
          <t>GÄVLEBORGS LÄN</t>
        </is>
      </c>
      <c r="G513" t="inlineStr">
        <is>
          <t>SÖDERHAMN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46254</v>
      </c>
      <c r="F514" t="inlineStr">
        <is>
          <t>GÄVLEBORGS LÄN</t>
        </is>
      </c>
      <c r="G514" t="inlineStr">
        <is>
          <t>SÖDERHAMN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48313-2024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45590</v>
      </c>
      <c r="E515" s="1" t="n">
        <v>46254</v>
      </c>
      <c r="F515" t="inlineStr">
        <is>
          <t>GÄVLEBORGS LÄN</t>
        </is>
      </c>
      <c r="G515" t="inlineStr">
        <is>
          <t>SÖDERHAMN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45705</v>
      </c>
      <c r="E516" s="1" t="n">
        <v>46254</v>
      </c>
      <c r="F516" t="inlineStr">
        <is>
          <t>GÄVLEBORGS LÄN</t>
        </is>
      </c>
      <c r="G516" t="inlineStr">
        <is>
          <t>SÖDERHAMN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46254</v>
      </c>
      <c r="F517" t="inlineStr">
        <is>
          <t>GÄVLEBORGS LÄN</t>
        </is>
      </c>
      <c r="G517" t="inlineStr">
        <is>
          <t>SÖDERHAMN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4497-2024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45327</v>
      </c>
      <c r="E518" s="1" t="n">
        <v>46254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46254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17456-2025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46254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20456-2024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45435</v>
      </c>
      <c r="E521" s="1" t="n">
        <v>46254</v>
      </c>
      <c r="F521" t="inlineStr">
        <is>
          <t>GÄVLEBORGS LÄN</t>
        </is>
      </c>
      <c r="G521" t="inlineStr">
        <is>
          <t>SÖDERHAMN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46254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8.1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46254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16475-2026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46254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46254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16908-2026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46113</v>
      </c>
      <c r="E526" s="1" t="n">
        <v>46254</v>
      </c>
      <c r="F526" t="inlineStr">
        <is>
          <t>GÄVLEBORGS LÄN</t>
        </is>
      </c>
      <c r="G526" t="inlineStr">
        <is>
          <t>SÖDERHAMN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46117</v>
      </c>
      <c r="E527" s="1" t="n">
        <v>46254</v>
      </c>
      <c r="F527" t="inlineStr">
        <is>
          <t>GÄVLEBORGS LÄN</t>
        </is>
      </c>
      <c r="G527" t="inlineStr">
        <is>
          <t>SÖDERHAMN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46117</v>
      </c>
      <c r="E528" s="1" t="n">
        <v>46254</v>
      </c>
      <c r="F528" t="inlineStr">
        <is>
          <t>GÄVLEBORGS LÄN</t>
        </is>
      </c>
      <c r="G528" t="inlineStr">
        <is>
          <t>SÖDERHAMN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46117</v>
      </c>
      <c r="E529" s="1" t="n">
        <v>46254</v>
      </c>
      <c r="F529" t="inlineStr">
        <is>
          <t>GÄVLEBORGS LÄN</t>
        </is>
      </c>
      <c r="G529" t="inlineStr">
        <is>
          <t>SÖDERHAMN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46117</v>
      </c>
      <c r="E530" s="1" t="n">
        <v>46254</v>
      </c>
      <c r="F530" t="inlineStr">
        <is>
          <t>GÄVLEBORGS LÄN</t>
        </is>
      </c>
      <c r="G530" t="inlineStr">
        <is>
          <t>SÖDERHAMN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45534</v>
      </c>
      <c r="E531" s="1" t="n">
        <v>46254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45594</v>
      </c>
      <c r="E532" s="1" t="n">
        <v>46254</v>
      </c>
      <c r="F532" t="inlineStr">
        <is>
          <t>GÄVLEBORGS LÄN</t>
        </is>
      </c>
      <c r="G532" t="inlineStr">
        <is>
          <t>SÖDERHAMN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45764</v>
      </c>
      <c r="E533" s="1" t="n">
        <v>46254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46254</v>
      </c>
      <c r="F534" t="inlineStr">
        <is>
          <t>GÄVLEBORGS LÄN</t>
        </is>
      </c>
      <c r="G534" t="inlineStr">
        <is>
          <t>SÖDERHAMN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46254</v>
      </c>
      <c r="F535" t="inlineStr">
        <is>
          <t>GÄVLEBORGS LÄN</t>
        </is>
      </c>
      <c r="G535" t="inlineStr">
        <is>
          <t>SÖDERHAMN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14960-2024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45398</v>
      </c>
      <c r="E536" s="1" t="n">
        <v>46254</v>
      </c>
      <c r="F536" t="inlineStr">
        <is>
          <t>GÄVLEBORGS LÄN</t>
        </is>
      </c>
      <c r="G536" t="inlineStr">
        <is>
          <t>SÖDERHAMN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59216-2021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44490</v>
      </c>
      <c r="E537" s="1" t="n">
        <v>46254</v>
      </c>
      <c r="F537" t="inlineStr">
        <is>
          <t>GÄVLEBORGS LÄN</t>
        </is>
      </c>
      <c r="G537" t="inlineStr">
        <is>
          <t>SÖDERHAMN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63632-2023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45275</v>
      </c>
      <c r="E538" s="1" t="n">
        <v>46254</v>
      </c>
      <c r="F538" t="inlineStr">
        <is>
          <t>GÄVLEBORGS LÄN</t>
        </is>
      </c>
      <c r="G538" t="inlineStr">
        <is>
          <t>SÖDERHAMN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46254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19310-2026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46254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46254</v>
      </c>
      <c r="F541" t="inlineStr">
        <is>
          <t>GÄVLEBORGS LÄN</t>
        </is>
      </c>
      <c r="G541" t="inlineStr">
        <is>
          <t>SÖDERHAMN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46132</v>
      </c>
      <c r="E542" s="1" t="n">
        <v>46254</v>
      </c>
      <c r="F542" t="inlineStr">
        <is>
          <t>GÄVLEBORGS LÄN</t>
        </is>
      </c>
      <c r="G542" t="inlineStr">
        <is>
          <t>SÖDERHAMN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45600</v>
      </c>
      <c r="E543" s="1" t="n">
        <v>46254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15881-2025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46254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46254</v>
      </c>
      <c r="F545" t="inlineStr">
        <is>
          <t>GÄVLEBORGS LÄN</t>
        </is>
      </c>
      <c r="G545" t="inlineStr">
        <is>
          <t>SÖDERHAMN</t>
        </is>
      </c>
      <c r="H545" t="inlineStr">
        <is>
          <t>Övriga statliga verk och myndigheter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46135</v>
      </c>
      <c r="E546" s="1" t="n">
        <v>46254</v>
      </c>
      <c r="F546" t="inlineStr">
        <is>
          <t>GÄVLEBORGS LÄN</t>
        </is>
      </c>
      <c r="G546" t="inlineStr">
        <is>
          <t>SÖDERHAMN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45779</v>
      </c>
      <c r="E547" s="1" t="n">
        <v>46254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46254</v>
      </c>
      <c r="F548" t="inlineStr">
        <is>
          <t>GÄVLEBORGS LÄN</t>
        </is>
      </c>
      <c r="G548" t="inlineStr">
        <is>
          <t>SÖDERHAMN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46135</v>
      </c>
      <c r="E549" s="1" t="n">
        <v>46254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46029</v>
      </c>
      <c r="E550" s="1" t="n">
        <v>46254</v>
      </c>
      <c r="F550" t="inlineStr">
        <is>
          <t>GÄVLEBORGS LÄN</t>
        </is>
      </c>
      <c r="G550" t="inlineStr">
        <is>
          <t>SÖDERHAMN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46254</v>
      </c>
      <c r="F551" t="inlineStr">
        <is>
          <t>GÄVLEBORGS LÄN</t>
        </is>
      </c>
      <c r="G551" t="inlineStr">
        <is>
          <t>SÖDERHAMN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46254</v>
      </c>
      <c r="F552" t="inlineStr">
        <is>
          <t>GÄVLEBORGS LÄN</t>
        </is>
      </c>
      <c r="G552" t="inlineStr">
        <is>
          <t>SÖDERHAMN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20107-2026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46136</v>
      </c>
      <c r="E553" s="1" t="n">
        <v>46254</v>
      </c>
      <c r="F553" t="inlineStr">
        <is>
          <t>GÄVLEBORGS LÄN</t>
        </is>
      </c>
      <c r="G553" t="inlineStr">
        <is>
          <t>SÖDERHAMN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46254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37916-2024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46254</v>
      </c>
      <c r="F555" t="inlineStr">
        <is>
          <t>GÄVLEBORGS LÄN</t>
        </is>
      </c>
      <c r="G555" t="inlineStr">
        <is>
          <t>SÖDERHAMN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47676-2024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46254</v>
      </c>
      <c r="F556" t="inlineStr">
        <is>
          <t>GÄVLEBORGS LÄN</t>
        </is>
      </c>
      <c r="G556" t="inlineStr">
        <is>
          <t>SÖDERHAMN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46254</v>
      </c>
      <c r="F557" t="inlineStr">
        <is>
          <t>GÄVLEBORGS LÄN</t>
        </is>
      </c>
      <c r="G557" t="inlineStr">
        <is>
          <t>SÖDERHAMN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46078</v>
      </c>
      <c r="E558" s="1" t="n">
        <v>46254</v>
      </c>
      <c r="F558" t="inlineStr">
        <is>
          <t>GÄVLEBORGS LÄN</t>
        </is>
      </c>
      <c r="G558" t="inlineStr">
        <is>
          <t>SÖDERHAMN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46254</v>
      </c>
      <c r="F559" t="inlineStr">
        <is>
          <t>GÄVLEBORGS LÄN</t>
        </is>
      </c>
      <c r="G559" t="inlineStr">
        <is>
          <t>SÖDERHAMN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46254</v>
      </c>
      <c r="F560" t="inlineStr">
        <is>
          <t>GÄVLEBORGS LÄN</t>
        </is>
      </c>
      <c r="G560" t="inlineStr">
        <is>
          <t>SÖDERHAMN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45420</v>
      </c>
      <c r="E561" s="1" t="n">
        <v>46254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42409-2025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45905</v>
      </c>
      <c r="E562" s="1" t="n">
        <v>46254</v>
      </c>
      <c r="F562" t="inlineStr">
        <is>
          <t>GÄVLEBORGS LÄN</t>
        </is>
      </c>
      <c r="G562" t="inlineStr">
        <is>
          <t>SÖDERHAMN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46254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23189-2025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46254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46254</v>
      </c>
      <c r="F565" t="inlineStr">
        <is>
          <t>GÄVLEBORGS LÄN</t>
        </is>
      </c>
      <c r="G565" t="inlineStr">
        <is>
          <t>SÖDERHAMN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55383-2025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45971</v>
      </c>
      <c r="E566" s="1" t="n">
        <v>46254</v>
      </c>
      <c r="F566" t="inlineStr">
        <is>
          <t>GÄVLEBORGS LÄN</t>
        </is>
      </c>
      <c r="G566" t="inlineStr">
        <is>
          <t>SÖDERHAMN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46254</v>
      </c>
      <c r="F567" t="inlineStr">
        <is>
          <t>GÄVLEBORGS LÄN</t>
        </is>
      </c>
      <c r="G567" t="inlineStr">
        <is>
          <t>SÖDERHAMN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46254</v>
      </c>
      <c r="F568" t="inlineStr">
        <is>
          <t>GÄVLEBORGS LÄN</t>
        </is>
      </c>
      <c r="G568" t="inlineStr">
        <is>
          <t>SÖDERHAMN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46254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46254</v>
      </c>
      <c r="F570" t="inlineStr">
        <is>
          <t>GÄVLEBORGS LÄN</t>
        </is>
      </c>
      <c r="G570" t="inlineStr">
        <is>
          <t>SÖDERHAMN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46254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46254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46050</v>
      </c>
      <c r="E573" s="1" t="n">
        <v>46254</v>
      </c>
      <c r="F573" t="inlineStr">
        <is>
          <t>GÄVLEBORGS LÄN</t>
        </is>
      </c>
      <c r="G573" t="inlineStr">
        <is>
          <t>SÖDERHAMN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24307-2025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45797</v>
      </c>
      <c r="E574" s="1" t="n">
        <v>46254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46254</v>
      </c>
      <c r="F575" t="inlineStr">
        <is>
          <t>GÄVLEBORGS LÄN</t>
        </is>
      </c>
      <c r="G575" t="inlineStr">
        <is>
          <t>SÖDERHAMN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46254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34978-2024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45527</v>
      </c>
      <c r="E577" s="1" t="n">
        <v>46254</v>
      </c>
      <c r="F577" t="inlineStr">
        <is>
          <t>GÄVLEBORGS LÄN</t>
        </is>
      </c>
      <c r="G577" t="inlineStr">
        <is>
          <t>SÖDERHAMN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45442</v>
      </c>
      <c r="E578" s="1" t="n">
        <v>46254</v>
      </c>
      <c r="F578" t="inlineStr">
        <is>
          <t>GÄVLEBORGS LÄN</t>
        </is>
      </c>
      <c r="G578" t="inlineStr">
        <is>
          <t>SÖDERHAMN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46254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31676-2022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44776</v>
      </c>
      <c r="E580" s="1" t="n">
        <v>46254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24610-2025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45798</v>
      </c>
      <c r="E581" s="1" t="n">
        <v>46254</v>
      </c>
      <c r="F581" t="inlineStr">
        <is>
          <t>GÄVLEBORGS LÄN</t>
        </is>
      </c>
      <c r="G581" t="inlineStr">
        <is>
          <t>SÖDERHAMN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25036-2025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46254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60292-2024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45643</v>
      </c>
      <c r="E583" s="1" t="n">
        <v>46254</v>
      </c>
      <c r="F583" t="inlineStr">
        <is>
          <t>GÄVLEBORGS LÄN</t>
        </is>
      </c>
      <c r="G583" t="inlineStr">
        <is>
          <t>SÖDERHAMN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45428</v>
      </c>
      <c r="E584" s="1" t="n">
        <v>46254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26266-2025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45805</v>
      </c>
      <c r="E585" s="1" t="n">
        <v>46254</v>
      </c>
      <c r="F585" t="inlineStr">
        <is>
          <t>GÄVLEBORGS LÄN</t>
        </is>
      </c>
      <c r="G585" t="inlineStr">
        <is>
          <t>SÖDERHAMN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45805</v>
      </c>
      <c r="E586" s="1" t="n">
        <v>46254</v>
      </c>
      <c r="F586" t="inlineStr">
        <is>
          <t>GÄVLEBORGS LÄN</t>
        </is>
      </c>
      <c r="G586" t="inlineStr">
        <is>
          <t>SÖDERHAMN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62903-2023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45272</v>
      </c>
      <c r="E587" s="1" t="n">
        <v>46254</v>
      </c>
      <c r="F587" t="inlineStr">
        <is>
          <t>GÄVLEBORGS LÄN</t>
        </is>
      </c>
      <c r="G587" t="inlineStr">
        <is>
          <t>SÖDERHAMN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45799</v>
      </c>
      <c r="E588" s="1" t="n">
        <v>46254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54799-2022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44883</v>
      </c>
      <c r="E589" s="1" t="n">
        <v>46254</v>
      </c>
      <c r="F589" t="inlineStr">
        <is>
          <t>GÄVLEBORGS LÄN</t>
        </is>
      </c>
      <c r="G589" t="inlineStr">
        <is>
          <t>SÖDERHAMN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45810</v>
      </c>
      <c r="E590" s="1" t="n">
        <v>46254</v>
      </c>
      <c r="F590" t="inlineStr">
        <is>
          <t>GÄVLEBORGS LÄN</t>
        </is>
      </c>
      <c r="G590" t="inlineStr">
        <is>
          <t>SÖDERHAMN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45762</v>
      </c>
      <c r="E591" s="1" t="n">
        <v>46254</v>
      </c>
      <c r="F591" t="inlineStr">
        <is>
          <t>GÄVLEBORGS LÄN</t>
        </is>
      </c>
      <c r="G591" t="inlineStr">
        <is>
          <t>SÖDERHAMN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46254</v>
      </c>
      <c r="F592" t="inlineStr">
        <is>
          <t>GÄVLEBORGS LÄN</t>
        </is>
      </c>
      <c r="G592" t="inlineStr">
        <is>
          <t>SÖDERHAMN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29456-2025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45824</v>
      </c>
      <c r="E593" s="1" t="n">
        <v>46254</v>
      </c>
      <c r="F593" t="inlineStr">
        <is>
          <t>GÄVLEBORGS LÄN</t>
        </is>
      </c>
      <c r="G593" t="inlineStr">
        <is>
          <t>SÖDERHAMN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45824</v>
      </c>
      <c r="E594" s="1" t="n">
        <v>46254</v>
      </c>
      <c r="F594" t="inlineStr">
        <is>
          <t>GÄVLEBORGS LÄN</t>
        </is>
      </c>
      <c r="G594" t="inlineStr">
        <is>
          <t>SÖDERHAMN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30058-2025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46254</v>
      </c>
      <c r="F595" t="inlineStr">
        <is>
          <t>GÄVLEBORGS LÄN</t>
        </is>
      </c>
      <c r="G595" t="inlineStr">
        <is>
          <t>SÖDERHAMN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29835-2025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45825</v>
      </c>
      <c r="E596" s="1" t="n">
        <v>46254</v>
      </c>
      <c r="F596" t="inlineStr">
        <is>
          <t>GÄVLEBORGS LÄN</t>
        </is>
      </c>
      <c r="G596" t="inlineStr">
        <is>
          <t>SÖDERHAMN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50268-2024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45600</v>
      </c>
      <c r="E597" s="1" t="n">
        <v>46254</v>
      </c>
      <c r="F597" t="inlineStr">
        <is>
          <t>GÄVLEBORGS LÄN</t>
        </is>
      </c>
      <c r="G597" t="inlineStr">
        <is>
          <t>SÖDERHAMN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45436</v>
      </c>
      <c r="E598" s="1" t="n">
        <v>46254</v>
      </c>
      <c r="F598" t="inlineStr">
        <is>
          <t>GÄVLEBORGS LÄN</t>
        </is>
      </c>
      <c r="G598" t="inlineStr">
        <is>
          <t>SÖDERHAMN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45817</v>
      </c>
      <c r="E599" s="1" t="n">
        <v>46254</v>
      </c>
      <c r="F599" t="inlineStr">
        <is>
          <t>GÄVLEBORGS LÄN</t>
        </is>
      </c>
      <c r="G599" t="inlineStr">
        <is>
          <t>SÖDERHAMN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45847</v>
      </c>
      <c r="E600" s="1" t="n">
        <v>46254</v>
      </c>
      <c r="F600" t="inlineStr">
        <is>
          <t>GÄVLEBORGS LÄN</t>
        </is>
      </c>
      <c r="G600" t="inlineStr">
        <is>
          <t>SÖDERHAMN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34662-2025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45848</v>
      </c>
      <c r="E601" s="1" t="n">
        <v>46254</v>
      </c>
      <c r="F601" t="inlineStr">
        <is>
          <t>GÄVLEBORGS LÄN</t>
        </is>
      </c>
      <c r="G601" t="inlineStr">
        <is>
          <t>SÖDERHAMN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46254</v>
      </c>
      <c r="F602" t="inlineStr">
        <is>
          <t>GÄVLEBORGS LÄN</t>
        </is>
      </c>
      <c r="G602" t="inlineStr">
        <is>
          <t>SÖDERHAMN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35961-2025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45863</v>
      </c>
      <c r="E603" s="1" t="n">
        <v>46254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45867</v>
      </c>
      <c r="E604" s="1" t="n">
        <v>46254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46254</v>
      </c>
      <c r="F605" t="inlineStr">
        <is>
          <t>GÄVLEBORGS LÄN</t>
        </is>
      </c>
      <c r="G605" t="inlineStr">
        <is>
          <t>SÖDERHAMN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45879</v>
      </c>
      <c r="E606" s="1" t="n">
        <v>46254</v>
      </c>
      <c r="F606" t="inlineStr">
        <is>
          <t>GÄVLEBORGS LÄN</t>
        </is>
      </c>
      <c r="G606" t="inlineStr">
        <is>
          <t>SÖDERHAMN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37541-2025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45879</v>
      </c>
      <c r="E607" s="1" t="n">
        <v>46254</v>
      </c>
      <c r="F607" t="inlineStr">
        <is>
          <t>GÄVLEBORGS LÄN</t>
        </is>
      </c>
      <c r="G607" t="inlineStr">
        <is>
          <t>SÖDERHAMN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46254</v>
      </c>
      <c r="F608" t="inlineStr">
        <is>
          <t>GÄVLEBORGS LÄN</t>
        </is>
      </c>
      <c r="G608" t="inlineStr">
        <is>
          <t>SÖDERHAMN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45883</v>
      </c>
      <c r="E609" s="1" t="n">
        <v>46254</v>
      </c>
      <c r="F609" t="inlineStr">
        <is>
          <t>GÄVLEBORGS LÄN</t>
        </is>
      </c>
      <c r="G609" t="inlineStr">
        <is>
          <t>SÖDERHAMN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46254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46254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46254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46254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46254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2026-08-20T01:50:28Z</dcterms:created>
  <dcterms:modified xmlns:dcterms="http://purl.org/dc/terms/" xmlns:xsi="http://www.w3.org/2001/XMLSchema-instance" xsi:type="dcterms:W3CDTF">2026-08-20T01:50:28Z</dcterms:modified>
</cp:coreProperties>
</file>