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46226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46226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46226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46226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46226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46226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46226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46226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46226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46226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46226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46226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9284-2026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46070</v>
      </c>
      <c r="E28" s="1" t="n">
        <v>46226</v>
      </c>
      <c r="F28" t="inlineStr">
        <is>
          <t>GÄVLEBORGS LÄN</t>
        </is>
      </c>
      <c r="G28" t="inlineStr">
        <is>
          <t>SÖDERHAMN</t>
        </is>
      </c>
      <c r="I28" t="n">
        <v>0.2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HYPERLINK("https://klasma.github.io/Logging_2182/artfynd/A 9284-2026 artfynd.xlsx", "A 9284-2026")</f>
        <v/>
      </c>
      <c r="X28">
        <f>HYPERLINK("https://klasma.github.io/Logging_2182/kartor/A 9284-2026 karta.png", "A 9284-2026")</f>
        <v/>
      </c>
      <c r="Y28">
        <f>HYPERLINK("https://klasma.github.io/Logging_2182/kartor_geotiff/A 9284-2026 georefererad karta.tif", "A 9284-2026")</f>
        <v/>
      </c>
      <c r="Z28">
        <f>HYPERLINK("https://klasma.github.io/Logging_2182/knärot/A 9284-2026 karta knärot.png", "A 9284-2026")</f>
        <v/>
      </c>
      <c r="AA28">
        <f>HYPERLINK("https://klasma.github.io/Logging_2182/klagomål/A 9284-2026 FSC-klagomål.docx", "A 9284-2026")</f>
        <v/>
      </c>
      <c r="AB28">
        <f>HYPERLINK("https://klasma.github.io/Logging_2182/klagomålsmail/A 9284-2026 FSC-klagomål mail.docx", "A 9284-2026")</f>
        <v/>
      </c>
      <c r="AC28">
        <f>HYPERLINK("https://klasma.github.io/Logging_2182/tillsyn/A 9284-2026 tillsynsbegäran.docx", "A 9284-2026")</f>
        <v/>
      </c>
      <c r="AD28">
        <f>HYPERLINK("https://klasma.github.io/Logging_2182/tillsynsmail/A 9284-2026 tillsynsbegäran mail.docx", "A 9284-2026")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46226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46226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46226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11791-2026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46085</v>
      </c>
      <c r="E32" s="1" t="n">
        <v>46226</v>
      </c>
      <c r="F32" t="inlineStr">
        <is>
          <t>GÄVLEBORGS LÄN</t>
        </is>
      </c>
      <c r="G32" t="inlineStr">
        <is>
          <t>SÖDERHAMN</t>
        </is>
      </c>
      <c r="I32" t="n">
        <v>8.1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HYPERLINK("https://klasma.github.io/Logging_2182/artfynd/A 11791-2026 artfynd.xlsx", "A 11791-2026")</f>
        <v/>
      </c>
      <c r="X32">
        <f>HYPERLINK("https://klasma.github.io/Logging_2182/kartor/A 11791-2026 karta.png", "A 11791-2026")</f>
        <v/>
      </c>
      <c r="Y32">
        <f>HYPERLINK("https://klasma.github.io/Logging_2182/kartor_geotiff/A 11791-2026 georefererad karta.tif", "A 11791-2026")</f>
        <v/>
      </c>
      <c r="AA32">
        <f>HYPERLINK("https://klasma.github.io/Logging_2182/klagomål/A 11791-2026 FSC-klagomål.docx", "A 11791-2026")</f>
        <v/>
      </c>
      <c r="AB32">
        <f>HYPERLINK("https://klasma.github.io/Logging_2182/klagomålsmail/A 11791-2026 FSC-klagomål mail.docx", "A 11791-2026")</f>
        <v/>
      </c>
      <c r="AC32">
        <f>HYPERLINK("https://klasma.github.io/Logging_2182/tillsyn/A 11791-2026 tillsynsbegäran.docx", "A 11791-2026")</f>
        <v/>
      </c>
      <c r="AD32">
        <f>HYPERLINK("https://klasma.github.io/Logging_2182/tillsynsmail/A 11791-2026 tillsynsbegäran mail.docx", "A 11791-2026")</f>
        <v/>
      </c>
    </row>
    <row r="33" ht="15" customHeight="1">
      <c r="A33" t="inlineStr">
        <is>
          <t>A 29834-2025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45825</v>
      </c>
      <c r="E33" s="1" t="n">
        <v>46226</v>
      </c>
      <c r="F33" t="inlineStr">
        <is>
          <t>GÄVLEBORGS LÄN</t>
        </is>
      </c>
      <c r="G33" t="inlineStr">
        <is>
          <t>SÖDERHAMN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HYPERLINK("https://klasma.github.io/Logging_2182/artfynd/A 29834-2025 artfynd.xlsx", "A 29834-2025")</f>
        <v/>
      </c>
      <c r="X33">
        <f>HYPERLINK("https://klasma.github.io/Logging_2182/kartor/A 29834-2025 karta.png", "A 29834-2025")</f>
        <v/>
      </c>
      <c r="Y33">
        <f>HYPERLINK("https://klasma.github.io/Logging_2182/kartor_geotiff/A 29834-2025 georefererad karta.tif", "A 29834-2025")</f>
        <v/>
      </c>
      <c r="AA33">
        <f>HYPERLINK("https://klasma.github.io/Logging_2182/klagomål/A 29834-2025 FSC-klagomål.docx", "A 29834-2025")</f>
        <v/>
      </c>
      <c r="AB33">
        <f>HYPERLINK("https://klasma.github.io/Logging_2182/klagomålsmail/A 29834-2025 FSC-klagomål mail.docx", "A 29834-2025")</f>
        <v/>
      </c>
      <c r="AC33">
        <f>HYPERLINK("https://klasma.github.io/Logging_2182/tillsyn/A 29834-2025 tillsynsbegäran.docx", "A 29834-2025")</f>
        <v/>
      </c>
      <c r="AD33">
        <f>HYPERLINK("https://klasma.github.io/Logging_2182/tillsynsmail/A 29834-2025 tillsynsbegäran mail.docx", "A 29834-2025")</f>
        <v/>
      </c>
    </row>
    <row r="34" ht="15" customHeight="1">
      <c r="A34" t="inlineStr">
        <is>
          <t>A 41258-2022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44826</v>
      </c>
      <c r="E34" s="1" t="n">
        <v>46226</v>
      </c>
      <c r="F34" t="inlineStr">
        <is>
          <t>GÄVLEBORGS LÄN</t>
        </is>
      </c>
      <c r="G34" t="inlineStr">
        <is>
          <t>SÖDERHAMN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Rosenticka</t>
        </is>
      </c>
      <c r="W34">
        <f>HYPERLINK("https://klasma.github.io/Logging_2182/artfynd/A 41258-2022 artfynd.xlsx", "A 41258-2022")</f>
        <v/>
      </c>
      <c r="X34">
        <f>HYPERLINK("https://klasma.github.io/Logging_2182/kartor/A 41258-2022 karta.png", "A 41258-2022")</f>
        <v/>
      </c>
      <c r="Y34">
        <f>HYPERLINK("https://klasma.github.io/Logging_2182/kartor_geotiff/A 41258-2022 georefererad karta.tif", "A 41258-2022")</f>
        <v/>
      </c>
      <c r="AA34">
        <f>HYPERLINK("https://klasma.github.io/Logging_2182/klagomål/A 41258-2022 FSC-klagomål.docx", "A 41258-2022")</f>
        <v/>
      </c>
      <c r="AB34">
        <f>HYPERLINK("https://klasma.github.io/Logging_2182/klagomålsmail/A 41258-2022 FSC-klagomål mail.docx", "A 41258-2022")</f>
        <v/>
      </c>
      <c r="AC34">
        <f>HYPERLINK("https://klasma.github.io/Logging_2182/tillsyn/A 41258-2022 tillsynsbegäran.docx", "A 41258-2022")</f>
        <v/>
      </c>
      <c r="AD34">
        <f>HYPERLINK("https://klasma.github.io/Logging_2182/tillsynsmail/A 41258-2022 tillsynsbegäran mail.docx", "A 41258-2022")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46226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46226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21316-2024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45440</v>
      </c>
      <c r="E37" s="1" t="n">
        <v>46226</v>
      </c>
      <c r="F37" t="inlineStr">
        <is>
          <t>GÄVLEBORGS LÄN</t>
        </is>
      </c>
      <c r="G37" t="inlineStr">
        <is>
          <t>SÖDERHAMN</t>
        </is>
      </c>
      <c r="H37" t="inlineStr">
        <is>
          <t>Kommuner</t>
        </is>
      </c>
      <c r="I37" t="n">
        <v>2.3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Brunfläckig pärlemorfjäril</t>
        </is>
      </c>
      <c r="W37">
        <f>HYPERLINK("https://klasma.github.io/Logging_2182/artfynd/A 21316-2024 artfynd.xlsx", "A 21316-2024")</f>
        <v/>
      </c>
      <c r="X37">
        <f>HYPERLINK("https://klasma.github.io/Logging_2182/kartor/A 21316-2024 karta.png", "A 21316-2024")</f>
        <v/>
      </c>
      <c r="Y37">
        <f>HYPERLINK("https://klasma.github.io/Logging_2182/kartor_geotiff/A 21316-2024 georefererad karta.tif", "A 21316-2024")</f>
        <v/>
      </c>
      <c r="AA37">
        <f>HYPERLINK("https://klasma.github.io/Logging_2182/klagomål/A 21316-2024 FSC-klagomål.docx", "A 21316-2024")</f>
        <v/>
      </c>
      <c r="AB37">
        <f>HYPERLINK("https://klasma.github.io/Logging_2182/klagomålsmail/A 21316-2024 FSC-klagomål mail.docx", "A 21316-2024")</f>
        <v/>
      </c>
      <c r="AC37">
        <f>HYPERLINK("https://klasma.github.io/Logging_2182/tillsyn/A 21316-2024 tillsynsbegäran.docx", "A 21316-2024")</f>
        <v/>
      </c>
      <c r="AD37">
        <f>HYPERLINK("https://klasma.github.io/Logging_2182/tillsynsmail/A 21316-2024 tillsynsbegäran mail.docx", "A 21316-2024")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46226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46226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HYPERLINK("https://klasma.github.io/Logging_2182/artfynd/A 60322-2025 artfynd.xlsx", "A 60322-2025")</f>
        <v/>
      </c>
      <c r="X39">
        <f>HYPERLINK("https://klasma.github.io/Logging_2182/kartor/A 60322-2025 karta.png", "A 60322-2025")</f>
        <v/>
      </c>
      <c r="Y39">
        <f>HYPERLINK("https://klasma.github.io/Logging_2182/kartor_geotiff/A 60322-2025 georefererad karta.tif", "A 60322-2025")</f>
        <v/>
      </c>
      <c r="AA39">
        <f>HYPERLINK("https://klasma.github.io/Logging_2182/klagomål/A 60322-2025 FSC-klagomål.docx", "A 60322-2025")</f>
        <v/>
      </c>
      <c r="AB39">
        <f>HYPERLINK("https://klasma.github.io/Logging_2182/klagomålsmail/A 60322-2025 FSC-klagomål mail.docx", "A 60322-2025")</f>
        <v/>
      </c>
      <c r="AC39">
        <f>HYPERLINK("https://klasma.github.io/Logging_2182/tillsyn/A 60322-2025 tillsynsbegäran.docx", "A 60322-2025")</f>
        <v/>
      </c>
      <c r="AD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46226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46226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38545-2025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46226</v>
      </c>
      <c r="F42" t="inlineStr">
        <is>
          <t>GÄVLEBORGS LÄN</t>
        </is>
      </c>
      <c r="G42" t="inlineStr">
        <is>
          <t>SÖDERHAMN</t>
        </is>
      </c>
      <c r="I42" t="n">
        <v>2.3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HYPERLINK("https://klasma.github.io/Logging_2182/artfynd/A 38545-2025 artfynd.xlsx", "A 38545-2025")</f>
        <v/>
      </c>
      <c r="X42">
        <f>HYPERLINK("https://klasma.github.io/Logging_2182/kartor/A 38545-2025 karta.png", "A 38545-2025")</f>
        <v/>
      </c>
      <c r="Y42">
        <f>HYPERLINK("https://klasma.github.io/Logging_2182/kartor_geotiff/A 38545-2025 georefererad karta.tif", "A 38545-2025")</f>
        <v/>
      </c>
      <c r="Z42">
        <f>HYPERLINK("https://klasma.github.io/Logging_2182/knärot/A 38545-2025 karta knärot.png", "A 38545-2025")</f>
        <v/>
      </c>
      <c r="AA42">
        <f>HYPERLINK("https://klasma.github.io/Logging_2182/klagomål/A 38545-2025 FSC-klagomål.docx", "A 38545-2025")</f>
        <v/>
      </c>
      <c r="AB42">
        <f>HYPERLINK("https://klasma.github.io/Logging_2182/klagomålsmail/A 38545-2025 FSC-klagomål mail.docx", "A 38545-2025")</f>
        <v/>
      </c>
      <c r="AC42">
        <f>HYPERLINK("https://klasma.github.io/Logging_2182/tillsyn/A 38545-2025 tillsynsbegäran.docx", "A 38545-2025")</f>
        <v/>
      </c>
      <c r="AD42">
        <f>HYPERLINK("https://klasma.github.io/Logging_2182/tillsynsmail/A 38545-2025 tillsynsbegäran mail.docx", "A 38545-2025")</f>
        <v/>
      </c>
    </row>
    <row r="43" ht="15" customHeight="1">
      <c r="A43" t="inlineStr">
        <is>
          <t>A 40097-2024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46226</v>
      </c>
      <c r="F43" t="inlineStr">
        <is>
          <t>GÄVLEBORGS LÄN</t>
        </is>
      </c>
      <c r="G43" t="inlineStr">
        <is>
          <t>SÖDERHAMN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40097-2024 artfynd.xlsx", "A 40097-2024")</f>
        <v/>
      </c>
      <c r="X43">
        <f>HYPERLINK("https://klasma.github.io/Logging_2182/kartor/A 40097-2024 karta.png", "A 40097-2024")</f>
        <v/>
      </c>
      <c r="Y43">
        <f>HYPERLINK("https://klasma.github.io/Logging_2182/kartor_geotiff/A 40097-2024 georefererad karta.tif", "A 40097-2024")</f>
        <v/>
      </c>
      <c r="AA43">
        <f>HYPERLINK("https://klasma.github.io/Logging_2182/klagomål/A 40097-2024 FSC-klagomål.docx", "A 40097-2024")</f>
        <v/>
      </c>
      <c r="AB43">
        <f>HYPERLINK("https://klasma.github.io/Logging_2182/klagomålsmail/A 40097-2024 FSC-klagomål mail.docx", "A 40097-2024")</f>
        <v/>
      </c>
      <c r="AC43">
        <f>HYPERLINK("https://klasma.github.io/Logging_2182/tillsyn/A 40097-2024 tillsynsbegäran.docx", "A 40097-2024")</f>
        <v/>
      </c>
      <c r="AD43">
        <f>HYPERLINK("https://klasma.github.io/Logging_2182/tillsynsmail/A 40097-2024 tillsynsbegäran mail.docx", "A 40097-2024")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46226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46226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46226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46226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46226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46226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46226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46226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46226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46226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46226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46226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46226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46226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46226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46226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46226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46226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46226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46226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46226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46226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46226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46975-2021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46226</v>
      </c>
      <c r="F69" t="inlineStr">
        <is>
          <t>GÄVLEBORGS LÄN</t>
        </is>
      </c>
      <c r="G69" t="inlineStr">
        <is>
          <t>SÖDERHAMN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46226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46226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46226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46226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46226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46226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46226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46226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46226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46226</v>
      </c>
      <c r="F86" t="inlineStr">
        <is>
          <t>GÄVLEBORGS LÄN</t>
        </is>
      </c>
      <c r="G86" t="inlineStr">
        <is>
          <t>SÖDERHAMN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46226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46226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46226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46226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46226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46226</v>
      </c>
      <c r="F92" t="inlineStr">
        <is>
          <t>GÄVLEBORGS LÄN</t>
        </is>
      </c>
      <c r="G92" t="inlineStr">
        <is>
          <t>SÖDERHAMN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46226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46226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46226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46226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46226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44937</v>
      </c>
      <c r="E98" s="1" t="n">
        <v>46226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46226</v>
      </c>
      <c r="F99" t="inlineStr">
        <is>
          <t>GÄVLEBORGS LÄN</t>
        </is>
      </c>
      <c r="G99" t="inlineStr">
        <is>
          <t>SÖDERHAMN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46226</v>
      </c>
      <c r="F100" t="inlineStr">
        <is>
          <t>GÄVLEBORGS LÄN</t>
        </is>
      </c>
      <c r="G100" t="inlineStr">
        <is>
          <t>SÖDERHAMN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46226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46226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53917-2024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46226</v>
      </c>
      <c r="F103" t="inlineStr">
        <is>
          <t>GÄVLEBORGS LÄN</t>
        </is>
      </c>
      <c r="G103" t="inlineStr">
        <is>
          <t>SÖDERHAMN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46226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46226</v>
      </c>
      <c r="F105" t="inlineStr">
        <is>
          <t>GÄVLEBORGS LÄN</t>
        </is>
      </c>
      <c r="G105" t="inlineStr">
        <is>
          <t>SÖDERHAMN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46226</v>
      </c>
      <c r="F106" t="inlineStr">
        <is>
          <t>GÄVLEBORGS LÄN</t>
        </is>
      </c>
      <c r="G106" t="inlineStr">
        <is>
          <t>SÖDERHAMN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46226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46226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46226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44665</v>
      </c>
      <c r="E110" s="1" t="n">
        <v>46226</v>
      </c>
      <c r="F110" t="inlineStr">
        <is>
          <t>GÄVLEBORGS LÄN</t>
        </is>
      </c>
      <c r="G110" t="inlineStr">
        <is>
          <t>SÖDERHAMN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46226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46226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46226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46226</v>
      </c>
      <c r="F114" t="inlineStr">
        <is>
          <t>GÄVLEBORGS LÄN</t>
        </is>
      </c>
      <c r="G114" t="inlineStr">
        <is>
          <t>SÖDERHAMN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45762</v>
      </c>
      <c r="E115" s="1" t="n">
        <v>46226</v>
      </c>
      <c r="F115" t="inlineStr">
        <is>
          <t>GÄVLEBORGS LÄN</t>
        </is>
      </c>
      <c r="G115" t="inlineStr">
        <is>
          <t>SÖDERHAMN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46226</v>
      </c>
      <c r="F116" t="inlineStr">
        <is>
          <t>GÄVLEBORGS LÄN</t>
        </is>
      </c>
      <c r="G116" t="inlineStr">
        <is>
          <t>SÖDERHAMN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46226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46226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46226</v>
      </c>
      <c r="F119" t="inlineStr">
        <is>
          <t>GÄVLEBORGS LÄN</t>
        </is>
      </c>
      <c r="G119" t="inlineStr">
        <is>
          <t>SÖDERHAMN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46226</v>
      </c>
      <c r="F120" t="inlineStr">
        <is>
          <t>GÄVLEBORGS LÄN</t>
        </is>
      </c>
      <c r="G120" t="inlineStr">
        <is>
          <t>SÖDERHAMN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46226</v>
      </c>
      <c r="F121" t="inlineStr">
        <is>
          <t>GÄVLEBORGS LÄN</t>
        </is>
      </c>
      <c r="G121" t="inlineStr">
        <is>
          <t>SÖDERHAMN</t>
        </is>
      </c>
      <c r="H121" t="inlineStr">
        <is>
          <t>Övriga statliga verk och myndigheter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46226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46226</v>
      </c>
      <c r="F123" t="inlineStr">
        <is>
          <t>GÄVLEBORGS LÄN</t>
        </is>
      </c>
      <c r="G123" t="inlineStr">
        <is>
          <t>SÖDERHAMN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46226</v>
      </c>
      <c r="F124" t="inlineStr">
        <is>
          <t>GÄVLEBORGS LÄN</t>
        </is>
      </c>
      <c r="G124" t="inlineStr">
        <is>
          <t>SÖDERHAMN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46226</v>
      </c>
      <c r="F125" t="inlineStr">
        <is>
          <t>GÄVLEBORGS LÄN</t>
        </is>
      </c>
      <c r="G125" t="inlineStr">
        <is>
          <t>SÖDERHAMN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46226</v>
      </c>
      <c r="F126" t="inlineStr">
        <is>
          <t>GÄVLEBORGS LÄN</t>
        </is>
      </c>
      <c r="G126" t="inlineStr">
        <is>
          <t>SÖDERHAMN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46226</v>
      </c>
      <c r="F127" t="inlineStr">
        <is>
          <t>GÄVLEBORGS LÄN</t>
        </is>
      </c>
      <c r="G127" t="inlineStr">
        <is>
          <t>SÖDERHAMN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46063</v>
      </c>
      <c r="E128" s="1" t="n">
        <v>46226</v>
      </c>
      <c r="F128" t="inlineStr">
        <is>
          <t>GÄVLEBORGS LÄN</t>
        </is>
      </c>
      <c r="G128" t="inlineStr">
        <is>
          <t>SÖDERHAMN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44703-2024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45574</v>
      </c>
      <c r="E129" s="1" t="n">
        <v>46226</v>
      </c>
      <c r="F129" t="inlineStr">
        <is>
          <t>GÄVLEBORGS LÄN</t>
        </is>
      </c>
      <c r="G129" t="inlineStr">
        <is>
          <t>SÖDERHAMN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46226</v>
      </c>
      <c r="F130" t="inlineStr">
        <is>
          <t>GÄVLEBORGS LÄN</t>
        </is>
      </c>
      <c r="G130" t="inlineStr">
        <is>
          <t>SÖDERHAMN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46226</v>
      </c>
      <c r="F131" t="inlineStr">
        <is>
          <t>GÄVLEBORGS LÄN</t>
        </is>
      </c>
      <c r="G131" t="inlineStr">
        <is>
          <t>SÖDERHAMN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46226</v>
      </c>
      <c r="F132" t="inlineStr">
        <is>
          <t>GÄVLEBORGS LÄN</t>
        </is>
      </c>
      <c r="G132" t="inlineStr">
        <is>
          <t>SÖDERHAMN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46226</v>
      </c>
      <c r="F133" t="inlineStr">
        <is>
          <t>GÄVLEBORGS LÄN</t>
        </is>
      </c>
      <c r="G133" t="inlineStr">
        <is>
          <t>SÖDERHAMN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8715-2026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46066</v>
      </c>
      <c r="E134" s="1" t="n">
        <v>46226</v>
      </c>
      <c r="F134" t="inlineStr">
        <is>
          <t>GÄVLEBORGS LÄN</t>
        </is>
      </c>
      <c r="G134" t="inlineStr">
        <is>
          <t>SÖDERHAMN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46226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46226</v>
      </c>
      <c r="F136" t="inlineStr">
        <is>
          <t>GÄVLEBORGS LÄN</t>
        </is>
      </c>
      <c r="G136" t="inlineStr">
        <is>
          <t>SÖDERHAMN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46069</v>
      </c>
      <c r="E137" s="1" t="n">
        <v>46226</v>
      </c>
      <c r="F137" t="inlineStr">
        <is>
          <t>GÄVLEBORGS LÄN</t>
        </is>
      </c>
      <c r="G137" t="inlineStr">
        <is>
          <t>SÖDERHAMN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46226</v>
      </c>
      <c r="F138" t="inlineStr">
        <is>
          <t>GÄVLEBORGS LÄN</t>
        </is>
      </c>
      <c r="G138" t="inlineStr">
        <is>
          <t>SÖDERHAMN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46226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46226</v>
      </c>
      <c r="F140" t="inlineStr">
        <is>
          <t>GÄVLEBORGS LÄN</t>
        </is>
      </c>
      <c r="G140" t="inlineStr">
        <is>
          <t>SÖDERHAMN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46226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46226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44338-2023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46226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44341-2023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45188</v>
      </c>
      <c r="E144" s="1" t="n">
        <v>46226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46226</v>
      </c>
      <c r="F145" t="inlineStr">
        <is>
          <t>GÄVLEBORGS LÄN</t>
        </is>
      </c>
      <c r="G145" t="inlineStr">
        <is>
          <t>SÖDERHAMN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46226</v>
      </c>
      <c r="F146" t="inlineStr">
        <is>
          <t>GÄVLEBORGS LÄN</t>
        </is>
      </c>
      <c r="G146" t="inlineStr">
        <is>
          <t>SÖDERHAMN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46226</v>
      </c>
      <c r="F147" t="inlineStr">
        <is>
          <t>GÄVLEBORGS LÄN</t>
        </is>
      </c>
      <c r="G147" t="inlineStr">
        <is>
          <t>SÖDERHAMN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46226</v>
      </c>
      <c r="F148" t="inlineStr">
        <is>
          <t>GÄVLEBORGS LÄN</t>
        </is>
      </c>
      <c r="G148" t="inlineStr">
        <is>
          <t>SÖDERHAMN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46226</v>
      </c>
      <c r="F149" t="inlineStr">
        <is>
          <t>GÄVLEBORGS LÄN</t>
        </is>
      </c>
      <c r="G149" t="inlineStr">
        <is>
          <t>SÖDERHAMN</t>
        </is>
      </c>
      <c r="H149" t="inlineStr">
        <is>
          <t>Kyrkan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46226</v>
      </c>
      <c r="F150" t="inlineStr">
        <is>
          <t>GÄVLEBORGS LÄN</t>
        </is>
      </c>
      <c r="G150" t="inlineStr">
        <is>
          <t>SÖDERHAMN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46226</v>
      </c>
      <c r="F151" t="inlineStr">
        <is>
          <t>GÄVLEBORGS LÄN</t>
        </is>
      </c>
      <c r="G151" t="inlineStr">
        <is>
          <t>SÖDERHAMN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46226</v>
      </c>
      <c r="F152" t="inlineStr">
        <is>
          <t>GÄVLEBORGS LÄN</t>
        </is>
      </c>
      <c r="G152" t="inlineStr">
        <is>
          <t>SÖDERHAMN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46226</v>
      </c>
      <c r="F153" t="inlineStr">
        <is>
          <t>GÄVLEBORGS LÄN</t>
        </is>
      </c>
      <c r="G153" t="inlineStr">
        <is>
          <t>SÖDERHAMN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46226</v>
      </c>
      <c r="F154" t="inlineStr">
        <is>
          <t>GÄVLEBORGS LÄN</t>
        </is>
      </c>
      <c r="G154" t="inlineStr">
        <is>
          <t>SÖDERHAMN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46226</v>
      </c>
      <c r="F155" t="inlineStr">
        <is>
          <t>GÄVLEBORGS LÄN</t>
        </is>
      </c>
      <c r="G155" t="inlineStr">
        <is>
          <t>SÖDERHAMN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46226</v>
      </c>
      <c r="F156" t="inlineStr">
        <is>
          <t>GÄVLEBORGS LÄN</t>
        </is>
      </c>
      <c r="G156" t="inlineStr">
        <is>
          <t>SÖDERHAMN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46226</v>
      </c>
      <c r="F157" t="inlineStr">
        <is>
          <t>GÄVLEBORGS LÄN</t>
        </is>
      </c>
      <c r="G157" t="inlineStr">
        <is>
          <t>SÖDERHAMN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46226</v>
      </c>
      <c r="F158" t="inlineStr">
        <is>
          <t>GÄVLEBORGS LÄN</t>
        </is>
      </c>
      <c r="G158" t="inlineStr">
        <is>
          <t>SÖDERHAMN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46084</v>
      </c>
      <c r="E159" s="1" t="n">
        <v>46226</v>
      </c>
      <c r="F159" t="inlineStr">
        <is>
          <t>GÄVLEBORGS LÄN</t>
        </is>
      </c>
      <c r="G159" t="inlineStr">
        <is>
          <t>SÖDERHAMN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46226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46226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18459-2025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46226</v>
      </c>
      <c r="F162" t="inlineStr">
        <is>
          <t>GÄVLEBORGS LÄN</t>
        </is>
      </c>
      <c r="G162" t="inlineStr">
        <is>
          <t>SÖDERHAMN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46226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46226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46226</v>
      </c>
      <c r="F165" t="inlineStr">
        <is>
          <t>GÄVLEBORGS LÄN</t>
        </is>
      </c>
      <c r="G165" t="inlineStr">
        <is>
          <t>SÖDERHAMN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46226</v>
      </c>
      <c r="F166" t="inlineStr">
        <is>
          <t>GÄVLEBORGS LÄN</t>
        </is>
      </c>
      <c r="G166" t="inlineStr">
        <is>
          <t>SÖDERHAMN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46226</v>
      </c>
      <c r="F167" t="inlineStr">
        <is>
          <t>GÄVLEBORGS LÄN</t>
        </is>
      </c>
      <c r="G167" t="inlineStr">
        <is>
          <t>SÖDERHAMN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46226</v>
      </c>
      <c r="F168" t="inlineStr">
        <is>
          <t>GÄVLEBORGS LÄN</t>
        </is>
      </c>
      <c r="G168" t="inlineStr">
        <is>
          <t>SÖDERHAMN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46226</v>
      </c>
      <c r="F169" t="inlineStr">
        <is>
          <t>GÄVLEBORGS LÄN</t>
        </is>
      </c>
      <c r="G169" t="inlineStr">
        <is>
          <t>SÖDERHAMN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46226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46087</v>
      </c>
      <c r="E171" s="1" t="n">
        <v>46226</v>
      </c>
      <c r="F171" t="inlineStr">
        <is>
          <t>GÄVLEBORGS LÄN</t>
        </is>
      </c>
      <c r="G171" t="inlineStr">
        <is>
          <t>SÖDERHAMN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45108</v>
      </c>
      <c r="E172" s="1" t="n">
        <v>46226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45108</v>
      </c>
      <c r="E173" s="1" t="n">
        <v>46226</v>
      </c>
      <c r="F173" t="inlineStr">
        <is>
          <t>GÄVLEBORGS LÄN</t>
        </is>
      </c>
      <c r="G173" t="inlineStr">
        <is>
          <t>SÖDERHAMN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46226</v>
      </c>
      <c r="F174" t="inlineStr">
        <is>
          <t>GÄVLEBORGS LÄN</t>
        </is>
      </c>
      <c r="G174" t="inlineStr">
        <is>
          <t>SÖDERHAMN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46226</v>
      </c>
      <c r="F175" t="inlineStr">
        <is>
          <t>GÄVLEBORGS LÄN</t>
        </is>
      </c>
      <c r="G175" t="inlineStr">
        <is>
          <t>SÖDERHAMN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46226</v>
      </c>
      <c r="F176" t="inlineStr">
        <is>
          <t>GÄVLEBORGS LÄN</t>
        </is>
      </c>
      <c r="G176" t="inlineStr">
        <is>
          <t>SÖDERHAMN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46226</v>
      </c>
      <c r="F177" t="inlineStr">
        <is>
          <t>GÄVLEBORGS LÄN</t>
        </is>
      </c>
      <c r="G177" t="inlineStr">
        <is>
          <t>SÖDERHAMN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46226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46226</v>
      </c>
      <c r="F179" t="inlineStr">
        <is>
          <t>GÄVLEBORGS LÄN</t>
        </is>
      </c>
      <c r="G179" t="inlineStr">
        <is>
          <t>SÖDERHAMN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46226</v>
      </c>
      <c r="F180" t="inlineStr">
        <is>
          <t>GÄVLEBORGS LÄN</t>
        </is>
      </c>
      <c r="G180" t="inlineStr">
        <is>
          <t>SÖDERHAMN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46226</v>
      </c>
      <c r="F181" t="inlineStr">
        <is>
          <t>GÄVLEBORGS LÄN</t>
        </is>
      </c>
      <c r="G181" t="inlineStr">
        <is>
          <t>SÖDERHAMN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46226</v>
      </c>
      <c r="F182" t="inlineStr">
        <is>
          <t>GÄVLEBORGS LÄN</t>
        </is>
      </c>
      <c r="G182" t="inlineStr">
        <is>
          <t>SÖDERHAMN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46226</v>
      </c>
      <c r="F183" t="inlineStr">
        <is>
          <t>GÄVLEBORGS LÄN</t>
        </is>
      </c>
      <c r="G183" t="inlineStr">
        <is>
          <t>SÖDERHAMN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46098</v>
      </c>
      <c r="E184" s="1" t="n">
        <v>46226</v>
      </c>
      <c r="F184" t="inlineStr">
        <is>
          <t>GÄVLEBORGS LÄN</t>
        </is>
      </c>
      <c r="G184" t="inlineStr">
        <is>
          <t>SÖDERHAMN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14259-2026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46226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16.2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46226</v>
      </c>
      <c r="F186" t="inlineStr">
        <is>
          <t>GÄVLEBORGS LÄN</t>
        </is>
      </c>
      <c r="G186" t="inlineStr">
        <is>
          <t>SÖDERHAMN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46226</v>
      </c>
      <c r="F187" t="inlineStr">
        <is>
          <t>GÄVLEBORGS LÄN</t>
        </is>
      </c>
      <c r="G187" t="inlineStr">
        <is>
          <t>SÖDERHAMN</t>
        </is>
      </c>
      <c r="H187" t="inlineStr">
        <is>
          <t>Kommuner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46226</v>
      </c>
      <c r="F188" t="inlineStr">
        <is>
          <t>GÄVLEBORGS LÄN</t>
        </is>
      </c>
      <c r="G188" t="inlineStr">
        <is>
          <t>SÖDERHAMN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46226</v>
      </c>
      <c r="F189" t="inlineStr">
        <is>
          <t>GÄVLEBORGS LÄN</t>
        </is>
      </c>
      <c r="G189" t="inlineStr">
        <is>
          <t>SÖDERHAMN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46226</v>
      </c>
      <c r="F190" t="inlineStr">
        <is>
          <t>GÄVLEBORGS LÄN</t>
        </is>
      </c>
      <c r="G190" t="inlineStr">
        <is>
          <t>SÖDERHAMN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46226</v>
      </c>
      <c r="F191" t="inlineStr">
        <is>
          <t>GÄVLEBORGS LÄN</t>
        </is>
      </c>
      <c r="G191" t="inlineStr">
        <is>
          <t>SÖDERHAMN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46226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46226</v>
      </c>
      <c r="F193" t="inlineStr">
        <is>
          <t>GÄVLEBORGS LÄN</t>
        </is>
      </c>
      <c r="G193" t="inlineStr">
        <is>
          <t>SÖDERHAMN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46226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46226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38355-2022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44812</v>
      </c>
      <c r="E196" s="1" t="n">
        <v>46226</v>
      </c>
      <c r="F196" t="inlineStr">
        <is>
          <t>GÄVLEBORGS LÄN</t>
        </is>
      </c>
      <c r="G196" t="inlineStr">
        <is>
          <t>SÖDERHAMN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46226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46226</v>
      </c>
      <c r="F198" t="inlineStr">
        <is>
          <t>GÄVLEBORGS LÄN</t>
        </is>
      </c>
      <c r="G198" t="inlineStr">
        <is>
          <t>SÖDERHAMN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45666</v>
      </c>
      <c r="E199" s="1" t="n">
        <v>46226</v>
      </c>
      <c r="F199" t="inlineStr">
        <is>
          <t>GÄVLEBORGS LÄN</t>
        </is>
      </c>
      <c r="G199" t="inlineStr">
        <is>
          <t>SÖDERHAMN</t>
        </is>
      </c>
      <c r="H199" t="inlineStr">
        <is>
          <t>Kommuner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24766-2023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45084</v>
      </c>
      <c r="E200" s="1" t="n">
        <v>46226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46108</v>
      </c>
      <c r="E201" s="1" t="n">
        <v>46226</v>
      </c>
      <c r="F201" t="inlineStr">
        <is>
          <t>GÄVLEBORGS LÄN</t>
        </is>
      </c>
      <c r="G201" t="inlineStr">
        <is>
          <t>SÖDERHAMN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46226</v>
      </c>
      <c r="F202" t="inlineStr">
        <is>
          <t>GÄVLEBORGS LÄN</t>
        </is>
      </c>
      <c r="G202" t="inlineStr">
        <is>
          <t>SÖDERHAMN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46226</v>
      </c>
      <c r="F203" t="inlineStr">
        <is>
          <t>GÄVLEBORGS LÄN</t>
        </is>
      </c>
      <c r="G203" t="inlineStr">
        <is>
          <t>SÖDERHAMN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46226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46226</v>
      </c>
      <c r="F205" t="inlineStr">
        <is>
          <t>GÄVLEBORGS LÄN</t>
        </is>
      </c>
      <c r="G205" t="inlineStr">
        <is>
          <t>SÖDERHAMN</t>
        </is>
      </c>
      <c r="H205" t="inlineStr">
        <is>
          <t>Bergvik skog väst AB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46226</v>
      </c>
      <c r="F206" t="inlineStr">
        <is>
          <t>GÄVLEBORGS LÄN</t>
        </is>
      </c>
      <c r="G206" t="inlineStr">
        <is>
          <t>SÖDERHAMN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46226</v>
      </c>
      <c r="F207" t="inlineStr">
        <is>
          <t>GÄVLEBORGS LÄN</t>
        </is>
      </c>
      <c r="G207" t="inlineStr">
        <is>
          <t>SÖDERHAMN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46112</v>
      </c>
      <c r="E208" s="1" t="n">
        <v>46226</v>
      </c>
      <c r="F208" t="inlineStr">
        <is>
          <t>GÄVLEBORGS LÄN</t>
        </is>
      </c>
      <c r="G208" t="inlineStr">
        <is>
          <t>SÖDERHAMN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46226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71645-2021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44543</v>
      </c>
      <c r="E210" s="1" t="n">
        <v>46226</v>
      </c>
      <c r="F210" t="inlineStr">
        <is>
          <t>GÄVLEBORGS LÄN</t>
        </is>
      </c>
      <c r="G210" t="inlineStr">
        <is>
          <t>SÖDERHAMN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41221-2022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44826</v>
      </c>
      <c r="E211" s="1" t="n">
        <v>46226</v>
      </c>
      <c r="F211" t="inlineStr">
        <is>
          <t>GÄVLEBORGS LÄN</t>
        </is>
      </c>
      <c r="G211" t="inlineStr">
        <is>
          <t>SÖDERHAMN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46226</v>
      </c>
      <c r="F212" t="inlineStr">
        <is>
          <t>GÄVLEBORGS LÄN</t>
        </is>
      </c>
      <c r="G212" t="inlineStr">
        <is>
          <t>SÖDERHAMN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46226</v>
      </c>
      <c r="F213" t="inlineStr">
        <is>
          <t>GÄVLEBORGS LÄN</t>
        </is>
      </c>
      <c r="G213" t="inlineStr">
        <is>
          <t>SÖDERHAMN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46117</v>
      </c>
      <c r="E214" s="1" t="n">
        <v>46226</v>
      </c>
      <c r="F214" t="inlineStr">
        <is>
          <t>GÄVLEBORGS LÄN</t>
        </is>
      </c>
      <c r="G214" t="inlineStr">
        <is>
          <t>SÖDERHAMN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46117</v>
      </c>
      <c r="E215" s="1" t="n">
        <v>46226</v>
      </c>
      <c r="F215" t="inlineStr">
        <is>
          <t>GÄVLEBORGS LÄN</t>
        </is>
      </c>
      <c r="G215" t="inlineStr">
        <is>
          <t>SÖDERHAMN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46117</v>
      </c>
      <c r="E216" s="1" t="n">
        <v>46226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46117</v>
      </c>
      <c r="E217" s="1" t="n">
        <v>46226</v>
      </c>
      <c r="F217" t="inlineStr">
        <is>
          <t>GÄVLEBORGS LÄN</t>
        </is>
      </c>
      <c r="G217" t="inlineStr">
        <is>
          <t>SÖDERHAMN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46226</v>
      </c>
      <c r="F218" t="inlineStr">
        <is>
          <t>GÄVLEBORGS LÄN</t>
        </is>
      </c>
      <c r="G218" t="inlineStr">
        <is>
          <t>SÖDERHAMN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46226</v>
      </c>
      <c r="F219" t="inlineStr">
        <is>
          <t>GÄVLEBORGS LÄN</t>
        </is>
      </c>
      <c r="G219" t="inlineStr">
        <is>
          <t>SÖDERHAMN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46226</v>
      </c>
      <c r="F220" t="inlineStr">
        <is>
          <t>GÄVLEBORGS LÄN</t>
        </is>
      </c>
      <c r="G220" t="inlineStr">
        <is>
          <t>SÖDERHAMN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46226</v>
      </c>
      <c r="F221" t="inlineStr">
        <is>
          <t>GÄVLEBORGS LÄN</t>
        </is>
      </c>
      <c r="G221" t="inlineStr">
        <is>
          <t>SÖDERHAMN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46226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46226</v>
      </c>
      <c r="F223" t="inlineStr">
        <is>
          <t>GÄVLEBORGS LÄN</t>
        </is>
      </c>
      <c r="G223" t="inlineStr">
        <is>
          <t>SÖDERHAMN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46226</v>
      </c>
      <c r="F224" t="inlineStr">
        <is>
          <t>GÄVLEBORGS LÄN</t>
        </is>
      </c>
      <c r="G224" t="inlineStr">
        <is>
          <t>SÖDERHAMN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45639</v>
      </c>
      <c r="E225" s="1" t="n">
        <v>46226</v>
      </c>
      <c r="F225" t="inlineStr">
        <is>
          <t>GÄVLEBORGS LÄN</t>
        </is>
      </c>
      <c r="G225" t="inlineStr">
        <is>
          <t>SÖDERHAMN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46226</v>
      </c>
      <c r="F226" t="inlineStr">
        <is>
          <t>GÄVLEBORGS LÄN</t>
        </is>
      </c>
      <c r="G226" t="inlineStr">
        <is>
          <t>SÖDERHAMN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6792-2024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45342</v>
      </c>
      <c r="E227" s="1" t="n">
        <v>46226</v>
      </c>
      <c r="F227" t="inlineStr">
        <is>
          <t>GÄVLEBORGS LÄN</t>
        </is>
      </c>
      <c r="G227" t="inlineStr">
        <is>
          <t>SÖDERHAMN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46226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44856</v>
      </c>
      <c r="E229" s="1" t="n">
        <v>46226</v>
      </c>
      <c r="F229" t="inlineStr">
        <is>
          <t>GÄVLEBORGS LÄN</t>
        </is>
      </c>
      <c r="G229" t="inlineStr">
        <is>
          <t>SÖDERHAMN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46226</v>
      </c>
      <c r="F230" t="inlineStr">
        <is>
          <t>GÄVLEBORGS LÄN</t>
        </is>
      </c>
      <c r="G230" t="inlineStr">
        <is>
          <t>SÖDERHAMN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59216-2021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44490</v>
      </c>
      <c r="E231" s="1" t="n">
        <v>46226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46226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46226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46226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46226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46226</v>
      </c>
      <c r="F236" t="inlineStr">
        <is>
          <t>GÄVLEBORGS LÄN</t>
        </is>
      </c>
      <c r="G236" t="inlineStr">
        <is>
          <t>SÖDERHAMN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46226</v>
      </c>
      <c r="F237" t="inlineStr">
        <is>
          <t>GÄVLEBORGS LÄN</t>
        </is>
      </c>
      <c r="G237" t="inlineStr">
        <is>
          <t>SÖDERHAMN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45698</v>
      </c>
      <c r="E238" s="1" t="n">
        <v>46226</v>
      </c>
      <c r="F238" t="inlineStr">
        <is>
          <t>GÄVLEBORGS LÄN</t>
        </is>
      </c>
      <c r="G238" t="inlineStr">
        <is>
          <t>SÖDERHAMN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46226</v>
      </c>
      <c r="F239" t="inlineStr">
        <is>
          <t>GÄVLEBORGS LÄN</t>
        </is>
      </c>
      <c r="G239" t="inlineStr">
        <is>
          <t>SÖDERHAMN</t>
        </is>
      </c>
      <c r="H239" t="inlineStr">
        <is>
          <t>Övriga statliga verk och myndigheter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46226</v>
      </c>
      <c r="F240" t="inlineStr">
        <is>
          <t>GÄVLEBORGS LÄN</t>
        </is>
      </c>
      <c r="G240" t="inlineStr">
        <is>
          <t>SÖDERHAMN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46226</v>
      </c>
      <c r="F241" t="inlineStr">
        <is>
          <t>GÄVLEBORGS LÄN</t>
        </is>
      </c>
      <c r="G241" t="inlineStr">
        <is>
          <t>SÖDERHAMN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46226</v>
      </c>
      <c r="F242" t="inlineStr">
        <is>
          <t>GÄVLEBORGS LÄN</t>
        </is>
      </c>
      <c r="G242" t="inlineStr">
        <is>
          <t>SÖDERHAMN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46226</v>
      </c>
      <c r="F243" t="inlineStr">
        <is>
          <t>GÄVLEBORGS LÄN</t>
        </is>
      </c>
      <c r="G243" t="inlineStr">
        <is>
          <t>SÖDERHAMN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45436</v>
      </c>
      <c r="E244" s="1" t="n">
        <v>46226</v>
      </c>
      <c r="F244" t="inlineStr">
        <is>
          <t>GÄVLEBORGS LÄN</t>
        </is>
      </c>
      <c r="G244" t="inlineStr">
        <is>
          <t>SÖDERHAMN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46135</v>
      </c>
      <c r="E245" s="1" t="n">
        <v>46226</v>
      </c>
      <c r="F245" t="inlineStr">
        <is>
          <t>GÄVLEBORGS LÄN</t>
        </is>
      </c>
      <c r="G245" t="inlineStr">
        <is>
          <t>SÖDERHAMN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46226</v>
      </c>
      <c r="F246" t="inlineStr">
        <is>
          <t>GÄVLEBORGS LÄN</t>
        </is>
      </c>
      <c r="G246" t="inlineStr">
        <is>
          <t>SÖDERHAMN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24933-2024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45461</v>
      </c>
      <c r="E247" s="1" t="n">
        <v>46226</v>
      </c>
      <c r="F247" t="inlineStr">
        <is>
          <t>GÄVLEBORGS LÄN</t>
        </is>
      </c>
      <c r="G247" t="inlineStr">
        <is>
          <t>SÖDERHAMN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46029</v>
      </c>
      <c r="E248" s="1" t="n">
        <v>46226</v>
      </c>
      <c r="F248" t="inlineStr">
        <is>
          <t>GÄVLEBORGS LÄN</t>
        </is>
      </c>
      <c r="G248" t="inlineStr">
        <is>
          <t>SÖDERHAMN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46093</v>
      </c>
      <c r="E249" s="1" t="n">
        <v>46226</v>
      </c>
      <c r="F249" t="inlineStr">
        <is>
          <t>GÄVLEBORGS LÄN</t>
        </is>
      </c>
      <c r="G249" t="inlineStr">
        <is>
          <t>SÖDERHAMN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46226</v>
      </c>
      <c r="F250" t="inlineStr">
        <is>
          <t>GÄVLEBORGS LÄN</t>
        </is>
      </c>
      <c r="G250" t="inlineStr">
        <is>
          <t>SÖDERHAMN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46226</v>
      </c>
      <c r="F251" t="inlineStr">
        <is>
          <t>GÄVLEBORGS LÄN</t>
        </is>
      </c>
      <c r="G251" t="inlineStr">
        <is>
          <t>SÖDERHAMN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46226</v>
      </c>
      <c r="F252" t="inlineStr">
        <is>
          <t>GÄVLEBORGS LÄN</t>
        </is>
      </c>
      <c r="G252" t="inlineStr">
        <is>
          <t>SÖDERHAMN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46226</v>
      </c>
      <c r="F253" t="inlineStr">
        <is>
          <t>GÄVLEBORGS LÄN</t>
        </is>
      </c>
      <c r="G253" t="inlineStr">
        <is>
          <t>SÖDERHAMN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53628-2025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46226</v>
      </c>
      <c r="F254" t="inlineStr">
        <is>
          <t>GÄVLEBORGS LÄN</t>
        </is>
      </c>
      <c r="G254" t="inlineStr">
        <is>
          <t>SÖDERHAMN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46226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46226</v>
      </c>
      <c r="F256" t="inlineStr">
        <is>
          <t>GÄVLEBORGS LÄN</t>
        </is>
      </c>
      <c r="G256" t="inlineStr">
        <is>
          <t>SÖDERHAMN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46226</v>
      </c>
      <c r="F257" t="inlineStr">
        <is>
          <t>GÄVLEBORGS LÄN</t>
        </is>
      </c>
      <c r="G257" t="inlineStr">
        <is>
          <t>SÖDERHAMN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10876-2026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46078</v>
      </c>
      <c r="E258" s="1" t="n">
        <v>46226</v>
      </c>
      <c r="F258" t="inlineStr">
        <is>
          <t>GÄVLEBORGS LÄN</t>
        </is>
      </c>
      <c r="G258" t="inlineStr">
        <is>
          <t>SÖDERHAMN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46226</v>
      </c>
      <c r="F259" t="inlineStr">
        <is>
          <t>GÄVLEBORGS LÄN</t>
        </is>
      </c>
      <c r="G259" t="inlineStr">
        <is>
          <t>SÖDERHAMN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46226</v>
      </c>
      <c r="F260" t="inlineStr">
        <is>
          <t>GÄVLEBORGS LÄN</t>
        </is>
      </c>
      <c r="G260" t="inlineStr">
        <is>
          <t>SÖDERHAMN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46226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46226</v>
      </c>
      <c r="F262" t="inlineStr">
        <is>
          <t>GÄVLEBORGS LÄN</t>
        </is>
      </c>
      <c r="G262" t="inlineStr">
        <is>
          <t>SÖDERHAMN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46226</v>
      </c>
      <c r="F263" t="inlineStr">
        <is>
          <t>GÄVLEBORGS LÄN</t>
        </is>
      </c>
      <c r="G263" t="inlineStr">
        <is>
          <t>SÖDERHAMN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46226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46226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46226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45296</v>
      </c>
      <c r="E267" s="1" t="n">
        <v>46226</v>
      </c>
      <c r="F267" t="inlineStr">
        <is>
          <t>GÄVLEBORGS LÄN</t>
        </is>
      </c>
      <c r="G267" t="inlineStr">
        <is>
          <t>SÖDERHAMN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46226</v>
      </c>
      <c r="F268" t="inlineStr">
        <is>
          <t>GÄVLEBORGS LÄN</t>
        </is>
      </c>
      <c r="G268" t="inlineStr">
        <is>
          <t>SÖDERHAMN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46226</v>
      </c>
      <c r="F269" t="inlineStr">
        <is>
          <t>GÄVLEBORGS LÄN</t>
        </is>
      </c>
      <c r="G269" t="inlineStr">
        <is>
          <t>SÖDERHAMN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45848</v>
      </c>
      <c r="E270" s="1" t="n">
        <v>46226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46226</v>
      </c>
      <c r="F271" t="inlineStr">
        <is>
          <t>GÄVLEBORGS LÄN</t>
        </is>
      </c>
      <c r="G271" t="inlineStr">
        <is>
          <t>SÖDERHAMN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46226</v>
      </c>
      <c r="F272" t="inlineStr">
        <is>
          <t>GÄVLEBORGS LÄN</t>
        </is>
      </c>
      <c r="G272" t="inlineStr">
        <is>
          <t>SÖDERHAMN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46226</v>
      </c>
      <c r="F273" t="inlineStr">
        <is>
          <t>GÄVLEBORGS LÄN</t>
        </is>
      </c>
      <c r="G273" t="inlineStr">
        <is>
          <t>SÖDERHAMN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46226</v>
      </c>
      <c r="F274" t="inlineStr">
        <is>
          <t>GÄVLEBORGS LÄN</t>
        </is>
      </c>
      <c r="G274" t="inlineStr">
        <is>
          <t>SÖDERHAMN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46226</v>
      </c>
      <c r="F275" t="inlineStr">
        <is>
          <t>GÄVLEBORGS LÄN</t>
        </is>
      </c>
      <c r="G275" t="inlineStr">
        <is>
          <t>SÖDERHAMN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46226</v>
      </c>
      <c r="F276" t="inlineStr">
        <is>
          <t>GÄVLEBORGS LÄN</t>
        </is>
      </c>
      <c r="G276" t="inlineStr">
        <is>
          <t>SÖDERHAMN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46226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46226</v>
      </c>
      <c r="F278" t="inlineStr">
        <is>
          <t>GÄVLEBORGS LÄN</t>
        </is>
      </c>
      <c r="G278" t="inlineStr">
        <is>
          <t>SÖDERHAMN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46226</v>
      </c>
      <c r="F279" t="inlineStr">
        <is>
          <t>GÄVLEBORGS LÄN</t>
        </is>
      </c>
      <c r="G279" t="inlineStr">
        <is>
          <t>SÖDERHAMN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46226</v>
      </c>
      <c r="F280" t="inlineStr">
        <is>
          <t>GÄVLEBORGS LÄN</t>
        </is>
      </c>
      <c r="G280" t="inlineStr">
        <is>
          <t>SÖDERHAMN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46226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45972</v>
      </c>
      <c r="E282" s="1" t="n">
        <v>46226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55730-2025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45972</v>
      </c>
      <c r="E283" s="1" t="n">
        <v>46226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55383-2025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46226</v>
      </c>
      <c r="F284" t="inlineStr">
        <is>
          <t>GÄVLEBORGS LÄN</t>
        </is>
      </c>
      <c r="G284" t="inlineStr">
        <is>
          <t>SÖDERHAMN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46226</v>
      </c>
      <c r="F285" t="inlineStr">
        <is>
          <t>GÄVLEBORGS LÄN</t>
        </is>
      </c>
      <c r="G285" t="inlineStr">
        <is>
          <t>SÖDERHAMN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46226</v>
      </c>
      <c r="F286" t="inlineStr">
        <is>
          <t>GÄVLEBORGS LÄN</t>
        </is>
      </c>
      <c r="G286" t="inlineStr">
        <is>
          <t>SÖDERHAMN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46226</v>
      </c>
      <c r="F287" t="inlineStr">
        <is>
          <t>GÄVLEBORGS LÄN</t>
        </is>
      </c>
      <c r="G287" t="inlineStr">
        <is>
          <t>SÖDERHAMN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46226</v>
      </c>
      <c r="F288" t="inlineStr">
        <is>
          <t>GÄVLEBORGS LÄN</t>
        </is>
      </c>
      <c r="G288" t="inlineStr">
        <is>
          <t>SÖDERHAMN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46226</v>
      </c>
      <c r="F289" t="inlineStr">
        <is>
          <t>GÄVLEBORGS LÄN</t>
        </is>
      </c>
      <c r="G289" t="inlineStr">
        <is>
          <t>SÖDERHAMN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44662</v>
      </c>
      <c r="E290" s="1" t="n">
        <v>46226</v>
      </c>
      <c r="F290" t="inlineStr">
        <is>
          <t>GÄVLEBORGS LÄN</t>
        </is>
      </c>
      <c r="G290" t="inlineStr">
        <is>
          <t>SÖDERHAMN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45747</v>
      </c>
      <c r="E291" s="1" t="n">
        <v>46226</v>
      </c>
      <c r="F291" t="inlineStr">
        <is>
          <t>GÄVLEBORGS LÄN</t>
        </is>
      </c>
      <c r="G291" t="inlineStr">
        <is>
          <t>SÖDERHAMN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45974</v>
      </c>
      <c r="E292" s="1" t="n">
        <v>46226</v>
      </c>
      <c r="F292" t="inlineStr">
        <is>
          <t>GÄVLEBORGS LÄN</t>
        </is>
      </c>
      <c r="G292" t="inlineStr">
        <is>
          <t>SÖDERHAMN</t>
        </is>
      </c>
      <c r="I292" t="n">
        <v>9.800000000000001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46226</v>
      </c>
      <c r="F293" t="inlineStr">
        <is>
          <t>GÄVLEBORGS LÄN</t>
        </is>
      </c>
      <c r="G293" t="inlineStr">
        <is>
          <t>SÖDERHAMN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45183</v>
      </c>
      <c r="E294" s="1" t="n">
        <v>46226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53918-2025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45961</v>
      </c>
      <c r="E295" s="1" t="n">
        <v>46226</v>
      </c>
      <c r="F295" t="inlineStr">
        <is>
          <t>GÄVLEBORGS LÄN</t>
        </is>
      </c>
      <c r="G295" t="inlineStr">
        <is>
          <t>SÖDERHAMN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45342</v>
      </c>
      <c r="E296" s="1" t="n">
        <v>46226</v>
      </c>
      <c r="F296" t="inlineStr">
        <is>
          <t>GÄVLEBORGS LÄN</t>
        </is>
      </c>
      <c r="G296" t="inlineStr">
        <is>
          <t>SÖDERHAMN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46226</v>
      </c>
      <c r="F297" t="inlineStr">
        <is>
          <t>GÄVLEBORGS LÄN</t>
        </is>
      </c>
      <c r="G297" t="inlineStr">
        <is>
          <t>SÖDERHAMN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46226</v>
      </c>
      <c r="F298" t="inlineStr">
        <is>
          <t>GÄVLEBORGS LÄN</t>
        </is>
      </c>
      <c r="G298" t="inlineStr">
        <is>
          <t>SÖDERHAMN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46226</v>
      </c>
      <c r="F299" t="inlineStr">
        <is>
          <t>GÄVLEBORGS LÄN</t>
        </is>
      </c>
      <c r="G299" t="inlineStr">
        <is>
          <t>SÖDERHAMN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46226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46226</v>
      </c>
      <c r="F301" t="inlineStr">
        <is>
          <t>GÄVLEBORGS LÄN</t>
        </is>
      </c>
      <c r="G301" t="inlineStr">
        <is>
          <t>SÖDERHAMN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46226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46226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35961-2025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45863</v>
      </c>
      <c r="E304" s="1" t="n">
        <v>46226</v>
      </c>
      <c r="F304" t="inlineStr">
        <is>
          <t>GÄVLEBORGS LÄN</t>
        </is>
      </c>
      <c r="G304" t="inlineStr">
        <is>
          <t>SÖDERHAMN</t>
        </is>
      </c>
      <c r="H304" t="inlineStr">
        <is>
          <t>Bergvik skog väst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46226</v>
      </c>
      <c r="F305" t="inlineStr">
        <is>
          <t>GÄVLEBORGS LÄN</t>
        </is>
      </c>
      <c r="G305" t="inlineStr">
        <is>
          <t>SÖDERHAMN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45982</v>
      </c>
      <c r="E306" s="1" t="n">
        <v>46226</v>
      </c>
      <c r="F306" t="inlineStr">
        <is>
          <t>GÄVLEBORGS LÄN</t>
        </is>
      </c>
      <c r="G306" t="inlineStr">
        <is>
          <t>SÖDERHAMN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46226</v>
      </c>
      <c r="F307" t="inlineStr">
        <is>
          <t>GÄVLEBORGS LÄN</t>
        </is>
      </c>
      <c r="G307" t="inlineStr">
        <is>
          <t>SÖDERHAMN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46226</v>
      </c>
      <c r="F308" t="inlineStr">
        <is>
          <t>GÄVLEBORGS LÄN</t>
        </is>
      </c>
      <c r="G308" t="inlineStr">
        <is>
          <t>SÖDERHAMN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11823-2026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46226</v>
      </c>
      <c r="F309" t="inlineStr">
        <is>
          <t>GÄVLEBORGS LÄN</t>
        </is>
      </c>
      <c r="G309" t="inlineStr">
        <is>
          <t>SÖDERHAMN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46226</v>
      </c>
      <c r="F310" t="inlineStr">
        <is>
          <t>GÄVLEBORGS LÄN</t>
        </is>
      </c>
      <c r="G310" t="inlineStr">
        <is>
          <t>SÖDERHAMN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46226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45867</v>
      </c>
      <c r="E312" s="1" t="n">
        <v>46226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46226</v>
      </c>
      <c r="F313" t="inlineStr">
        <is>
          <t>GÄVLEBORGS LÄN</t>
        </is>
      </c>
      <c r="G313" t="inlineStr">
        <is>
          <t>SÖDERHAMN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46226</v>
      </c>
      <c r="F314" t="inlineStr">
        <is>
          <t>GÄVLEBORGS LÄN</t>
        </is>
      </c>
      <c r="G314" t="inlineStr">
        <is>
          <t>SÖDERHAMN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46226</v>
      </c>
      <c r="F315" t="inlineStr">
        <is>
          <t>GÄVLEBORGS LÄN</t>
        </is>
      </c>
      <c r="G315" t="inlineStr">
        <is>
          <t>SÖDERHAMN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46226</v>
      </c>
      <c r="F316" t="inlineStr">
        <is>
          <t>GÄVLEBORGS LÄN</t>
        </is>
      </c>
      <c r="G316" t="inlineStr">
        <is>
          <t>SÖDERHAMN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46226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45040</v>
      </c>
      <c r="E318" s="1" t="n">
        <v>46226</v>
      </c>
      <c r="F318" t="inlineStr">
        <is>
          <t>GÄVLEBORGS LÄN</t>
        </is>
      </c>
      <c r="G318" t="inlineStr">
        <is>
          <t>SÖDERHAMN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46226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46226</v>
      </c>
      <c r="F320" t="inlineStr">
        <is>
          <t>GÄVLEBORGS LÄN</t>
        </is>
      </c>
      <c r="G320" t="inlineStr">
        <is>
          <t>SÖDERHAMN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46226</v>
      </c>
      <c r="F321" t="inlineStr">
        <is>
          <t>GÄVLEBORGS LÄN</t>
        </is>
      </c>
      <c r="G321" t="inlineStr">
        <is>
          <t>SÖDERHAMN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46226</v>
      </c>
      <c r="F322" t="inlineStr">
        <is>
          <t>GÄVLEBORGS LÄN</t>
        </is>
      </c>
      <c r="G322" t="inlineStr">
        <is>
          <t>SÖDERHAMN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46024</v>
      </c>
      <c r="E323" s="1" t="n">
        <v>46226</v>
      </c>
      <c r="F323" t="inlineStr">
        <is>
          <t>GÄVLEBORGS LÄN</t>
        </is>
      </c>
      <c r="G323" t="inlineStr">
        <is>
          <t>SÖDERHAMN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46226</v>
      </c>
      <c r="F324" t="inlineStr">
        <is>
          <t>GÄVLEBORGS LÄN</t>
        </is>
      </c>
      <c r="G324" t="inlineStr">
        <is>
          <t>SÖDERHAMN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46097</v>
      </c>
      <c r="E325" s="1" t="n">
        <v>46226</v>
      </c>
      <c r="F325" t="inlineStr">
        <is>
          <t>GÄVLEBORGS LÄN</t>
        </is>
      </c>
      <c r="G325" t="inlineStr">
        <is>
          <t>SÖDERHAMN</t>
        </is>
      </c>
      <c r="I325" t="n">
        <v>14.2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46226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45254</v>
      </c>
      <c r="E327" s="1" t="n">
        <v>46226</v>
      </c>
      <c r="F327" t="inlineStr">
        <is>
          <t>GÄVLEBORGS LÄN</t>
        </is>
      </c>
      <c r="G327" t="inlineStr">
        <is>
          <t>SÖDERHAMN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46226</v>
      </c>
      <c r="F328" t="inlineStr">
        <is>
          <t>GÄVLEBORGS LÄN</t>
        </is>
      </c>
      <c r="G328" t="inlineStr">
        <is>
          <t>SÖDERHAMN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46226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44837</v>
      </c>
      <c r="E330" s="1" t="n">
        <v>46226</v>
      </c>
      <c r="F330" t="inlineStr">
        <is>
          <t>GÄVLEBORGS LÄN</t>
        </is>
      </c>
      <c r="G330" t="inlineStr">
        <is>
          <t>SÖDERHAMN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46226</v>
      </c>
      <c r="F331" t="inlineStr">
        <is>
          <t>GÄVLEBORGS LÄN</t>
        </is>
      </c>
      <c r="G331" t="inlineStr">
        <is>
          <t>SÖDERHAMN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46226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46226</v>
      </c>
      <c r="F333" t="inlineStr">
        <is>
          <t>GÄVLEBORGS LÄN</t>
        </is>
      </c>
      <c r="G333" t="inlineStr">
        <is>
          <t>SÖDERHAMN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46226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46226</v>
      </c>
      <c r="F335" t="inlineStr">
        <is>
          <t>GÄVLEBORGS LÄN</t>
        </is>
      </c>
      <c r="G335" t="inlineStr">
        <is>
          <t>SÖDERHAMN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46226</v>
      </c>
      <c r="F336" t="inlineStr">
        <is>
          <t>GÄVLEBORGS LÄN</t>
        </is>
      </c>
      <c r="G336" t="inlineStr">
        <is>
          <t>SÖDERHAMN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46226</v>
      </c>
      <c r="F337" t="inlineStr">
        <is>
          <t>GÄVLEBORGS LÄN</t>
        </is>
      </c>
      <c r="G337" t="inlineStr">
        <is>
          <t>SÖDERHAMN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46226</v>
      </c>
      <c r="F338" t="inlineStr">
        <is>
          <t>GÄVLEBORGS LÄN</t>
        </is>
      </c>
      <c r="G338" t="inlineStr">
        <is>
          <t>SÖDERHAMN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58212-2025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45985</v>
      </c>
      <c r="E339" s="1" t="n">
        <v>46226</v>
      </c>
      <c r="F339" t="inlineStr">
        <is>
          <t>GÄVLEBORGS LÄN</t>
        </is>
      </c>
      <c r="G339" t="inlineStr">
        <is>
          <t>SÖDERHAMN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46226</v>
      </c>
      <c r="F340" t="inlineStr">
        <is>
          <t>GÄVLEBORGS LÄN</t>
        </is>
      </c>
      <c r="G340" t="inlineStr">
        <is>
          <t>SÖDERHAMN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46226</v>
      </c>
      <c r="F341" t="inlineStr">
        <is>
          <t>GÄVLEBORGS LÄN</t>
        </is>
      </c>
      <c r="G341" t="inlineStr">
        <is>
          <t>SÖDERHAMN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46226</v>
      </c>
      <c r="F342" t="inlineStr">
        <is>
          <t>GÄVLEBORGS LÄN</t>
        </is>
      </c>
      <c r="G342" t="inlineStr">
        <is>
          <t>SÖDERHAMN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46226</v>
      </c>
      <c r="F343" t="inlineStr">
        <is>
          <t>GÄVLEBORGS LÄN</t>
        </is>
      </c>
      <c r="G343" t="inlineStr">
        <is>
          <t>SÖDERHAMN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46226</v>
      </c>
      <c r="F344" t="inlineStr">
        <is>
          <t>GÄVLEBORGS LÄN</t>
        </is>
      </c>
      <c r="G344" t="inlineStr">
        <is>
          <t>SÖDERHAMN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46226</v>
      </c>
      <c r="F345" t="inlineStr">
        <is>
          <t>GÄVLEBORGS LÄN</t>
        </is>
      </c>
      <c r="G345" t="inlineStr">
        <is>
          <t>SÖDERHAMN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61416-2025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46001</v>
      </c>
      <c r="E346" s="1" t="n">
        <v>46226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46226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46226</v>
      </c>
      <c r="F348" t="inlineStr">
        <is>
          <t>GÄVLEBORGS LÄN</t>
        </is>
      </c>
      <c r="G348" t="inlineStr">
        <is>
          <t>SÖDERHAMN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45677</v>
      </c>
      <c r="E349" s="1" t="n">
        <v>46226</v>
      </c>
      <c r="F349" t="inlineStr">
        <is>
          <t>GÄVLEBORGS LÄN</t>
        </is>
      </c>
      <c r="G349" t="inlineStr">
        <is>
          <t>SÖDERHAMN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45757</v>
      </c>
      <c r="E350" s="1" t="n">
        <v>46226</v>
      </c>
      <c r="F350" t="inlineStr">
        <is>
          <t>GÄVLEBORGS LÄN</t>
        </is>
      </c>
      <c r="G350" t="inlineStr">
        <is>
          <t>SÖDERHAMN</t>
        </is>
      </c>
      <c r="H350" t="inlineStr">
        <is>
          <t>Kommuner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46226</v>
      </c>
      <c r="F351" t="inlineStr">
        <is>
          <t>GÄVLEBORGS LÄN</t>
        </is>
      </c>
      <c r="G351" t="inlineStr">
        <is>
          <t>SÖDERHAMN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45510</v>
      </c>
      <c r="E352" s="1" t="n">
        <v>46226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46226</v>
      </c>
      <c r="F353" t="inlineStr">
        <is>
          <t>GÄVLEBORGS LÄN</t>
        </is>
      </c>
      <c r="G353" t="inlineStr">
        <is>
          <t>SÖDERHAMN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45398</v>
      </c>
      <c r="E354" s="1" t="n">
        <v>46226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62414-2025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46226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46226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46226</v>
      </c>
      <c r="F357" t="inlineStr">
        <is>
          <t>GÄVLEBORGS LÄN</t>
        </is>
      </c>
      <c r="G357" t="inlineStr">
        <is>
          <t>SÖDERHAMN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21003-2026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46226</v>
      </c>
      <c r="F358" t="inlineStr">
        <is>
          <t>GÄVLEBORGS LÄN</t>
        </is>
      </c>
      <c r="G358" t="inlineStr">
        <is>
          <t>SÖDERHAMN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45796</v>
      </c>
      <c r="E359" s="1" t="n">
        <v>46226</v>
      </c>
      <c r="F359" t="inlineStr">
        <is>
          <t>GÄVLEBORGS LÄN</t>
        </is>
      </c>
      <c r="G359" t="inlineStr">
        <is>
          <t>SÖDERHAMN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46226</v>
      </c>
      <c r="F360" t="inlineStr">
        <is>
          <t>GÄVLEBORGS LÄN</t>
        </is>
      </c>
      <c r="G360" t="inlineStr">
        <is>
          <t>SÖDERHAMN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46226</v>
      </c>
      <c r="F361" t="inlineStr">
        <is>
          <t>GÄVLEBORGS LÄN</t>
        </is>
      </c>
      <c r="G361" t="inlineStr">
        <is>
          <t>SÖDERHAMN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55765-2025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45972</v>
      </c>
      <c r="E362" s="1" t="n">
        <v>46226</v>
      </c>
      <c r="F362" t="inlineStr">
        <is>
          <t>GÄVLEBORGS LÄN</t>
        </is>
      </c>
      <c r="G362" t="inlineStr">
        <is>
          <t>SÖDERHAMN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46226</v>
      </c>
      <c r="F363" t="inlineStr">
        <is>
          <t>GÄVLEBORGS LÄN</t>
        </is>
      </c>
      <c r="G363" t="inlineStr">
        <is>
          <t>SÖDERHAMN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45879</v>
      </c>
      <c r="E364" s="1" t="n">
        <v>46226</v>
      </c>
      <c r="F364" t="inlineStr">
        <is>
          <t>GÄVLEBORGS LÄN</t>
        </is>
      </c>
      <c r="G364" t="inlineStr">
        <is>
          <t>SÖDERHAMN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46226</v>
      </c>
      <c r="F365" t="inlineStr">
        <is>
          <t>GÄVLEBORGS LÄN</t>
        </is>
      </c>
      <c r="G365" t="inlineStr">
        <is>
          <t>SÖDERHAMN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21385-2026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46147</v>
      </c>
      <c r="E366" s="1" t="n">
        <v>46226</v>
      </c>
      <c r="F366" t="inlineStr">
        <is>
          <t>GÄVLEBORGS LÄN</t>
        </is>
      </c>
      <c r="G366" t="inlineStr">
        <is>
          <t>SÖDERHAMN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46226</v>
      </c>
      <c r="F367" t="inlineStr">
        <is>
          <t>GÄVLEBORGS LÄN</t>
        </is>
      </c>
      <c r="G367" t="inlineStr">
        <is>
          <t>SÖDERHAMN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46226</v>
      </c>
      <c r="F368" t="inlineStr">
        <is>
          <t>GÄVLEBORGS LÄN</t>
        </is>
      </c>
      <c r="G368" t="inlineStr">
        <is>
          <t>SÖDERHAMN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46226</v>
      </c>
      <c r="F369" t="inlineStr">
        <is>
          <t>GÄVLEBORGS LÄN</t>
        </is>
      </c>
      <c r="G369" t="inlineStr">
        <is>
          <t>SÖDERHAMN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46226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45879</v>
      </c>
      <c r="E371" s="1" t="n">
        <v>46226</v>
      </c>
      <c r="F371" t="inlineStr">
        <is>
          <t>GÄVLEBORGS LÄN</t>
        </is>
      </c>
      <c r="G371" t="inlineStr">
        <is>
          <t>SÖDERHAMN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46226</v>
      </c>
      <c r="F372" t="inlineStr">
        <is>
          <t>GÄVLEBORGS LÄN</t>
        </is>
      </c>
      <c r="G372" t="inlineStr">
        <is>
          <t>SÖDERHAMN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45821</v>
      </c>
      <c r="E373" s="1" t="n">
        <v>46226</v>
      </c>
      <c r="F373" t="inlineStr">
        <is>
          <t>GÄVLEBORGS LÄN</t>
        </is>
      </c>
      <c r="G373" t="inlineStr">
        <is>
          <t>SÖDERHAMN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46226</v>
      </c>
      <c r="F374" t="inlineStr">
        <is>
          <t>GÄVLEBORGS LÄN</t>
        </is>
      </c>
      <c r="G374" t="inlineStr">
        <is>
          <t>SÖDERHAMN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46026</v>
      </c>
      <c r="E375" s="1" t="n">
        <v>46226</v>
      </c>
      <c r="F375" t="inlineStr">
        <is>
          <t>GÄVLEBORGS LÄN</t>
        </is>
      </c>
      <c r="G375" t="inlineStr">
        <is>
          <t>SÖDERHAMN</t>
        </is>
      </c>
      <c r="I375" t="n">
        <v>12.9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46226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46026</v>
      </c>
      <c r="E377" s="1" t="n">
        <v>46226</v>
      </c>
      <c r="F377" t="inlineStr">
        <is>
          <t>GÄVLEBORGS LÄN</t>
        </is>
      </c>
      <c r="G377" t="inlineStr">
        <is>
          <t>SÖDERHAMN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46226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46026</v>
      </c>
      <c r="E379" s="1" t="n">
        <v>46226</v>
      </c>
      <c r="F379" t="inlineStr">
        <is>
          <t>GÄVLEBORGS LÄN</t>
        </is>
      </c>
      <c r="G379" t="inlineStr">
        <is>
          <t>SÖDERHAMN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46026</v>
      </c>
      <c r="E380" s="1" t="n">
        <v>46226</v>
      </c>
      <c r="F380" t="inlineStr">
        <is>
          <t>GÄVLEBORGS LÄN</t>
        </is>
      </c>
      <c r="G380" t="inlineStr">
        <is>
          <t>SÖDERHAMN</t>
        </is>
      </c>
      <c r="I380" t="n">
        <v>10.8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46226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46226</v>
      </c>
      <c r="F382" t="inlineStr">
        <is>
          <t>GÄVLEBORGS LÄN</t>
        </is>
      </c>
      <c r="G382" t="inlineStr">
        <is>
          <t>SÖDERHAMN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46226</v>
      </c>
      <c r="F383" t="inlineStr">
        <is>
          <t>GÄVLEBORGS LÄN</t>
        </is>
      </c>
      <c r="G383" t="inlineStr">
        <is>
          <t>SÖDERHAMN</t>
        </is>
      </c>
      <c r="I383" t="n">
        <v>13.8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21547-2026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46226</v>
      </c>
      <c r="F384" t="inlineStr">
        <is>
          <t>GÄVLEBORGS LÄN</t>
        </is>
      </c>
      <c r="G384" t="inlineStr">
        <is>
          <t>SÖDERHAMN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46030</v>
      </c>
      <c r="E385" s="1" t="n">
        <v>46226</v>
      </c>
      <c r="F385" t="inlineStr">
        <is>
          <t>GÄVLEBORGS LÄN</t>
        </is>
      </c>
      <c r="G385" t="inlineStr">
        <is>
          <t>SÖDERHAMN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46226</v>
      </c>
      <c r="F386" t="inlineStr">
        <is>
          <t>GÄVLEBORGS LÄN</t>
        </is>
      </c>
      <c r="G386" t="inlineStr">
        <is>
          <t>SÖDERHAMN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46226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46226</v>
      </c>
      <c r="F388" t="inlineStr">
        <is>
          <t>GÄVLEBORGS LÄN</t>
        </is>
      </c>
      <c r="G388" t="inlineStr">
        <is>
          <t>SÖDERHAMN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46226</v>
      </c>
      <c r="F389" t="inlineStr">
        <is>
          <t>GÄVLEBORGS LÄN</t>
        </is>
      </c>
      <c r="G389" t="inlineStr">
        <is>
          <t>SÖDERHAMN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46226</v>
      </c>
      <c r="F390" t="inlineStr">
        <is>
          <t>GÄVLEBORGS LÄN</t>
        </is>
      </c>
      <c r="G390" t="inlineStr">
        <is>
          <t>SÖDERHAMN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46226</v>
      </c>
      <c r="F391" t="inlineStr">
        <is>
          <t>GÄVLEBORGS LÄN</t>
        </is>
      </c>
      <c r="G391" t="inlineStr">
        <is>
          <t>SÖDERHAMN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46226</v>
      </c>
      <c r="F392" t="inlineStr">
        <is>
          <t>GÄVLEBORGS LÄN</t>
        </is>
      </c>
      <c r="G392" t="inlineStr">
        <is>
          <t>SÖDERHAMN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46226</v>
      </c>
      <c r="F393" t="inlineStr">
        <is>
          <t>GÄVLEBORGS LÄN</t>
        </is>
      </c>
      <c r="G393" t="inlineStr">
        <is>
          <t>SÖDERHAMN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45761</v>
      </c>
      <c r="E394" s="1" t="n">
        <v>46226</v>
      </c>
      <c r="F394" t="inlineStr">
        <is>
          <t>GÄVLEBORGS LÄN</t>
        </is>
      </c>
      <c r="G394" t="inlineStr">
        <is>
          <t>SÖDERHAMN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46226</v>
      </c>
      <c r="F395" t="inlineStr">
        <is>
          <t>GÄVLEBORGS LÄN</t>
        </is>
      </c>
      <c r="G395" t="inlineStr">
        <is>
          <t>SÖDERHAMN</t>
        </is>
      </c>
      <c r="I395" t="n">
        <v>12.5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46226</v>
      </c>
      <c r="F396" t="inlineStr">
        <is>
          <t>GÄVLEBORGS LÄN</t>
        </is>
      </c>
      <c r="G396" t="inlineStr">
        <is>
          <t>SÖDERHAMN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46226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46024</v>
      </c>
      <c r="E398" s="1" t="n">
        <v>46226</v>
      </c>
      <c r="F398" t="inlineStr">
        <is>
          <t>GÄVLEBORGS LÄN</t>
        </is>
      </c>
      <c r="G398" t="inlineStr">
        <is>
          <t>SÖDERHAMN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45754</v>
      </c>
      <c r="E399" s="1" t="n">
        <v>46226</v>
      </c>
      <c r="F399" t="inlineStr">
        <is>
          <t>GÄVLEBORGS LÄN</t>
        </is>
      </c>
      <c r="G399" t="inlineStr">
        <is>
          <t>SÖDERHAMN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45748</v>
      </c>
      <c r="E400" s="1" t="n">
        <v>46226</v>
      </c>
      <c r="F400" t="inlineStr">
        <is>
          <t>GÄVLEBORGS LÄN</t>
        </is>
      </c>
      <c r="G400" t="inlineStr">
        <is>
          <t>SÖDERHAMN</t>
        </is>
      </c>
      <c r="H400" t="inlineStr">
        <is>
          <t>Kommuner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46226</v>
      </c>
      <c r="F401" t="inlineStr">
        <is>
          <t>GÄVLEBORGS LÄN</t>
        </is>
      </c>
      <c r="G401" t="inlineStr">
        <is>
          <t>SÖDERHAMN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46226</v>
      </c>
      <c r="F402" t="inlineStr">
        <is>
          <t>GÄVLEBORGS LÄN</t>
        </is>
      </c>
      <c r="G402" t="inlineStr">
        <is>
          <t>SÖDERHAMN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45670</v>
      </c>
      <c r="E403" s="1" t="n">
        <v>46226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46024</v>
      </c>
      <c r="E404" s="1" t="n">
        <v>46226</v>
      </c>
      <c r="F404" t="inlineStr">
        <is>
          <t>GÄVLEBORGS LÄN</t>
        </is>
      </c>
      <c r="G404" t="inlineStr">
        <is>
          <t>SÖDERHAMN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46035</v>
      </c>
      <c r="E405" s="1" t="n">
        <v>46226</v>
      </c>
      <c r="F405" t="inlineStr">
        <is>
          <t>GÄVLEBORGS LÄN</t>
        </is>
      </c>
      <c r="G405" t="inlineStr">
        <is>
          <t>SÖDERHAMN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46226</v>
      </c>
      <c r="F406" t="inlineStr">
        <is>
          <t>GÄVLEBORGS LÄN</t>
        </is>
      </c>
      <c r="G406" t="inlineStr">
        <is>
          <t>SÖDERHAMN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34752-2024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45526</v>
      </c>
      <c r="E407" s="1" t="n">
        <v>46226</v>
      </c>
      <c r="F407" t="inlineStr">
        <is>
          <t>GÄVLEBORGS LÄN</t>
        </is>
      </c>
      <c r="G407" t="inlineStr">
        <is>
          <t>SÖDERHAMN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46226</v>
      </c>
      <c r="F408" t="inlineStr">
        <is>
          <t>GÄVLEBORGS LÄN</t>
        </is>
      </c>
      <c r="G408" t="inlineStr">
        <is>
          <t>SÖDERHAMN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45597</v>
      </c>
      <c r="E409" s="1" t="n">
        <v>46226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46226</v>
      </c>
      <c r="F410" t="inlineStr">
        <is>
          <t>GÄVLEBORGS LÄN</t>
        </is>
      </c>
      <c r="G410" t="inlineStr">
        <is>
          <t>SÖDERHAMN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46226</v>
      </c>
      <c r="F411" t="inlineStr">
        <is>
          <t>GÄVLEBORGS LÄN</t>
        </is>
      </c>
      <c r="G411" t="inlineStr">
        <is>
          <t>SÖDERHAMN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46226</v>
      </c>
      <c r="F412" t="inlineStr">
        <is>
          <t>GÄVLEBORGS LÄN</t>
        </is>
      </c>
      <c r="G412" t="inlineStr">
        <is>
          <t>SÖDERHAMN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44938</v>
      </c>
      <c r="E413" s="1" t="n">
        <v>46226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46226</v>
      </c>
      <c r="F414" t="inlineStr">
        <is>
          <t>GÄVLEBORGS LÄN</t>
        </is>
      </c>
      <c r="G414" t="inlineStr">
        <is>
          <t>SÖDERHAMN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46226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46226</v>
      </c>
      <c r="F416" t="inlineStr">
        <is>
          <t>GÄVLEBORGS LÄN</t>
        </is>
      </c>
      <c r="G416" t="inlineStr">
        <is>
          <t>SÖDERHAMN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46043</v>
      </c>
      <c r="E417" s="1" t="n">
        <v>46226</v>
      </c>
      <c r="F417" t="inlineStr">
        <is>
          <t>GÄVLEBORGS LÄN</t>
        </is>
      </c>
      <c r="G417" t="inlineStr">
        <is>
          <t>SÖDERHAMN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46226</v>
      </c>
      <c r="F418" t="inlineStr">
        <is>
          <t>GÄVLEBORGS LÄN</t>
        </is>
      </c>
      <c r="G418" t="inlineStr">
        <is>
          <t>SÖDERHAMN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46226</v>
      </c>
      <c r="F419" t="inlineStr">
        <is>
          <t>GÄVLEBORGS LÄN</t>
        </is>
      </c>
      <c r="G419" t="inlineStr">
        <is>
          <t>SÖDERHAMN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46226</v>
      </c>
      <c r="F420" t="inlineStr">
        <is>
          <t>GÄVLEBORGS LÄN</t>
        </is>
      </c>
      <c r="G420" t="inlineStr">
        <is>
          <t>SÖDERHAMN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46226</v>
      </c>
      <c r="F421" t="inlineStr">
        <is>
          <t>GÄVLEBORGS LÄN</t>
        </is>
      </c>
      <c r="G421" t="inlineStr">
        <is>
          <t>SÖDERHAMN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46226</v>
      </c>
      <c r="F422" t="inlineStr">
        <is>
          <t>GÄVLEBORGS LÄN</t>
        </is>
      </c>
      <c r="G422" t="inlineStr">
        <is>
          <t>SÖDERHAMN</t>
        </is>
      </c>
      <c r="I422" t="n">
        <v>12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46226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46226</v>
      </c>
      <c r="F424" t="inlineStr">
        <is>
          <t>GÄVLEBORGS LÄN</t>
        </is>
      </c>
      <c r="G424" t="inlineStr">
        <is>
          <t>SÖDERHAMN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46226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46044</v>
      </c>
      <c r="E426" s="1" t="n">
        <v>46226</v>
      </c>
      <c r="F426" t="inlineStr">
        <is>
          <t>GÄVLEBORGS LÄN</t>
        </is>
      </c>
      <c r="G426" t="inlineStr">
        <is>
          <t>SÖDERHAMN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50281-2024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45600</v>
      </c>
      <c r="E427" s="1" t="n">
        <v>46226</v>
      </c>
      <c r="F427" t="inlineStr">
        <is>
          <t>GÄVLEBORGS LÄN</t>
        </is>
      </c>
      <c r="G427" t="inlineStr">
        <is>
          <t>SÖDERHAMN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39208-2024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45548</v>
      </c>
      <c r="E428" s="1" t="n">
        <v>46226</v>
      </c>
      <c r="F428" t="inlineStr">
        <is>
          <t>GÄVLEBORGS LÄN</t>
        </is>
      </c>
      <c r="G428" t="inlineStr">
        <is>
          <t>SÖDERHAMN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45062</v>
      </c>
      <c r="E429" s="1" t="n">
        <v>46226</v>
      </c>
      <c r="F429" t="inlineStr">
        <is>
          <t>GÄVLEBORGS LÄN</t>
        </is>
      </c>
      <c r="G429" t="inlineStr">
        <is>
          <t>SÖDERHAMN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40745-2023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45170</v>
      </c>
      <c r="E430" s="1" t="n">
        <v>46226</v>
      </c>
      <c r="F430" t="inlineStr">
        <is>
          <t>GÄVLEBORGS LÄN</t>
        </is>
      </c>
      <c r="G430" t="inlineStr">
        <is>
          <t>SÖDERHAMN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46226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46226</v>
      </c>
      <c r="F432" t="inlineStr">
        <is>
          <t>GÄVLEBORGS LÄN</t>
        </is>
      </c>
      <c r="G432" t="inlineStr">
        <is>
          <t>SÖDERHAMN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46226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4557-2024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45327</v>
      </c>
      <c r="E434" s="1" t="n">
        <v>46226</v>
      </c>
      <c r="F434" t="inlineStr">
        <is>
          <t>GÄVLEBORGS LÄN</t>
        </is>
      </c>
      <c r="G434" t="inlineStr">
        <is>
          <t>SÖDERHAMN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46226</v>
      </c>
      <c r="F435" t="inlineStr">
        <is>
          <t>GÄVLEBORGS LÄN</t>
        </is>
      </c>
      <c r="G435" t="inlineStr">
        <is>
          <t>SÖDERHAMN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46157</v>
      </c>
      <c r="E436" s="1" t="n">
        <v>46226</v>
      </c>
      <c r="F436" t="inlineStr">
        <is>
          <t>GÄVLEBORGS LÄN</t>
        </is>
      </c>
      <c r="G436" t="inlineStr">
        <is>
          <t>SÖDERHAMN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46157</v>
      </c>
      <c r="E437" s="1" t="n">
        <v>46226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46157</v>
      </c>
      <c r="E438" s="1" t="n">
        <v>46226</v>
      </c>
      <c r="F438" t="inlineStr">
        <is>
          <t>GÄVLEBORGS LÄN</t>
        </is>
      </c>
      <c r="G438" t="inlineStr">
        <is>
          <t>SÖDERHAMN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46226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46226</v>
      </c>
      <c r="F440" t="inlineStr">
        <is>
          <t>GÄVLEBORGS LÄN</t>
        </is>
      </c>
      <c r="G440" t="inlineStr">
        <is>
          <t>SÖDERHAMN</t>
        </is>
      </c>
      <c r="I440" t="n">
        <v>14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46052</v>
      </c>
      <c r="E441" s="1" t="n">
        <v>46226</v>
      </c>
      <c r="F441" t="inlineStr">
        <is>
          <t>GÄVLEBORGS LÄN</t>
        </is>
      </c>
      <c r="G441" t="inlineStr">
        <is>
          <t>SÖDERHAMN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46226</v>
      </c>
      <c r="F442" t="inlineStr">
        <is>
          <t>GÄVLEBORGS LÄN</t>
        </is>
      </c>
      <c r="G442" t="inlineStr">
        <is>
          <t>SÖDERHAMN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46226</v>
      </c>
      <c r="F443" t="inlineStr">
        <is>
          <t>GÄVLEBORGS LÄN</t>
        </is>
      </c>
      <c r="G443" t="inlineStr">
        <is>
          <t>SÖDERHAMN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46052</v>
      </c>
      <c r="E444" s="1" t="n">
        <v>46226</v>
      </c>
      <c r="F444" t="inlineStr">
        <is>
          <t>GÄVLEBORGS LÄN</t>
        </is>
      </c>
      <c r="G444" t="inlineStr">
        <is>
          <t>SÖDERHAMN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16188-2025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45750</v>
      </c>
      <c r="E445" s="1" t="n">
        <v>46226</v>
      </c>
      <c r="F445" t="inlineStr">
        <is>
          <t>GÄVLEBORGS LÄN</t>
        </is>
      </c>
      <c r="G445" t="inlineStr">
        <is>
          <t>SÖDERHAMN</t>
        </is>
      </c>
      <c r="H445" t="inlineStr">
        <is>
          <t>Kommuner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22725-2026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46157</v>
      </c>
      <c r="E446" s="1" t="n">
        <v>46226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46157</v>
      </c>
      <c r="E447" s="1" t="n">
        <v>46226</v>
      </c>
      <c r="F447" t="inlineStr">
        <is>
          <t>GÄVLEBORGS LÄN</t>
        </is>
      </c>
      <c r="G447" t="inlineStr">
        <is>
          <t>SÖDERHAMN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46157</v>
      </c>
      <c r="E448" s="1" t="n">
        <v>46226</v>
      </c>
      <c r="F448" t="inlineStr">
        <is>
          <t>GÄVLEBORGS LÄN</t>
        </is>
      </c>
      <c r="G448" t="inlineStr">
        <is>
          <t>SÖDERHAMN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46226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46157</v>
      </c>
      <c r="E450" s="1" t="n">
        <v>46226</v>
      </c>
      <c r="F450" t="inlineStr">
        <is>
          <t>GÄVLEBORGS LÄN</t>
        </is>
      </c>
      <c r="G450" t="inlineStr">
        <is>
          <t>SÖDERHAMN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45461</v>
      </c>
      <c r="E451" s="1" t="n">
        <v>46226</v>
      </c>
      <c r="F451" t="inlineStr">
        <is>
          <t>GÄVLEBORGS LÄN</t>
        </is>
      </c>
      <c r="G451" t="inlineStr">
        <is>
          <t>SÖDERHAMN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34976-2024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45527</v>
      </c>
      <c r="E452" s="1" t="n">
        <v>46226</v>
      </c>
      <c r="F452" t="inlineStr">
        <is>
          <t>GÄVLEBORGS LÄN</t>
        </is>
      </c>
      <c r="G452" t="inlineStr">
        <is>
          <t>SÖDERHAMN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46226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44651</v>
      </c>
      <c r="E454" s="1" t="n">
        <v>46226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46162</v>
      </c>
      <c r="E455" s="1" t="n">
        <v>46226</v>
      </c>
      <c r="F455" t="inlineStr">
        <is>
          <t>GÄVLEBORGS LÄN</t>
        </is>
      </c>
      <c r="G455" t="inlineStr">
        <is>
          <t>SÖDERHAMN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46226</v>
      </c>
      <c r="F456" t="inlineStr">
        <is>
          <t>GÄVLEBORGS LÄN</t>
        </is>
      </c>
      <c r="G456" t="inlineStr">
        <is>
          <t>SÖDERHAMN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46226</v>
      </c>
      <c r="F457" t="inlineStr">
        <is>
          <t>GÄVLEBORGS LÄN</t>
        </is>
      </c>
      <c r="G457" t="inlineStr">
        <is>
          <t>SÖDERHAMN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45028</v>
      </c>
      <c r="E458" s="1" t="n">
        <v>46226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63431-2021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44508</v>
      </c>
      <c r="E459" s="1" t="n">
        <v>46226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39916-2021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44417</v>
      </c>
      <c r="E460" s="1" t="n">
        <v>46226</v>
      </c>
      <c r="F460" t="inlineStr">
        <is>
          <t>GÄVLEBORGS LÄN</t>
        </is>
      </c>
      <c r="G460" t="inlineStr">
        <is>
          <t>SÖDERHAMN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46226</v>
      </c>
      <c r="F461" t="inlineStr">
        <is>
          <t>GÄVLEBORGS LÄN</t>
        </is>
      </c>
      <c r="G461" t="inlineStr">
        <is>
          <t>SÖDERHAMN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46226</v>
      </c>
      <c r="F462" t="inlineStr">
        <is>
          <t>GÄVLEBORGS LÄN</t>
        </is>
      </c>
      <c r="G462" t="inlineStr">
        <is>
          <t>SÖDERHAMN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13805-2022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44649</v>
      </c>
      <c r="E463" s="1" t="n">
        <v>46226</v>
      </c>
      <c r="F463" t="inlineStr">
        <is>
          <t>GÄVLEBORGS LÄN</t>
        </is>
      </c>
      <c r="G463" t="inlineStr">
        <is>
          <t>SÖDERHAMN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46207</v>
      </c>
      <c r="E464" s="1" t="n">
        <v>46226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46226</v>
      </c>
      <c r="F465" t="inlineStr">
        <is>
          <t>GÄVLEBORGS LÄN</t>
        </is>
      </c>
      <c r="G465" t="inlineStr">
        <is>
          <t>SÖDERHAMN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45012</v>
      </c>
      <c r="E466" s="1" t="n">
        <v>46226</v>
      </c>
      <c r="F466" t="inlineStr">
        <is>
          <t>GÄVLEBORGS LÄN</t>
        </is>
      </c>
      <c r="G466" t="inlineStr">
        <is>
          <t>SÖDERHAMN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45373</v>
      </c>
      <c r="E467" s="1" t="n">
        <v>46226</v>
      </c>
      <c r="F467" t="inlineStr">
        <is>
          <t>GÄVLEBORGS LÄN</t>
        </is>
      </c>
      <c r="G467" t="inlineStr">
        <is>
          <t>SÖDERHAMN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46165</v>
      </c>
      <c r="E468" s="1" t="n">
        <v>46226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51986-2024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46226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56933-2024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45628</v>
      </c>
      <c r="E470" s="1" t="n">
        <v>46226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46226</v>
      </c>
      <c r="F471" t="inlineStr">
        <is>
          <t>GÄVLEBORGS LÄN</t>
        </is>
      </c>
      <c r="G471" t="inlineStr">
        <is>
          <t>SÖDERHAMN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55715-2024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45622</v>
      </c>
      <c r="E472" s="1" t="n">
        <v>46226</v>
      </c>
      <c r="F472" t="inlineStr">
        <is>
          <t>GÄVLEBORGS LÄN</t>
        </is>
      </c>
      <c r="G472" t="inlineStr">
        <is>
          <t>SÖDERHAMN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46211</v>
      </c>
      <c r="E473" s="1" t="n">
        <v>46226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45936</v>
      </c>
      <c r="E474" s="1" t="n">
        <v>46226</v>
      </c>
      <c r="F474" t="inlineStr">
        <is>
          <t>GÄVLEBORGS LÄN</t>
        </is>
      </c>
      <c r="G474" t="inlineStr">
        <is>
          <t>SÖDERHAMN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46226</v>
      </c>
      <c r="F475" t="inlineStr">
        <is>
          <t>GÄVLEBORGS LÄN</t>
        </is>
      </c>
      <c r="G475" t="inlineStr">
        <is>
          <t>SÖDERHAMN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45602</v>
      </c>
      <c r="E476" s="1" t="n">
        <v>46226</v>
      </c>
      <c r="F476" t="inlineStr">
        <is>
          <t>GÄVLEBORGS LÄN</t>
        </is>
      </c>
      <c r="G476" t="inlineStr">
        <is>
          <t>SÖDERHAMN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46226</v>
      </c>
      <c r="F477" t="inlineStr">
        <is>
          <t>GÄVLEBORGS LÄN</t>
        </is>
      </c>
      <c r="G477" t="inlineStr">
        <is>
          <t>SÖDERHAMN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46226</v>
      </c>
      <c r="F478" t="inlineStr">
        <is>
          <t>GÄVLEBORGS LÄN</t>
        </is>
      </c>
      <c r="G478" t="inlineStr">
        <is>
          <t>SÖDERHAMN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46226</v>
      </c>
      <c r="F479" t="inlineStr">
        <is>
          <t>GÄVLEBORGS LÄN</t>
        </is>
      </c>
      <c r="G479" t="inlineStr">
        <is>
          <t>SÖDERHAMN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46226</v>
      </c>
      <c r="F480" t="inlineStr">
        <is>
          <t>GÄVLEBORGS LÄN</t>
        </is>
      </c>
      <c r="G480" t="inlineStr">
        <is>
          <t>SÖDERHAMN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30871-2026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46226</v>
      </c>
      <c r="F481" t="inlineStr">
        <is>
          <t>GÄVLEBORGS LÄN</t>
        </is>
      </c>
      <c r="G481" t="inlineStr">
        <is>
          <t>SÖDERHAMN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46226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Kyrkan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15499-2025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45747</v>
      </c>
      <c r="E483" s="1" t="n">
        <v>46226</v>
      </c>
      <c r="F483" t="inlineStr">
        <is>
          <t>GÄVLEBORGS LÄN</t>
        </is>
      </c>
      <c r="G483" t="inlineStr">
        <is>
          <t>SÖDERHAMN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46212</v>
      </c>
      <c r="E484" s="1" t="n">
        <v>46226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Kyrkan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30848-2026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46212</v>
      </c>
      <c r="E485" s="1" t="n">
        <v>46226</v>
      </c>
      <c r="F485" t="inlineStr">
        <is>
          <t>GÄVLEBORGS LÄN</t>
        </is>
      </c>
      <c r="G485" t="inlineStr">
        <is>
          <t>SÖDERHAMN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46226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47288-2023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46226</v>
      </c>
      <c r="F487" t="inlineStr">
        <is>
          <t>GÄVLEBORGS LÄN</t>
        </is>
      </c>
      <c r="G487" t="inlineStr">
        <is>
          <t>SÖDERHAMN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46226</v>
      </c>
      <c r="F488" t="inlineStr">
        <is>
          <t>GÄVLEBORGS LÄN</t>
        </is>
      </c>
      <c r="G488" t="inlineStr">
        <is>
          <t>SÖDERHAMN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46226</v>
      </c>
      <c r="F489" t="inlineStr">
        <is>
          <t>GÄVLEBORGS LÄN</t>
        </is>
      </c>
      <c r="G489" t="inlineStr">
        <is>
          <t>SÖDERHAMN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46226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51553-2024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46226</v>
      </c>
      <c r="F491" t="inlineStr">
        <is>
          <t>GÄVLEBORGS LÄN</t>
        </is>
      </c>
      <c r="G491" t="inlineStr">
        <is>
          <t>SÖDERHAMN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46226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20312-2025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46226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18920-2025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46226</v>
      </c>
      <c r="F494" t="inlineStr">
        <is>
          <t>GÄVLEBORGS LÄN</t>
        </is>
      </c>
      <c r="G494" t="inlineStr">
        <is>
          <t>SÖDERHAMN</t>
        </is>
      </c>
      <c r="H494" t="inlineStr">
        <is>
          <t>Kommuner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46226</v>
      </c>
      <c r="F495" t="inlineStr">
        <is>
          <t>GÄVLEBORGS LÄN</t>
        </is>
      </c>
      <c r="G495" t="inlineStr">
        <is>
          <t>SÖDERHAMN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16106-2023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45027</v>
      </c>
      <c r="E496" s="1" t="n">
        <v>46226</v>
      </c>
      <c r="F496" t="inlineStr">
        <is>
          <t>GÄVLEBORGS LÄN</t>
        </is>
      </c>
      <c r="G496" t="inlineStr">
        <is>
          <t>SÖDERHAMN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46226</v>
      </c>
      <c r="F497" t="inlineStr">
        <is>
          <t>GÄVLEBORGS LÄN</t>
        </is>
      </c>
      <c r="G497" t="inlineStr">
        <is>
          <t>SÖDERHAMN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46226</v>
      </c>
      <c r="F498" t="inlineStr">
        <is>
          <t>GÄVLEBORGS LÄN</t>
        </is>
      </c>
      <c r="G498" t="inlineStr">
        <is>
          <t>SÖDERHAMN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49305-2023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45210</v>
      </c>
      <c r="E499" s="1" t="n">
        <v>46226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46226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46219</v>
      </c>
      <c r="E501" s="1" t="n">
        <v>46226</v>
      </c>
      <c r="F501" t="inlineStr">
        <is>
          <t>GÄVLEBORGS LÄN</t>
        </is>
      </c>
      <c r="G501" t="inlineStr">
        <is>
          <t>SÖDERHAMN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46218</v>
      </c>
      <c r="E502" s="1" t="n">
        <v>46226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44681-2024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46226</v>
      </c>
      <c r="F503" t="inlineStr">
        <is>
          <t>GÄVLEBORGS LÄN</t>
        </is>
      </c>
      <c r="G503" t="inlineStr">
        <is>
          <t>SÖDERHAMN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46219</v>
      </c>
      <c r="E504" s="1" t="n">
        <v>46226</v>
      </c>
      <c r="F504" t="inlineStr">
        <is>
          <t>GÄVLEBORGS LÄN</t>
        </is>
      </c>
      <c r="G504" t="inlineStr">
        <is>
          <t>SÖDERHAMN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46219</v>
      </c>
      <c r="E505" s="1" t="n">
        <v>46226</v>
      </c>
      <c r="F505" t="inlineStr">
        <is>
          <t>GÄVLEBORGS LÄN</t>
        </is>
      </c>
      <c r="G505" t="inlineStr">
        <is>
          <t>SÖDERHAMN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46226</v>
      </c>
      <c r="F506" t="inlineStr">
        <is>
          <t>GÄVLEBORGS LÄN</t>
        </is>
      </c>
      <c r="G506" t="inlineStr">
        <is>
          <t>SÖDERHAMN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46223</v>
      </c>
      <c r="E507" s="1" t="n">
        <v>46226</v>
      </c>
      <c r="F507" t="inlineStr">
        <is>
          <t>GÄVLEBORGS LÄN</t>
        </is>
      </c>
      <c r="G507" t="inlineStr">
        <is>
          <t>SÖDERHAMN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20286-2023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45056</v>
      </c>
      <c r="E508" s="1" t="n">
        <v>46226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55240-2024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45621</v>
      </c>
      <c r="E509" s="1" t="n">
        <v>46226</v>
      </c>
      <c r="F509" t="inlineStr">
        <is>
          <t>GÄVLEBORGS LÄN</t>
        </is>
      </c>
      <c r="G509" t="inlineStr">
        <is>
          <t>SÖDERHAMN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27862-2023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46226</v>
      </c>
      <c r="F510" t="inlineStr">
        <is>
          <t>GÄVLEBORGS LÄN</t>
        </is>
      </c>
      <c r="G510" t="inlineStr">
        <is>
          <t>SÖDERHAMN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46226</v>
      </c>
      <c r="F511" t="inlineStr">
        <is>
          <t>GÄVLEBORGS LÄN</t>
        </is>
      </c>
      <c r="G511" t="inlineStr">
        <is>
          <t>SÖDERHAMN</t>
        </is>
      </c>
      <c r="I511" t="n">
        <v>20.9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46226</v>
      </c>
      <c r="F512" t="inlineStr">
        <is>
          <t>GÄVLEBORGS LÄN</t>
        </is>
      </c>
      <c r="G512" t="inlineStr">
        <is>
          <t>SÖDERHAMN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46226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43191-2024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45567</v>
      </c>
      <c r="E514" s="1" t="n">
        <v>46226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46226</v>
      </c>
      <c r="F515" t="inlineStr">
        <is>
          <t>GÄVLEBORGS LÄN</t>
        </is>
      </c>
      <c r="G515" t="inlineStr">
        <is>
          <t>SÖDERHAMN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16224-2025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45750</v>
      </c>
      <c r="E516" s="1" t="n">
        <v>46226</v>
      </c>
      <c r="F516" t="inlineStr">
        <is>
          <t>GÄVLEBORGS LÄN</t>
        </is>
      </c>
      <c r="G516" t="inlineStr">
        <is>
          <t>SÖDERHAMN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45750</v>
      </c>
      <c r="E517" s="1" t="n">
        <v>46226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Kommuner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44957</v>
      </c>
      <c r="E518" s="1" t="n">
        <v>46226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46226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26042-2026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46177</v>
      </c>
      <c r="E520" s="1" t="n">
        <v>46226</v>
      </c>
      <c r="F520" t="inlineStr">
        <is>
          <t>GÄVLEBORGS LÄN</t>
        </is>
      </c>
      <c r="G520" t="inlineStr">
        <is>
          <t>SÖDERHAMN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46226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46226</v>
      </c>
      <c r="F522" t="inlineStr">
        <is>
          <t>GÄVLEBORGS LÄN</t>
        </is>
      </c>
      <c r="G522" t="inlineStr">
        <is>
          <t>SÖDERHAMN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46226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46226</v>
      </c>
      <c r="F524" t="inlineStr">
        <is>
          <t>GÄVLEBORGS LÄN</t>
        </is>
      </c>
      <c r="G524" t="inlineStr">
        <is>
          <t>SÖDERHAMN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46226</v>
      </c>
      <c r="F525" t="inlineStr">
        <is>
          <t>GÄVLEBORGS LÄN</t>
        </is>
      </c>
      <c r="G525" t="inlineStr">
        <is>
          <t>SÖDERHAMN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72644-2021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44546</v>
      </c>
      <c r="E526" s="1" t="n">
        <v>46226</v>
      </c>
      <c r="F526" t="inlineStr">
        <is>
          <t>GÄVLEBORGS LÄN</t>
        </is>
      </c>
      <c r="G526" t="inlineStr">
        <is>
          <t>SÖDERHAMN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46226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46226</v>
      </c>
      <c r="F528" t="inlineStr">
        <is>
          <t>GÄVLEBORGS LÄN</t>
        </is>
      </c>
      <c r="G528" t="inlineStr">
        <is>
          <t>SÖDERHAMN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31176-2023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46226</v>
      </c>
      <c r="F529" t="inlineStr">
        <is>
          <t>GÄVLEBORGS LÄN</t>
        </is>
      </c>
      <c r="G529" t="inlineStr">
        <is>
          <t>SÖDERHAMN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48797-2024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45593</v>
      </c>
      <c r="E530" s="1" t="n">
        <v>46226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18466-2024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45425</v>
      </c>
      <c r="E531" s="1" t="n">
        <v>46226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47794-2024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45588</v>
      </c>
      <c r="E532" s="1" t="n">
        <v>46226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40811-2022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44824</v>
      </c>
      <c r="E533" s="1" t="n">
        <v>46226</v>
      </c>
      <c r="F533" t="inlineStr">
        <is>
          <t>GÄVLEBORGS LÄN</t>
        </is>
      </c>
      <c r="G533" t="inlineStr">
        <is>
          <t>SÖDERHAMN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42549-2024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45565</v>
      </c>
      <c r="E534" s="1" t="n">
        <v>46226</v>
      </c>
      <c r="F534" t="inlineStr">
        <is>
          <t>GÄVLEBORGS LÄN</t>
        </is>
      </c>
      <c r="G534" t="inlineStr">
        <is>
          <t>SÖDERHAMN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45566</v>
      </c>
      <c r="E535" s="1" t="n">
        <v>46226</v>
      </c>
      <c r="F535" t="inlineStr">
        <is>
          <t>GÄVLEBORGS LÄN</t>
        </is>
      </c>
      <c r="G535" t="inlineStr">
        <is>
          <t>SÖDERHAMN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7972-2025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45707</v>
      </c>
      <c r="E536" s="1" t="n">
        <v>46226</v>
      </c>
      <c r="F536" t="inlineStr">
        <is>
          <t>GÄVLEBORGS LÄN</t>
        </is>
      </c>
      <c r="G536" t="inlineStr">
        <is>
          <t>SÖDERHAMN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57814-2022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44897</v>
      </c>
      <c r="E537" s="1" t="n">
        <v>46226</v>
      </c>
      <c r="F537" t="inlineStr">
        <is>
          <t>GÄVLEBORGS LÄN</t>
        </is>
      </c>
      <c r="G537" t="inlineStr">
        <is>
          <t>SÖDERHAMN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51458-2022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44869</v>
      </c>
      <c r="E538" s="1" t="n">
        <v>46226</v>
      </c>
      <c r="F538" t="inlineStr">
        <is>
          <t>GÄVLEBORGS LÄN</t>
        </is>
      </c>
      <c r="G538" t="inlineStr">
        <is>
          <t>SÖDERHAMN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57500-2023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45246</v>
      </c>
      <c r="E539" s="1" t="n">
        <v>46226</v>
      </c>
      <c r="F539" t="inlineStr">
        <is>
          <t>GÄVLEBORGS LÄN</t>
        </is>
      </c>
      <c r="G539" t="inlineStr">
        <is>
          <t>SÖDERHAMN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46226</v>
      </c>
      <c r="F540" t="inlineStr">
        <is>
          <t>GÄVLEBORGS LÄN</t>
        </is>
      </c>
      <c r="G540" t="inlineStr">
        <is>
          <t>SÖDERHAMN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51492-2023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45222</v>
      </c>
      <c r="E541" s="1" t="n">
        <v>46226</v>
      </c>
      <c r="F541" t="inlineStr">
        <is>
          <t>GÄVLEBORGS LÄN</t>
        </is>
      </c>
      <c r="G541" t="inlineStr">
        <is>
          <t>SÖDERHAMN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45324</v>
      </c>
      <c r="E542" s="1" t="n">
        <v>46226</v>
      </c>
      <c r="F542" t="inlineStr">
        <is>
          <t>GÄVLEBORGS LÄN</t>
        </is>
      </c>
      <c r="G542" t="inlineStr">
        <is>
          <t>SÖDERHAMN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45219</v>
      </c>
      <c r="E543" s="1" t="n">
        <v>46226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60698-2023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46226</v>
      </c>
      <c r="F544" t="inlineStr">
        <is>
          <t>GÄVLEBORGS LÄN</t>
        </is>
      </c>
      <c r="G544" t="inlineStr">
        <is>
          <t>SÖDERHAMN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45470</v>
      </c>
      <c r="E545" s="1" t="n">
        <v>46226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45754</v>
      </c>
      <c r="E546" s="1" t="n">
        <v>46226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52518-2024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45609</v>
      </c>
      <c r="E547" s="1" t="n">
        <v>46226</v>
      </c>
      <c r="F547" t="inlineStr">
        <is>
          <t>GÄVLEBORGS LÄN</t>
        </is>
      </c>
      <c r="G547" t="inlineStr">
        <is>
          <t>SÖDERHAMN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44564</v>
      </c>
      <c r="E548" s="1" t="n">
        <v>46226</v>
      </c>
      <c r="F548" t="inlineStr">
        <is>
          <t>GÄVLEBORGS LÄN</t>
        </is>
      </c>
      <c r="G548" t="inlineStr">
        <is>
          <t>SÖDERHAMN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45677</v>
      </c>
      <c r="E549" s="1" t="n">
        <v>46226</v>
      </c>
      <c r="F549" t="inlineStr">
        <is>
          <t>GÄVLEBORGS LÄN</t>
        </is>
      </c>
      <c r="G549" t="inlineStr">
        <is>
          <t>SÖDERHAMN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56500-2023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45243</v>
      </c>
      <c r="E550" s="1" t="n">
        <v>46226</v>
      </c>
      <c r="F550" t="inlineStr">
        <is>
          <t>GÄVLEBORGS LÄN</t>
        </is>
      </c>
      <c r="G550" t="inlineStr">
        <is>
          <t>SÖDERHAMN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45041</v>
      </c>
      <c r="E551" s="1" t="n">
        <v>46226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46226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46007-2024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46226</v>
      </c>
      <c r="F553" t="inlineStr">
        <is>
          <t>GÄVLEBORGS LÄN</t>
        </is>
      </c>
      <c r="G553" t="inlineStr">
        <is>
          <t>SÖDERHAMN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46226</v>
      </c>
      <c r="F554" t="inlineStr">
        <is>
          <t>GÄVLEBORGS LÄN</t>
        </is>
      </c>
      <c r="G554" t="inlineStr">
        <is>
          <t>SÖDERHAMN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41650-2024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46226</v>
      </c>
      <c r="F555" t="inlineStr">
        <is>
          <t>GÄVLEBORGS LÄN</t>
        </is>
      </c>
      <c r="G555" t="inlineStr">
        <is>
          <t>SÖDERHAMN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46226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51273-2021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44460</v>
      </c>
      <c r="E557" s="1" t="n">
        <v>46226</v>
      </c>
      <c r="F557" t="inlineStr">
        <is>
          <t>GÄVLEBORGS LÄN</t>
        </is>
      </c>
      <c r="G557" t="inlineStr">
        <is>
          <t>SÖDERHAMN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11075-2023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44992</v>
      </c>
      <c r="E558" s="1" t="n">
        <v>46226</v>
      </c>
      <c r="F558" t="inlineStr">
        <is>
          <t>GÄVLEBORGS LÄN</t>
        </is>
      </c>
      <c r="G558" t="inlineStr">
        <is>
          <t>SÖDERHAMN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30336-2022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44760</v>
      </c>
      <c r="E559" s="1" t="n">
        <v>46226</v>
      </c>
      <c r="F559" t="inlineStr">
        <is>
          <t>GÄVLEBORGS LÄN</t>
        </is>
      </c>
      <c r="G559" t="inlineStr">
        <is>
          <t>SÖDERHAMN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46226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63932-2023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45278</v>
      </c>
      <c r="E561" s="1" t="n">
        <v>46226</v>
      </c>
      <c r="F561" t="inlineStr">
        <is>
          <t>GÄVLEBORGS LÄN</t>
        </is>
      </c>
      <c r="G561" t="inlineStr">
        <is>
          <t>SÖDERHAMN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45453</v>
      </c>
      <c r="E562" s="1" t="n">
        <v>46226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26554-2022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44739</v>
      </c>
      <c r="E563" s="1" t="n">
        <v>46226</v>
      </c>
      <c r="F563" t="inlineStr">
        <is>
          <t>GÄVLEBORGS LÄN</t>
        </is>
      </c>
      <c r="G563" t="inlineStr">
        <is>
          <t>SÖDERHAMN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44582</v>
      </c>
      <c r="E564" s="1" t="n">
        <v>46226</v>
      </c>
      <c r="F564" t="inlineStr">
        <is>
          <t>GÄVLEBORGS LÄN</t>
        </is>
      </c>
      <c r="G564" t="inlineStr">
        <is>
          <t>SÖDERHAMN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45747</v>
      </c>
      <c r="E565" s="1" t="n">
        <v>46226</v>
      </c>
      <c r="F565" t="inlineStr">
        <is>
          <t>GÄVLEBORGS LÄN</t>
        </is>
      </c>
      <c r="G565" t="inlineStr">
        <is>
          <t>SÖDERHAMN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46226</v>
      </c>
      <c r="F566" t="inlineStr">
        <is>
          <t>GÄVLEBORGS LÄN</t>
        </is>
      </c>
      <c r="G566" t="inlineStr">
        <is>
          <t>SÖDERHAMN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26930-2023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45093</v>
      </c>
      <c r="E567" s="1" t="n">
        <v>46226</v>
      </c>
      <c r="F567" t="inlineStr">
        <is>
          <t>GÄVLEBORGS LÄN</t>
        </is>
      </c>
      <c r="G567" t="inlineStr">
        <is>
          <t>SÖDERHAMN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10763-2025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45722</v>
      </c>
      <c r="E568" s="1" t="n">
        <v>46226</v>
      </c>
      <c r="F568" t="inlineStr">
        <is>
          <t>GÄVLEBORGS LÄN</t>
        </is>
      </c>
      <c r="G568" t="inlineStr">
        <is>
          <t>SÖDERHAMN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4563-2023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44956</v>
      </c>
      <c r="E569" s="1" t="n">
        <v>46226</v>
      </c>
      <c r="F569" t="inlineStr">
        <is>
          <t>GÄVLEBORGS LÄN</t>
        </is>
      </c>
      <c r="G569" t="inlineStr">
        <is>
          <t>SÖDERHAMN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41648-2024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46226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59773-2024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46226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11206-2023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46226</v>
      </c>
      <c r="F572" t="inlineStr">
        <is>
          <t>GÄVLEBORGS LÄN</t>
        </is>
      </c>
      <c r="G572" t="inlineStr">
        <is>
          <t>SÖDERHAMN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46226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45096</v>
      </c>
      <c r="E574" s="1" t="n">
        <v>46226</v>
      </c>
      <c r="F574" t="inlineStr">
        <is>
          <t>GÄVLEBORGS LÄN</t>
        </is>
      </c>
      <c r="G574" t="inlineStr">
        <is>
          <t>SÖDERHAMN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54007-2023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45231</v>
      </c>
      <c r="E575" s="1" t="n">
        <v>46226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Kommuner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29979-2023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45108</v>
      </c>
      <c r="E576" s="1" t="n">
        <v>46226</v>
      </c>
      <c r="F576" t="inlineStr">
        <is>
          <t>GÄVLEBORGS LÄN</t>
        </is>
      </c>
      <c r="G576" t="inlineStr">
        <is>
          <t>SÖDERHAMN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45476</v>
      </c>
      <c r="E577" s="1" t="n">
        <v>46226</v>
      </c>
      <c r="F577" t="inlineStr">
        <is>
          <t>GÄVLEBORGS LÄN</t>
        </is>
      </c>
      <c r="G577" t="inlineStr">
        <is>
          <t>SÖDERHAMN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45597</v>
      </c>
      <c r="E578" s="1" t="n">
        <v>46226</v>
      </c>
      <c r="F578" t="inlineStr">
        <is>
          <t>GÄVLEBORGS LÄN</t>
        </is>
      </c>
      <c r="G578" t="inlineStr">
        <is>
          <t>SÖDERHAMN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46226</v>
      </c>
      <c r="F579" t="inlineStr">
        <is>
          <t>GÄVLEBORGS LÄN</t>
        </is>
      </c>
      <c r="G579" t="inlineStr">
        <is>
          <t>SÖDERHAMN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44823</v>
      </c>
      <c r="E580" s="1" t="n">
        <v>46226</v>
      </c>
      <c r="F580" t="inlineStr">
        <is>
          <t>GÄVLEBORGS LÄN</t>
        </is>
      </c>
      <c r="G580" t="inlineStr">
        <is>
          <t>SÖDERHAMN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50809-2024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45602</v>
      </c>
      <c r="E581" s="1" t="n">
        <v>46226</v>
      </c>
      <c r="F581" t="inlineStr">
        <is>
          <t>GÄVLEBORGS LÄN</t>
        </is>
      </c>
      <c r="G581" t="inlineStr">
        <is>
          <t>SÖDERHAMN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45770</v>
      </c>
      <c r="E582" s="1" t="n">
        <v>46226</v>
      </c>
      <c r="F582" t="inlineStr">
        <is>
          <t>GÄVLEBORGS LÄN</t>
        </is>
      </c>
      <c r="G582" t="inlineStr">
        <is>
          <t>SÖDERHAMN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29982-2023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45108</v>
      </c>
      <c r="E583" s="1" t="n">
        <v>46226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52519-2024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45609</v>
      </c>
      <c r="E584" s="1" t="n">
        <v>46226</v>
      </c>
      <c r="F584" t="inlineStr">
        <is>
          <t>GÄVLEBORGS LÄN</t>
        </is>
      </c>
      <c r="G584" t="inlineStr">
        <is>
          <t>SÖDERHAMN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46226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46226</v>
      </c>
      <c r="F586" t="inlineStr">
        <is>
          <t>GÄVLEBORGS LÄN</t>
        </is>
      </c>
      <c r="G586" t="inlineStr">
        <is>
          <t>SÖDERHAMN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48313-2024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45590</v>
      </c>
      <c r="E587" s="1" t="n">
        <v>46226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7533-2025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46226</v>
      </c>
      <c r="F588" t="inlineStr">
        <is>
          <t>GÄVLEBORGS LÄN</t>
        </is>
      </c>
      <c r="G588" t="inlineStr">
        <is>
          <t>SÖDERHAMN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4497-2024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45327</v>
      </c>
      <c r="E589" s="1" t="n">
        <v>46226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46226</v>
      </c>
      <c r="F590" t="inlineStr">
        <is>
          <t>GÄVLEBORGS LÄN</t>
        </is>
      </c>
      <c r="G590" t="inlineStr">
        <is>
          <t>SÖDERHAMN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45534</v>
      </c>
      <c r="E591" s="1" t="n">
        <v>46226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48943-2024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45594</v>
      </c>
      <c r="E592" s="1" t="n">
        <v>46226</v>
      </c>
      <c r="F592" t="inlineStr">
        <is>
          <t>GÄVLEBORGS LÄN</t>
        </is>
      </c>
      <c r="G592" t="inlineStr">
        <is>
          <t>SÖDERHAMN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45764</v>
      </c>
      <c r="E593" s="1" t="n">
        <v>46226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46226</v>
      </c>
      <c r="F594" t="inlineStr">
        <is>
          <t>GÄVLEBORGS LÄN</t>
        </is>
      </c>
      <c r="G594" t="inlineStr">
        <is>
          <t>SÖDERHAMN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50283-2024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45600</v>
      </c>
      <c r="E595" s="1" t="n">
        <v>46226</v>
      </c>
      <c r="F595" t="inlineStr">
        <is>
          <t>GÄVLEBORGS LÄN</t>
        </is>
      </c>
      <c r="G595" t="inlineStr">
        <is>
          <t>SÖDERHAMN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15881-2025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45749</v>
      </c>
      <c r="E596" s="1" t="n">
        <v>46226</v>
      </c>
      <c r="F596" t="inlineStr">
        <is>
          <t>GÄVLEBORGS LÄN</t>
        </is>
      </c>
      <c r="G596" t="inlineStr">
        <is>
          <t>SÖDERHAMN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45779</v>
      </c>
      <c r="E597" s="1" t="n">
        <v>46226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46226</v>
      </c>
      <c r="F598" t="inlineStr">
        <is>
          <t>GÄVLEBORGS LÄN</t>
        </is>
      </c>
      <c r="G598" t="inlineStr">
        <is>
          <t>SÖDERHAMN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47676-2024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45588</v>
      </c>
      <c r="E599" s="1" t="n">
        <v>46226</v>
      </c>
      <c r="F599" t="inlineStr">
        <is>
          <t>GÄVLEBORGS LÄN</t>
        </is>
      </c>
      <c r="G599" t="inlineStr">
        <is>
          <t>SÖDERHAMN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45149</v>
      </c>
      <c r="E600" s="1" t="n">
        <v>46226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18189-2024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45420</v>
      </c>
      <c r="E601" s="1" t="n">
        <v>46226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46226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23307-2025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46226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46226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45797</v>
      </c>
      <c r="E605" s="1" t="n">
        <v>46226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44698</v>
      </c>
      <c r="E606" s="1" t="n">
        <v>46226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45797</v>
      </c>
      <c r="E607" s="1" t="n">
        <v>46226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45527</v>
      </c>
      <c r="E608" s="1" t="n">
        <v>46226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45442</v>
      </c>
      <c r="E609" s="1" t="n">
        <v>46226</v>
      </c>
      <c r="F609" t="inlineStr">
        <is>
          <t>GÄVLEBORGS LÄN</t>
        </is>
      </c>
      <c r="G609" t="inlineStr">
        <is>
          <t>SÖDERHAMN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45797</v>
      </c>
      <c r="E610" s="1" t="n">
        <v>46226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45467</v>
      </c>
      <c r="E611" s="1" t="n">
        <v>46226</v>
      </c>
      <c r="F611" t="inlineStr">
        <is>
          <t>GÄVLEBORGS LÄN</t>
        </is>
      </c>
      <c r="G611" t="inlineStr">
        <is>
          <t>SÖDERHAMN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31676-2022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44776</v>
      </c>
      <c r="E612" s="1" t="n">
        <v>46226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24610-2025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45798</v>
      </c>
      <c r="E613" s="1" t="n">
        <v>46226</v>
      </c>
      <c r="F613" t="inlineStr">
        <is>
          <t>GÄVLEBORGS LÄN</t>
        </is>
      </c>
      <c r="G613" t="inlineStr">
        <is>
          <t>SÖDERHAMN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25036-2025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46226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45643</v>
      </c>
      <c r="E615" s="1" t="n">
        <v>46226</v>
      </c>
      <c r="F615" t="inlineStr">
        <is>
          <t>GÄVLEBORGS LÄN</t>
        </is>
      </c>
      <c r="G615" t="inlineStr">
        <is>
          <t>SÖDERHAMN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46226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45805</v>
      </c>
      <c r="E617" s="1" t="n">
        <v>46226</v>
      </c>
      <c r="F617" t="inlineStr">
        <is>
          <t>GÄVLEBORGS LÄN</t>
        </is>
      </c>
      <c r="G617" t="inlineStr">
        <is>
          <t>SÖDERHAMN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45805</v>
      </c>
      <c r="E618" s="1" t="n">
        <v>46226</v>
      </c>
      <c r="F618" t="inlineStr">
        <is>
          <t>GÄVLEBORGS LÄN</t>
        </is>
      </c>
      <c r="G618" t="inlineStr">
        <is>
          <t>SÖDERHAMN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62903-2023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45272</v>
      </c>
      <c r="E619" s="1" t="n">
        <v>46226</v>
      </c>
      <c r="F619" t="inlineStr">
        <is>
          <t>GÄVLEBORGS LÄN</t>
        </is>
      </c>
      <c r="G619" t="inlineStr">
        <is>
          <t>SÖDERHAMN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25029-2025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45799</v>
      </c>
      <c r="E620" s="1" t="n">
        <v>46226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54799-2022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44883</v>
      </c>
      <c r="E621" s="1" t="n">
        <v>46226</v>
      </c>
      <c r="F621" t="inlineStr">
        <is>
          <t>GÄVLEBORGS LÄN</t>
        </is>
      </c>
      <c r="G621" t="inlineStr">
        <is>
          <t>SÖDERHAMN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45810</v>
      </c>
      <c r="E622" s="1" t="n">
        <v>46226</v>
      </c>
      <c r="F622" t="inlineStr">
        <is>
          <t>GÄVLEBORGS LÄN</t>
        </is>
      </c>
      <c r="G622" t="inlineStr">
        <is>
          <t>SÖDERHAMN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46226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46226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46226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46226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46226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2026-07-23T01:44:57Z</dcterms:created>
  <dcterms:modified xmlns:dcterms="http://purl.org/dc/terms/" xmlns:xsi="http://www.w3.org/2001/XMLSchema-instance" xsi:type="dcterms:W3CDTF">2026-07-23T01:44:57Z</dcterms:modified>
</cp:coreProperties>
</file>