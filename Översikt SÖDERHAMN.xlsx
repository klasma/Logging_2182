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46283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46283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46283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46283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46283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46283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46283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46283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46283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46283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59754-2025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45992</v>
      </c>
      <c r="E22" s="1" t="n">
        <v>46283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2.8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Jättesvampmal
Spillkråka</t>
        </is>
      </c>
      <c r="W22">
        <f>HYPERLINK("https://klasma.github.io/Logging_2182/artfynd/A 59754-2025 artfynd.xlsx", "A 59754-2025")</f>
        <v/>
      </c>
      <c r="X22">
        <f>HYPERLINK("https://klasma.github.io/Logging_2182/kartor/A 59754-2025 karta.png", "A 59754-2025")</f>
        <v/>
      </c>
      <c r="Y22">
        <f>HYPERLINK("https://klasma.github.io/Logging_2182/kartor_geotiff/A 59754-2025 georefererad karta.tif", "A 59754-2025")</f>
        <v/>
      </c>
      <c r="AA22">
        <f>HYPERLINK("https://klasma.github.io/Logging_2182/klagomål/A 59754-2025 FSC-klagomål.docx", "A 59754-2025")</f>
        <v/>
      </c>
      <c r="AB22">
        <f>HYPERLINK("https://klasma.github.io/Logging_2182/klagomålsmail/A 59754-2025 FSC-klagomål mail.docx", "A 59754-2025")</f>
        <v/>
      </c>
      <c r="AC22">
        <f>HYPERLINK("https://klasma.github.io/Logging_2182/tillsyn/A 59754-2025 tillsynsbegäran.docx", "A 59754-2025")</f>
        <v/>
      </c>
      <c r="AD22">
        <f>HYPERLINK("https://klasma.github.io/Logging_2182/tillsynsmail/A 59754-2025 tillsynsbegäran mail.docx", "A 59754-2025")</f>
        <v/>
      </c>
      <c r="AE22">
        <f>HYPERLINK("https://klasma.github.io/Logging_2182/fåglar/A 59754-2025 prioriterade fågelarter.docx", "A 59754-2025")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46283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46283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46283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46283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46283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46283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9284-2026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46070</v>
      </c>
      <c r="E29" s="1" t="n">
        <v>46283</v>
      </c>
      <c r="F29" t="inlineStr">
        <is>
          <t>GÄVLEBORGS LÄN</t>
        </is>
      </c>
      <c r="G29" t="inlineStr">
        <is>
          <t>SÖDERHAMN</t>
        </is>
      </c>
      <c r="I29" t="n">
        <v>0.2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HYPERLINK("https://klasma.github.io/Logging_2182/artfynd/A 9284-2026 artfynd.xlsx", "A 9284-2026")</f>
        <v/>
      </c>
      <c r="X29">
        <f>HYPERLINK("https://klasma.github.io/Logging_2182/kartor/A 9284-2026 karta.png", "A 9284-2026")</f>
        <v/>
      </c>
      <c r="Y29">
        <f>HYPERLINK("https://klasma.github.io/Logging_2182/kartor_geotiff/A 9284-2026 georefererad karta.tif", "A 9284-2026")</f>
        <v/>
      </c>
      <c r="Z29">
        <f>HYPERLINK("https://klasma.github.io/Logging_2182/knärot/A 9284-2026 karta knärot.png", "A 9284-2026")</f>
        <v/>
      </c>
      <c r="AA29">
        <f>HYPERLINK("https://klasma.github.io/Logging_2182/klagomål/A 9284-2026 FSC-klagomål.docx", "A 9284-2026")</f>
        <v/>
      </c>
      <c r="AB29">
        <f>HYPERLINK("https://klasma.github.io/Logging_2182/klagomålsmail/A 9284-2026 FSC-klagomål mail.docx", "A 9284-2026")</f>
        <v/>
      </c>
      <c r="AC29">
        <f>HYPERLINK("https://klasma.github.io/Logging_2182/tillsyn/A 9284-2026 tillsynsbegäran.docx", "A 9284-2026")</f>
        <v/>
      </c>
      <c r="AD29">
        <f>HYPERLINK("https://klasma.github.io/Logging_2182/tillsynsmail/A 9284-2026 tillsynsbegäran mail.docx", "A 9284-2026")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46283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46283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17412-2023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46283</v>
      </c>
      <c r="F32" t="inlineStr">
        <is>
          <t>GÄVLEBORGS LÄN</t>
        </is>
      </c>
      <c r="G32" t="inlineStr">
        <is>
          <t>SÖDERHAMN</t>
        </is>
      </c>
      <c r="I32" t="n">
        <v>4.8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HYPERLINK("https://klasma.github.io/Logging_2182/artfynd/A 17412-2023 artfynd.xlsx", "A 17412-2023")</f>
        <v/>
      </c>
      <c r="X32">
        <f>HYPERLINK("https://klasma.github.io/Logging_2182/kartor/A 17412-2023 karta.png", "A 17412-2023")</f>
        <v/>
      </c>
      <c r="Y32">
        <f>HYPERLINK("https://klasma.github.io/Logging_2182/kartor_geotiff/A 17412-2023 georefererad karta.tif", "A 17412-2023")</f>
        <v/>
      </c>
      <c r="AA32">
        <f>HYPERLINK("https://klasma.github.io/Logging_2182/klagomål/A 17412-2023 FSC-klagomål.docx", "A 17412-2023")</f>
        <v/>
      </c>
      <c r="AB32">
        <f>HYPERLINK("https://klasma.github.io/Logging_2182/klagomålsmail/A 17412-2023 FSC-klagomål mail.docx", "A 17412-2023")</f>
        <v/>
      </c>
      <c r="AC32">
        <f>HYPERLINK("https://klasma.github.io/Logging_2182/tillsyn/A 17412-2023 tillsynsbegäran.docx", "A 17412-2023")</f>
        <v/>
      </c>
      <c r="AD32">
        <f>HYPERLINK("https://klasma.github.io/Logging_2182/tillsynsmail/A 17412-2023 tillsynsbegäran mail.docx", "A 17412-2023")</f>
        <v/>
      </c>
    </row>
    <row r="33" ht="15" customHeight="1">
      <c r="A33" t="inlineStr">
        <is>
          <t>A 55768-2025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45972</v>
      </c>
      <c r="E33" s="1" t="n">
        <v>46283</v>
      </c>
      <c r="F33" t="inlineStr">
        <is>
          <t>GÄVLEBORGS LÄN</t>
        </is>
      </c>
      <c r="G33" t="inlineStr">
        <is>
          <t>SÖDERHAMN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Sydlig ladlav</t>
        </is>
      </c>
      <c r="W33">
        <f>HYPERLINK("https://klasma.github.io/Logging_2182/artfynd/A 55768-2025 artfynd.xlsx", "A 55768-2025")</f>
        <v/>
      </c>
      <c r="X33">
        <f>HYPERLINK("https://klasma.github.io/Logging_2182/kartor/A 55768-2025 karta.png", "A 55768-2025")</f>
        <v/>
      </c>
      <c r="Y33">
        <f>HYPERLINK("https://klasma.github.io/Logging_2182/kartor_geotiff/A 55768-2025 georefererad karta.tif", "A 55768-2025")</f>
        <v/>
      </c>
      <c r="AA33">
        <f>HYPERLINK("https://klasma.github.io/Logging_2182/klagomål/A 55768-2025 FSC-klagomål.docx", "A 55768-2025")</f>
        <v/>
      </c>
      <c r="AB33">
        <f>HYPERLINK("https://klasma.github.io/Logging_2182/klagomålsmail/A 55768-2025 FSC-klagomål mail.docx", "A 55768-2025")</f>
        <v/>
      </c>
      <c r="AC33">
        <f>HYPERLINK("https://klasma.github.io/Logging_2182/tillsyn/A 55768-2025 tillsynsbegäran.docx", "A 55768-2025")</f>
        <v/>
      </c>
      <c r="AD33">
        <f>HYPERLINK("https://klasma.github.io/Logging_2182/tillsynsmail/A 55768-2025 tillsynsbegäran mail.docx", "A 55768-2025")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46283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46283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46283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40097-2024 artfynd.xlsx", "A 40097-2024")</f>
        <v/>
      </c>
      <c r="X36">
        <f>HYPERLINK("https://klasma.github.io/Logging_2182/kartor/A 40097-2024 karta.png", "A 40097-2024")</f>
        <v/>
      </c>
      <c r="Y36">
        <f>HYPERLINK("https://klasma.github.io/Logging_2182/kartor_geotiff/A 40097-2024 georefererad karta.tif", "A 40097-2024")</f>
        <v/>
      </c>
      <c r="AA36">
        <f>HYPERLINK("https://klasma.github.io/Logging_2182/klagomål/A 40097-2024 FSC-klagomål.docx", "A 40097-2024")</f>
        <v/>
      </c>
      <c r="AB36">
        <f>HYPERLINK("https://klasma.github.io/Logging_2182/klagomålsmail/A 40097-2024 FSC-klagomål mail.docx", "A 40097-2024")</f>
        <v/>
      </c>
      <c r="AC36">
        <f>HYPERLINK("https://klasma.github.io/Logging_2182/tillsyn/A 40097-2024 tillsynsbegäran.docx", "A 40097-2024")</f>
        <v/>
      </c>
      <c r="AD36">
        <f>HYPERLINK("https://klasma.github.io/Logging_2182/tillsynsmail/A 40097-2024 tillsynsbegäran mail.docx", "A 40097-2024")</f>
        <v/>
      </c>
    </row>
    <row r="37" ht="15" customHeight="1">
      <c r="A37" t="inlineStr">
        <is>
          <t>A 58077-2024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46283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Motaggsvamp</t>
        </is>
      </c>
      <c r="W37">
        <f>HYPERLINK("https://klasma.github.io/Logging_2182/artfynd/A 58077-2024 artfynd.xlsx", "A 58077-2024")</f>
        <v/>
      </c>
      <c r="X37">
        <f>HYPERLINK("https://klasma.github.io/Logging_2182/kartor/A 58077-2024 karta.png", "A 58077-2024")</f>
        <v/>
      </c>
      <c r="Y37">
        <f>HYPERLINK("https://klasma.github.io/Logging_2182/kartor_geotiff/A 58077-2024 georefererad karta.tif", "A 58077-2024")</f>
        <v/>
      </c>
      <c r="AA37">
        <f>HYPERLINK("https://klasma.github.io/Logging_2182/klagomål/A 58077-2024 FSC-klagomål.docx", "A 58077-2024")</f>
        <v/>
      </c>
      <c r="AB37">
        <f>HYPERLINK("https://klasma.github.io/Logging_2182/klagomålsmail/A 58077-2024 FSC-klagomål mail.docx", "A 58077-2024")</f>
        <v/>
      </c>
      <c r="AC37">
        <f>HYPERLINK("https://klasma.github.io/Logging_2182/tillsyn/A 58077-2024 tillsynsbegäran.docx", "A 58077-2024")</f>
        <v/>
      </c>
      <c r="AD37">
        <f>HYPERLINK("https://klasma.github.io/Logging_2182/tillsynsmail/A 58077-2024 tillsynsbegäran mail.docx", "A 58077-2024")</f>
        <v/>
      </c>
    </row>
    <row r="38" ht="15" customHeight="1">
      <c r="A38" t="inlineStr">
        <is>
          <t>A 58261-2024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46283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58261-2024 artfynd.xlsx", "A 58261-2024")</f>
        <v/>
      </c>
      <c r="X38">
        <f>HYPERLINK("https://klasma.github.io/Logging_2182/kartor/A 58261-2024 karta.png", "A 58261-2024")</f>
        <v/>
      </c>
      <c r="Y38">
        <f>HYPERLINK("https://klasma.github.io/Logging_2182/kartor_geotiff/A 58261-2024 georefererad karta.tif", "A 58261-2024")</f>
        <v/>
      </c>
      <c r="AA38">
        <f>HYPERLINK("https://klasma.github.io/Logging_2182/klagomål/A 58261-2024 FSC-klagomål.docx", "A 58261-2024")</f>
        <v/>
      </c>
      <c r="AB38">
        <f>HYPERLINK("https://klasma.github.io/Logging_2182/klagomålsmail/A 58261-2024 FSC-klagomål mail.docx", "A 58261-2024")</f>
        <v/>
      </c>
      <c r="AC38">
        <f>HYPERLINK("https://klasma.github.io/Logging_2182/tillsyn/A 58261-2024 tillsynsbegäran.docx", "A 58261-2024")</f>
        <v/>
      </c>
      <c r="AD38">
        <f>HYPERLINK("https://klasma.github.io/Logging_2182/tillsynsmail/A 58261-2024 tillsynsbegäran mail.docx", "A 58261-2024")</f>
        <v/>
      </c>
    </row>
    <row r="39" ht="15" customHeight="1">
      <c r="A39" t="inlineStr">
        <is>
          <t>A 41258-2022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46283</v>
      </c>
      <c r="F39" t="inlineStr">
        <is>
          <t>GÄVLEBORGS LÄN</t>
        </is>
      </c>
      <c r="G39" t="inlineStr">
        <is>
          <t>SÖDERHAMN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Rosenticka</t>
        </is>
      </c>
      <c r="W39">
        <f>HYPERLINK("https://klasma.github.io/Logging_2182/artfynd/A 41258-2022 artfynd.xlsx", "A 41258-2022")</f>
        <v/>
      </c>
      <c r="X39">
        <f>HYPERLINK("https://klasma.github.io/Logging_2182/kartor/A 41258-2022 karta.png", "A 41258-2022")</f>
        <v/>
      </c>
      <c r="Y39">
        <f>HYPERLINK("https://klasma.github.io/Logging_2182/kartor_geotiff/A 41258-2022 georefererad karta.tif", "A 41258-2022")</f>
        <v/>
      </c>
      <c r="AA39">
        <f>HYPERLINK("https://klasma.github.io/Logging_2182/klagomål/A 41258-2022 FSC-klagomål.docx", "A 41258-2022")</f>
        <v/>
      </c>
      <c r="AB39">
        <f>HYPERLINK("https://klasma.github.io/Logging_2182/klagomålsmail/A 41258-2022 FSC-klagomål mail.docx", "A 41258-2022")</f>
        <v/>
      </c>
      <c r="AC39">
        <f>HYPERLINK("https://klasma.github.io/Logging_2182/tillsyn/A 41258-2022 tillsynsbegäran.docx", "A 41258-2022")</f>
        <v/>
      </c>
      <c r="AD39">
        <f>HYPERLINK("https://klasma.github.io/Logging_2182/tillsynsmail/A 41258-2022 tillsynsbegäran mail.docx", "A 41258-2022")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46283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46283</v>
      </c>
      <c r="F41" t="inlineStr">
        <is>
          <t>GÄVLEBORGS LÄN</t>
        </is>
      </c>
      <c r="G41" t="inlineStr">
        <is>
          <t>SÖDERHAMN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HYPERLINK("https://klasma.github.io/Logging_2182/artfynd/A 60301-2025 artfynd.xlsx", "A 60301-2025")</f>
        <v/>
      </c>
      <c r="X41">
        <f>HYPERLINK("https://klasma.github.io/Logging_2182/kartor/A 60301-2025 karta.png", "A 60301-2025")</f>
        <v/>
      </c>
      <c r="Y41">
        <f>HYPERLINK("https://klasma.github.io/Logging_2182/kartor_geotiff/A 60301-2025 georefererad karta.tif", "A 60301-2025")</f>
        <v/>
      </c>
      <c r="AA41">
        <f>HYPERLINK("https://klasma.github.io/Logging_2182/klagomål/A 60301-2025 FSC-klagomål.docx", "A 60301-2025")</f>
        <v/>
      </c>
      <c r="AB41">
        <f>HYPERLINK("https://klasma.github.io/Logging_2182/klagomålsmail/A 60301-2025 FSC-klagomål mail.docx", "A 60301-2025")</f>
        <v/>
      </c>
      <c r="AC41">
        <f>HYPERLINK("https://klasma.github.io/Logging_2182/tillsyn/A 60301-2025 tillsynsbegäran.docx", "A 60301-2025")</f>
        <v/>
      </c>
      <c r="AD41">
        <f>HYPERLINK("https://klasma.github.io/Logging_2182/tillsynsmail/A 60301-2025 tillsynsbegäran mail.docx", "A 60301-2025")</f>
        <v/>
      </c>
    </row>
    <row r="42" ht="15" customHeight="1">
      <c r="A42" t="inlineStr">
        <is>
          <t>A 60318-2025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46283</v>
      </c>
      <c r="F42" t="inlineStr">
        <is>
          <t>GÄVLEBORGS LÄN</t>
        </is>
      </c>
      <c r="G42" t="inlineStr">
        <is>
          <t>SÖDERHAMN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60318-2025 artfynd.xlsx", "A 60318-2025")</f>
        <v/>
      </c>
      <c r="X42">
        <f>HYPERLINK("https://klasma.github.io/Logging_2182/kartor/A 60318-2025 karta.png", "A 60318-2025")</f>
        <v/>
      </c>
      <c r="Y42">
        <f>HYPERLINK("https://klasma.github.io/Logging_2182/kartor_geotiff/A 60318-2025 georefererad karta.tif", "A 60318-2025")</f>
        <v/>
      </c>
      <c r="AA42">
        <f>HYPERLINK("https://klasma.github.io/Logging_2182/klagomål/A 60318-2025 FSC-klagomål.docx", "A 60318-2025")</f>
        <v/>
      </c>
      <c r="AB42">
        <f>HYPERLINK("https://klasma.github.io/Logging_2182/klagomålsmail/A 60318-2025 FSC-klagomål mail.docx", "A 60318-2025")</f>
        <v/>
      </c>
      <c r="AC42">
        <f>HYPERLINK("https://klasma.github.io/Logging_2182/tillsyn/A 60318-2025 tillsynsbegäran.docx", "A 60318-2025")</f>
        <v/>
      </c>
      <c r="AD42">
        <f>HYPERLINK("https://klasma.github.io/Logging_2182/tillsynsmail/A 60318-2025 tillsynsbegäran mail.docx", "A 60318-2025")</f>
        <v/>
      </c>
    </row>
    <row r="43" ht="15" customHeight="1">
      <c r="A43" t="inlineStr">
        <is>
          <t>A 19700-2023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45051</v>
      </c>
      <c r="E43" s="1" t="n">
        <v>46283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Ängsblåvinge</t>
        </is>
      </c>
      <c r="W43">
        <f>HYPERLINK("https://klasma.github.io/Logging_2182/artfynd/A 19700-2023 artfynd.xlsx", "A 19700-2023")</f>
        <v/>
      </c>
      <c r="X43">
        <f>HYPERLINK("https://klasma.github.io/Logging_2182/kartor/A 19700-2023 karta.png", "A 19700-2023")</f>
        <v/>
      </c>
      <c r="Y43">
        <f>HYPERLINK("https://klasma.github.io/Logging_2182/kartor_geotiff/A 19700-2023 georefererad karta.tif", "A 19700-2023")</f>
        <v/>
      </c>
      <c r="AA43">
        <f>HYPERLINK("https://klasma.github.io/Logging_2182/klagomål/A 19700-2023 FSC-klagomål.docx", "A 19700-2023")</f>
        <v/>
      </c>
      <c r="AB43">
        <f>HYPERLINK("https://klasma.github.io/Logging_2182/klagomålsmail/A 19700-2023 FSC-klagomål mail.docx", "A 19700-2023")</f>
        <v/>
      </c>
      <c r="AC43">
        <f>HYPERLINK("https://klasma.github.io/Logging_2182/tillsyn/A 19700-2023 tillsynsbegäran.docx", "A 19700-2023")</f>
        <v/>
      </c>
      <c r="AD43">
        <f>HYPERLINK("https://klasma.github.io/Logging_2182/tillsynsmail/A 19700-2023 tillsynsbegäran mail.docx", "A 19700-2023")</f>
        <v/>
      </c>
    </row>
    <row r="44" ht="15" customHeight="1">
      <c r="A44" t="inlineStr">
        <is>
          <t>A 11791-2026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46283</v>
      </c>
      <c r="F44" t="inlineStr">
        <is>
          <t>GÄVLEBORGS LÄN</t>
        </is>
      </c>
      <c r="G44" t="inlineStr">
        <is>
          <t>SÖDERHAMN</t>
        </is>
      </c>
      <c r="I44" t="n">
        <v>8.1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HYPERLINK("https://klasma.github.io/Logging_2182/artfynd/A 11791-2026 artfynd.xlsx", "A 11791-2026")</f>
        <v/>
      </c>
      <c r="X44">
        <f>HYPERLINK("https://klasma.github.io/Logging_2182/kartor/A 11791-2026 karta.png", "A 11791-2026")</f>
        <v/>
      </c>
      <c r="Y44">
        <f>HYPERLINK("https://klasma.github.io/Logging_2182/kartor_geotiff/A 11791-2026 georefererad karta.tif", "A 11791-2026")</f>
        <v/>
      </c>
      <c r="AA44">
        <f>HYPERLINK("https://klasma.github.io/Logging_2182/klagomål/A 11791-2026 FSC-klagomål.docx", "A 11791-2026")</f>
        <v/>
      </c>
      <c r="AB44">
        <f>HYPERLINK("https://klasma.github.io/Logging_2182/klagomålsmail/A 11791-2026 FSC-klagomål mail.docx", "A 11791-2026")</f>
        <v/>
      </c>
      <c r="AC44">
        <f>HYPERLINK("https://klasma.github.io/Logging_2182/tillsyn/A 11791-2026 tillsynsbegäran.docx", "A 11791-2026")</f>
        <v/>
      </c>
      <c r="AD44">
        <f>HYPERLINK("https://klasma.github.io/Logging_2182/tillsynsmail/A 11791-2026 tillsynsbegäran mail.docx", "A 11791-2026")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46283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46283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6060-2026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46283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Barkticka</t>
        </is>
      </c>
      <c r="W47">
        <f>HYPERLINK("https://klasma.github.io/Logging_2182/artfynd/A 6060-2026 artfynd.xlsx", "A 6060-2026")</f>
        <v/>
      </c>
      <c r="X47">
        <f>HYPERLINK("https://klasma.github.io/Logging_2182/kartor/A 6060-2026 karta.png", "A 6060-2026")</f>
        <v/>
      </c>
      <c r="Y47">
        <f>HYPERLINK("https://klasma.github.io/Logging_2182/kartor_geotiff/A 6060-2026 georefererad karta.tif", "A 6060-2026")</f>
        <v/>
      </c>
      <c r="AA47">
        <f>HYPERLINK("https://klasma.github.io/Logging_2182/klagomål/A 6060-2026 FSC-klagomål.docx", "A 6060-2026")</f>
        <v/>
      </c>
      <c r="AB47">
        <f>HYPERLINK("https://klasma.github.io/Logging_2182/klagomålsmail/A 6060-2026 FSC-klagomål mail.docx", "A 6060-2026")</f>
        <v/>
      </c>
      <c r="AC47">
        <f>HYPERLINK("https://klasma.github.io/Logging_2182/tillsyn/A 6060-2026 tillsynsbegäran.docx", "A 6060-2026")</f>
        <v/>
      </c>
      <c r="AD47">
        <f>HYPERLINK("https://klasma.github.io/Logging_2182/tillsynsmail/A 6060-2026 tillsynsbegäran mail.docx", "A 6060-2026")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46283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46283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46283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46283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46283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46283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46283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46283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46283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46283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46283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46283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46283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46283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46283</v>
      </c>
      <c r="F63" t="inlineStr">
        <is>
          <t>GÄVLEBORGS LÄN</t>
        </is>
      </c>
      <c r="G63" t="inlineStr">
        <is>
          <t>SÖDERHAMN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46283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46283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46283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46283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46283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46283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46283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46283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46283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46283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46283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46283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46283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46283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46283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46283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46283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46283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46283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46283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46283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46283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46283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46283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46283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46283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46283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46283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45443</v>
      </c>
      <c r="E105" s="1" t="n">
        <v>46283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46283</v>
      </c>
      <c r="F106" t="inlineStr">
        <is>
          <t>GÄVLEBORGS LÄN</t>
        </is>
      </c>
      <c r="G106" t="inlineStr">
        <is>
          <t>SÖDERHAMN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46283</v>
      </c>
      <c r="F107" t="inlineStr">
        <is>
          <t>GÄVLEBORGS LÄN</t>
        </is>
      </c>
      <c r="G107" t="inlineStr">
        <is>
          <t>SÖDERHAMN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46283</v>
      </c>
      <c r="F108" t="inlineStr">
        <is>
          <t>GÄVLEBORGS LÄN</t>
        </is>
      </c>
      <c r="G108" t="inlineStr">
        <is>
          <t>SÖDERHAMN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45471</v>
      </c>
      <c r="E109" s="1" t="n">
        <v>46283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46283</v>
      </c>
      <c r="F110" t="inlineStr">
        <is>
          <t>GÄVLEBORGS LÄN</t>
        </is>
      </c>
      <c r="G110" t="inlineStr">
        <is>
          <t>SÖDERHAMN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46283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46283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46283</v>
      </c>
      <c r="F113" t="inlineStr">
        <is>
          <t>GÄVLEBORGS LÄN</t>
        </is>
      </c>
      <c r="G113" t="inlineStr">
        <is>
          <t>SÖDERHAMN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46283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42902-2024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46283</v>
      </c>
      <c r="F115" t="inlineStr">
        <is>
          <t>GÄVLEBORGS LÄN</t>
        </is>
      </c>
      <c r="G115" t="inlineStr">
        <is>
          <t>SÖDERHAMN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45476</v>
      </c>
      <c r="E116" s="1" t="n">
        <v>46283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45604</v>
      </c>
      <c r="E117" s="1" t="n">
        <v>46283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46283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46283</v>
      </c>
      <c r="F119" t="inlineStr">
        <is>
          <t>GÄVLEBORGS LÄN</t>
        </is>
      </c>
      <c r="G119" t="inlineStr">
        <is>
          <t>SÖDERHAMN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46283</v>
      </c>
      <c r="F120" t="inlineStr">
        <is>
          <t>GÄVLEBORGS LÄN</t>
        </is>
      </c>
      <c r="G120" t="inlineStr">
        <is>
          <t>SÖDERHAMN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46063</v>
      </c>
      <c r="E121" s="1" t="n">
        <v>46283</v>
      </c>
      <c r="F121" t="inlineStr">
        <is>
          <t>GÄVLEBORGS LÄN</t>
        </is>
      </c>
      <c r="G121" t="inlineStr">
        <is>
          <t>SÖDERHAMN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46283</v>
      </c>
      <c r="F122" t="inlineStr">
        <is>
          <t>GÄVLEBORGS LÄN</t>
        </is>
      </c>
      <c r="G122" t="inlineStr">
        <is>
          <t>SÖDERHAMN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46283</v>
      </c>
      <c r="F123" t="inlineStr">
        <is>
          <t>GÄVLEBORGS LÄN</t>
        </is>
      </c>
      <c r="G123" t="inlineStr">
        <is>
          <t>SÖDERHAMN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46283</v>
      </c>
      <c r="F124" t="inlineStr">
        <is>
          <t>GÄVLEBORGS LÄN</t>
        </is>
      </c>
      <c r="G124" t="inlineStr">
        <is>
          <t>SÖDERHAMN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46066</v>
      </c>
      <c r="E125" s="1" t="n">
        <v>46283</v>
      </c>
      <c r="F125" t="inlineStr">
        <is>
          <t>GÄVLEBORGS LÄN</t>
        </is>
      </c>
      <c r="G125" t="inlineStr">
        <is>
          <t>SÖDERHAMN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46066</v>
      </c>
      <c r="E126" s="1" t="n">
        <v>46283</v>
      </c>
      <c r="F126" t="inlineStr">
        <is>
          <t>GÄVLEBORGS LÄN</t>
        </is>
      </c>
      <c r="G126" t="inlineStr">
        <is>
          <t>SÖDERHAMN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46283</v>
      </c>
      <c r="F127" t="inlineStr">
        <is>
          <t>GÄVLEBORGS LÄN</t>
        </is>
      </c>
      <c r="G127" t="inlineStr">
        <is>
          <t>SÖDERHAMN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46283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44582</v>
      </c>
      <c r="E129" s="1" t="n">
        <v>46283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46283</v>
      </c>
      <c r="F130" t="inlineStr">
        <is>
          <t>GÄVLEBORGS LÄN</t>
        </is>
      </c>
      <c r="G130" t="inlineStr">
        <is>
          <t>SÖDERHAMN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46283</v>
      </c>
      <c r="F131" t="inlineStr">
        <is>
          <t>GÄVLEBORGS LÄN</t>
        </is>
      </c>
      <c r="G131" t="inlineStr">
        <is>
          <t>SÖDERHAMN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46283</v>
      </c>
      <c r="F132" t="inlineStr">
        <is>
          <t>GÄVLEBORGS LÄN</t>
        </is>
      </c>
      <c r="G132" t="inlineStr">
        <is>
          <t>SÖDERHAMN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46283</v>
      </c>
      <c r="F133" t="inlineStr">
        <is>
          <t>GÄVLEBORGS LÄN</t>
        </is>
      </c>
      <c r="G133" t="inlineStr">
        <is>
          <t>SÖDERHAMN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44937</v>
      </c>
      <c r="E134" s="1" t="n">
        <v>46283</v>
      </c>
      <c r="F134" t="inlineStr">
        <is>
          <t>GÄVLEBORGS LÄN</t>
        </is>
      </c>
      <c r="G134" t="inlineStr">
        <is>
          <t>SÖDERHAMN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46283</v>
      </c>
      <c r="F135" t="inlineStr">
        <is>
          <t>GÄVLEBORGS LÄN</t>
        </is>
      </c>
      <c r="G135" t="inlineStr">
        <is>
          <t>SÖDERHAMN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46283</v>
      </c>
      <c r="F136" t="inlineStr">
        <is>
          <t>GÄVLEBORGS LÄN</t>
        </is>
      </c>
      <c r="G136" t="inlineStr">
        <is>
          <t>SÖDERHAMN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46283</v>
      </c>
      <c r="F137" t="inlineStr">
        <is>
          <t>GÄVLEBORGS LÄN</t>
        </is>
      </c>
      <c r="G137" t="inlineStr">
        <is>
          <t>SÖDERHAMN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46283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46283</v>
      </c>
      <c r="F139" t="inlineStr">
        <is>
          <t>GÄVLEBORGS LÄN</t>
        </is>
      </c>
      <c r="G139" t="inlineStr">
        <is>
          <t>SÖDERHAMN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46283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10135-2026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46076</v>
      </c>
      <c r="E141" s="1" t="n">
        <v>46283</v>
      </c>
      <c r="F141" t="inlineStr">
        <is>
          <t>GÄVLEBORGS LÄN</t>
        </is>
      </c>
      <c r="G141" t="inlineStr">
        <is>
          <t>SÖDERHAMN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46283</v>
      </c>
      <c r="F142" t="inlineStr">
        <is>
          <t>GÄVLEBORGS LÄN</t>
        </is>
      </c>
      <c r="G142" t="inlineStr">
        <is>
          <t>SÖDERHAMN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46283</v>
      </c>
      <c r="F143" t="inlineStr">
        <is>
          <t>GÄVLEBORGS LÄN</t>
        </is>
      </c>
      <c r="G143" t="inlineStr">
        <is>
          <t>SÖDERHAMN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46073</v>
      </c>
      <c r="E144" s="1" t="n">
        <v>46283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46283</v>
      </c>
      <c r="F145" t="inlineStr">
        <is>
          <t>GÄVLEBORGS LÄN</t>
        </is>
      </c>
      <c r="G145" t="inlineStr">
        <is>
          <t>SÖDERHAMN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46283</v>
      </c>
      <c r="F146" t="inlineStr">
        <is>
          <t>GÄVLEBORGS LÄN</t>
        </is>
      </c>
      <c r="G146" t="inlineStr">
        <is>
          <t>SÖDERHAMN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46283</v>
      </c>
      <c r="F147" t="inlineStr">
        <is>
          <t>GÄVLEBORGS LÄN</t>
        </is>
      </c>
      <c r="G147" t="inlineStr">
        <is>
          <t>SÖDERHAMN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46283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Kyrkan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46283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46283</v>
      </c>
      <c r="F150" t="inlineStr">
        <is>
          <t>GÄVLEBORGS LÄN</t>
        </is>
      </c>
      <c r="G150" t="inlineStr">
        <is>
          <t>SÖDERHAMN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46283</v>
      </c>
      <c r="F151" t="inlineStr">
        <is>
          <t>GÄVLEBORGS LÄN</t>
        </is>
      </c>
      <c r="G151" t="inlineStr">
        <is>
          <t>SÖDERHAMN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46283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46087</v>
      </c>
      <c r="E153" s="1" t="n">
        <v>46283</v>
      </c>
      <c r="F153" t="inlineStr">
        <is>
          <t>GÄVLEBORGS LÄN</t>
        </is>
      </c>
      <c r="G153" t="inlineStr">
        <is>
          <t>SÖDERHAMN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45398</v>
      </c>
      <c r="E154" s="1" t="n">
        <v>46283</v>
      </c>
      <c r="F154" t="inlineStr">
        <is>
          <t>GÄVLEBORGS LÄN</t>
        </is>
      </c>
      <c r="G154" t="inlineStr">
        <is>
          <t>SÖDERHAMN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34752-2024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45526</v>
      </c>
      <c r="E155" s="1" t="n">
        <v>46283</v>
      </c>
      <c r="F155" t="inlineStr">
        <is>
          <t>GÄVLEBORGS LÄN</t>
        </is>
      </c>
      <c r="G155" t="inlineStr">
        <is>
          <t>SÖDERHAMN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46283</v>
      </c>
      <c r="F156" t="inlineStr">
        <is>
          <t>GÄVLEBORGS LÄN</t>
        </is>
      </c>
      <c r="G156" t="inlineStr">
        <is>
          <t>SÖDERHAMN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46283</v>
      </c>
      <c r="F157" t="inlineStr">
        <is>
          <t>GÄVLEBORGS LÄN</t>
        </is>
      </c>
      <c r="G157" t="inlineStr">
        <is>
          <t>SÖDERHAMN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46283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46283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46283</v>
      </c>
      <c r="F160" t="inlineStr">
        <is>
          <t>GÄVLEBORGS LÄN</t>
        </is>
      </c>
      <c r="G160" t="inlineStr">
        <is>
          <t>SÖDERHAMN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46283</v>
      </c>
      <c r="F161" t="inlineStr">
        <is>
          <t>GÄVLEBORGS LÄN</t>
        </is>
      </c>
      <c r="G161" t="inlineStr">
        <is>
          <t>SÖDERHAMN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46283</v>
      </c>
      <c r="F162" t="inlineStr">
        <is>
          <t>GÄVLEBORGS LÄN</t>
        </is>
      </c>
      <c r="G162" t="inlineStr">
        <is>
          <t>SÖDERHAMN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46283</v>
      </c>
      <c r="F163" t="inlineStr">
        <is>
          <t>GÄVLEBORGS LÄN</t>
        </is>
      </c>
      <c r="G163" t="inlineStr">
        <is>
          <t>SÖDERHAMN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46283</v>
      </c>
      <c r="F164" t="inlineStr">
        <is>
          <t>GÄVLEBORGS LÄN</t>
        </is>
      </c>
      <c r="G164" t="inlineStr">
        <is>
          <t>SÖDERHAMN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46283</v>
      </c>
      <c r="F165" t="inlineStr">
        <is>
          <t>GÄVLEBORGS LÄN</t>
        </is>
      </c>
      <c r="G165" t="inlineStr">
        <is>
          <t>SÖDERHAMN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46283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46283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16.2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46098</v>
      </c>
      <c r="E168" s="1" t="n">
        <v>46283</v>
      </c>
      <c r="F168" t="inlineStr">
        <is>
          <t>GÄVLEBORGS LÄN</t>
        </is>
      </c>
      <c r="G168" t="inlineStr">
        <is>
          <t>SÖDERHAMN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46099</v>
      </c>
      <c r="E169" s="1" t="n">
        <v>46283</v>
      </c>
      <c r="F169" t="inlineStr">
        <is>
          <t>GÄVLEBORGS LÄN</t>
        </is>
      </c>
      <c r="G169" t="inlineStr">
        <is>
          <t>SÖDERHAMN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46099</v>
      </c>
      <c r="E170" s="1" t="n">
        <v>46283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44956</v>
      </c>
      <c r="E171" s="1" t="n">
        <v>46283</v>
      </c>
      <c r="F171" t="inlineStr">
        <is>
          <t>GÄVLEBORGS LÄN</t>
        </is>
      </c>
      <c r="G171" t="inlineStr">
        <is>
          <t>SÖDERHAMN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46283</v>
      </c>
      <c r="F172" t="inlineStr">
        <is>
          <t>GÄVLEBORGS LÄN</t>
        </is>
      </c>
      <c r="G172" t="inlineStr">
        <is>
          <t>SÖDERHAMN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46283</v>
      </c>
      <c r="F173" t="inlineStr">
        <is>
          <t>GÄVLEBORGS LÄN</t>
        </is>
      </c>
      <c r="G173" t="inlineStr">
        <is>
          <t>SÖDERHAMN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45426</v>
      </c>
      <c r="E174" s="1" t="n">
        <v>46283</v>
      </c>
      <c r="F174" t="inlineStr">
        <is>
          <t>GÄVLEBORGS LÄN</t>
        </is>
      </c>
      <c r="G174" t="inlineStr">
        <is>
          <t>SÖDERHAMN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46283</v>
      </c>
      <c r="F175" t="inlineStr">
        <is>
          <t>GÄVLEBORGS LÄN</t>
        </is>
      </c>
      <c r="G175" t="inlineStr">
        <is>
          <t>SÖDERHAMN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45574</v>
      </c>
      <c r="E176" s="1" t="n">
        <v>46283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52518-2024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45609</v>
      </c>
      <c r="E177" s="1" t="n">
        <v>46283</v>
      </c>
      <c r="F177" t="inlineStr">
        <is>
          <t>GÄVLEBORGS LÄN</t>
        </is>
      </c>
      <c r="G177" t="inlineStr">
        <is>
          <t>SÖDERHAMN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45609</v>
      </c>
      <c r="E178" s="1" t="n">
        <v>46283</v>
      </c>
      <c r="F178" t="inlineStr">
        <is>
          <t>GÄVLEBORGS LÄN</t>
        </is>
      </c>
      <c r="G178" t="inlineStr">
        <is>
          <t>SÖDERHAMN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55240-2024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45621</v>
      </c>
      <c r="E179" s="1" t="n">
        <v>46283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45597</v>
      </c>
      <c r="E180" s="1" t="n">
        <v>46283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46283</v>
      </c>
      <c r="F181" t="inlineStr">
        <is>
          <t>GÄVLEBORGS LÄN</t>
        </is>
      </c>
      <c r="G181" t="inlineStr">
        <is>
          <t>SÖDERHAMN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46283</v>
      </c>
      <c r="F182" t="inlineStr">
        <is>
          <t>GÄVLEBORGS LÄN</t>
        </is>
      </c>
      <c r="G182" t="inlineStr">
        <is>
          <t>SÖDERHAMN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46283</v>
      </c>
      <c r="F183" t="inlineStr">
        <is>
          <t>GÄVLEBORGS LÄN</t>
        </is>
      </c>
      <c r="G183" t="inlineStr">
        <is>
          <t>SÖDERHAMN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45863</v>
      </c>
      <c r="E184" s="1" t="n">
        <v>46283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46108</v>
      </c>
      <c r="E185" s="1" t="n">
        <v>46283</v>
      </c>
      <c r="F185" t="inlineStr">
        <is>
          <t>GÄVLEBORGS LÄN</t>
        </is>
      </c>
      <c r="G185" t="inlineStr">
        <is>
          <t>SÖDERHAMN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45757</v>
      </c>
      <c r="E186" s="1" t="n">
        <v>46283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46283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44460</v>
      </c>
      <c r="E188" s="1" t="n">
        <v>46283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45867</v>
      </c>
      <c r="E189" s="1" t="n">
        <v>46283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46283</v>
      </c>
      <c r="F190" t="inlineStr">
        <is>
          <t>GÄVLEBORGS LÄN</t>
        </is>
      </c>
      <c r="G190" t="inlineStr">
        <is>
          <t>SÖDERHAMN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46283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46283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46112</v>
      </c>
      <c r="E193" s="1" t="n">
        <v>46283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46283</v>
      </c>
      <c r="F194" t="inlineStr">
        <is>
          <t>GÄVLEBORGS LÄN</t>
        </is>
      </c>
      <c r="G194" t="inlineStr">
        <is>
          <t>SÖDERHAMN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46112</v>
      </c>
      <c r="E195" s="1" t="n">
        <v>46283</v>
      </c>
      <c r="F195" t="inlineStr">
        <is>
          <t>GÄVLEBORGS LÄN</t>
        </is>
      </c>
      <c r="G195" t="inlineStr">
        <is>
          <t>SÖDERHAMN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46117</v>
      </c>
      <c r="E196" s="1" t="n">
        <v>46283</v>
      </c>
      <c r="F196" t="inlineStr">
        <is>
          <t>GÄVLEBORGS LÄN</t>
        </is>
      </c>
      <c r="G196" t="inlineStr">
        <is>
          <t>SÖDERHAMN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46117</v>
      </c>
      <c r="E197" s="1" t="n">
        <v>46283</v>
      </c>
      <c r="F197" t="inlineStr">
        <is>
          <t>GÄVLEBORGS LÄN</t>
        </is>
      </c>
      <c r="G197" t="inlineStr">
        <is>
          <t>SÖDERHAMN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46283</v>
      </c>
      <c r="F198" t="inlineStr">
        <is>
          <t>GÄVLEBORGS LÄN</t>
        </is>
      </c>
      <c r="G198" t="inlineStr">
        <is>
          <t>SÖDERHAMN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46117</v>
      </c>
      <c r="E199" s="1" t="n">
        <v>46283</v>
      </c>
      <c r="F199" t="inlineStr">
        <is>
          <t>GÄVLEBORGS LÄN</t>
        </is>
      </c>
      <c r="G199" t="inlineStr">
        <is>
          <t>SÖDERHAMN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46117</v>
      </c>
      <c r="E200" s="1" t="n">
        <v>46283</v>
      </c>
      <c r="F200" t="inlineStr">
        <is>
          <t>GÄVLEBORGS LÄN</t>
        </is>
      </c>
      <c r="G200" t="inlineStr">
        <is>
          <t>SÖDERHAMN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46283</v>
      </c>
      <c r="F201" t="inlineStr">
        <is>
          <t>GÄVLEBORGS LÄN</t>
        </is>
      </c>
      <c r="G201" t="inlineStr">
        <is>
          <t>SÖDERHAMN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46283</v>
      </c>
      <c r="F202" t="inlineStr">
        <is>
          <t>GÄVLEBORGS LÄN</t>
        </is>
      </c>
      <c r="G202" t="inlineStr">
        <is>
          <t>SÖDERHAMN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46283</v>
      </c>
      <c r="F203" t="inlineStr">
        <is>
          <t>GÄVLEBORGS LÄN</t>
        </is>
      </c>
      <c r="G203" t="inlineStr">
        <is>
          <t>SÖDERHAMN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45548</v>
      </c>
      <c r="E204" s="1" t="n">
        <v>46283</v>
      </c>
      <c r="F204" t="inlineStr">
        <is>
          <t>GÄVLEBORGS LÄN</t>
        </is>
      </c>
      <c r="G204" t="inlineStr">
        <is>
          <t>SÖDERHAMN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45879</v>
      </c>
      <c r="E205" s="1" t="n">
        <v>46283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45879</v>
      </c>
      <c r="E206" s="1" t="n">
        <v>46283</v>
      </c>
      <c r="F206" t="inlineStr">
        <is>
          <t>GÄVLEBORGS LÄN</t>
        </is>
      </c>
      <c r="G206" t="inlineStr">
        <is>
          <t>SÖDERHAMN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46283</v>
      </c>
      <c r="F207" t="inlineStr">
        <is>
          <t>GÄVLEBORGS LÄN</t>
        </is>
      </c>
      <c r="G207" t="inlineStr">
        <is>
          <t>SÖDERHAMN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46283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46283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46283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46283</v>
      </c>
      <c r="F211" t="inlineStr">
        <is>
          <t>GÄVLEBORGS LÄN</t>
        </is>
      </c>
      <c r="G211" t="inlineStr">
        <is>
          <t>SÖDERHAMN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44649</v>
      </c>
      <c r="E212" s="1" t="n">
        <v>46283</v>
      </c>
      <c r="F212" t="inlineStr">
        <is>
          <t>GÄVLEBORGS LÄN</t>
        </is>
      </c>
      <c r="G212" t="inlineStr">
        <is>
          <t>SÖDERHAMN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46132</v>
      </c>
      <c r="E213" s="1" t="n">
        <v>46283</v>
      </c>
      <c r="F213" t="inlineStr">
        <is>
          <t>GÄVLEBORGS LÄN</t>
        </is>
      </c>
      <c r="G213" t="inlineStr">
        <is>
          <t>SÖDERHAMN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46283</v>
      </c>
      <c r="F214" t="inlineStr">
        <is>
          <t>GÄVLEBORGS LÄN</t>
        </is>
      </c>
      <c r="G214" t="inlineStr">
        <is>
          <t>SÖDERHAMN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46283</v>
      </c>
      <c r="F215" t="inlineStr">
        <is>
          <t>GÄVLEBORGS LÄN</t>
        </is>
      </c>
      <c r="G215" t="inlineStr">
        <is>
          <t>SÖDERHAMN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46132</v>
      </c>
      <c r="E216" s="1" t="n">
        <v>46283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45762</v>
      </c>
      <c r="E217" s="1" t="n">
        <v>46283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46283</v>
      </c>
      <c r="F218" t="inlineStr">
        <is>
          <t>GÄVLEBORGS LÄN</t>
        </is>
      </c>
      <c r="G218" t="inlineStr">
        <is>
          <t>SÖDERHAMN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45899</v>
      </c>
      <c r="E219" s="1" t="n">
        <v>46283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46283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46283</v>
      </c>
      <c r="F221" t="inlineStr">
        <is>
          <t>GÄVLEBORGS LÄN</t>
        </is>
      </c>
      <c r="G221" t="inlineStr">
        <is>
          <t>SÖDERHAMN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46283</v>
      </c>
      <c r="F222" t="inlineStr">
        <is>
          <t>GÄVLEBORGS LÄN</t>
        </is>
      </c>
      <c r="G222" t="inlineStr">
        <is>
          <t>SÖDERHAMN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46135</v>
      </c>
      <c r="E223" s="1" t="n">
        <v>46283</v>
      </c>
      <c r="F223" t="inlineStr">
        <is>
          <t>GÄVLEBORGS LÄN</t>
        </is>
      </c>
      <c r="G223" t="inlineStr">
        <is>
          <t>SÖDERHAMN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46135</v>
      </c>
      <c r="E224" s="1" t="n">
        <v>46283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46283</v>
      </c>
      <c r="F225" t="inlineStr">
        <is>
          <t>GÄVLEBORGS LÄN</t>
        </is>
      </c>
      <c r="G225" t="inlineStr">
        <is>
          <t>SÖDERHAMN</t>
        </is>
      </c>
      <c r="H225" t="inlineStr">
        <is>
          <t>Bergvik skog väst AB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46283</v>
      </c>
      <c r="F226" t="inlineStr">
        <is>
          <t>GÄVLEBORGS LÄN</t>
        </is>
      </c>
      <c r="G226" t="inlineStr">
        <is>
          <t>SÖDERHAMN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46283</v>
      </c>
      <c r="F227" t="inlineStr">
        <is>
          <t>GÄVLEBORGS LÄN</t>
        </is>
      </c>
      <c r="G227" t="inlineStr">
        <is>
          <t>SÖDERHAMN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46283</v>
      </c>
      <c r="F228" t="inlineStr">
        <is>
          <t>GÄVLEBORGS LÄN</t>
        </is>
      </c>
      <c r="G228" t="inlineStr">
        <is>
          <t>SÖDERHAMN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46283</v>
      </c>
      <c r="F229" t="inlineStr">
        <is>
          <t>GÄVLEBORGS LÄN</t>
        </is>
      </c>
      <c r="G229" t="inlineStr">
        <is>
          <t>SÖDERHAMN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46283</v>
      </c>
      <c r="F230" t="inlineStr">
        <is>
          <t>GÄVLEBORGS LÄN</t>
        </is>
      </c>
      <c r="G230" t="inlineStr">
        <is>
          <t>SÖDERHAMN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46283</v>
      </c>
      <c r="F231" t="inlineStr">
        <is>
          <t>GÄVLEBORGS LÄN</t>
        </is>
      </c>
      <c r="G231" t="inlineStr">
        <is>
          <t>SÖDERHAMN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46283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46283</v>
      </c>
      <c r="F233" t="inlineStr">
        <is>
          <t>GÄVLEBORGS LÄN</t>
        </is>
      </c>
      <c r="G233" t="inlineStr">
        <is>
          <t>SÖDERHAMN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46283</v>
      </c>
      <c r="F234" t="inlineStr">
        <is>
          <t>GÄVLEBORGS LÄN</t>
        </is>
      </c>
      <c r="G234" t="inlineStr">
        <is>
          <t>SÖDERHAMN</t>
        </is>
      </c>
      <c r="H234" t="inlineStr">
        <is>
          <t>Kommuner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46283</v>
      </c>
      <c r="F235" t="inlineStr">
        <is>
          <t>GÄVLEBORGS LÄN</t>
        </is>
      </c>
      <c r="G235" t="inlineStr">
        <is>
          <t>SÖDERHAMN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57500-2023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45246</v>
      </c>
      <c r="E236" s="1" t="n">
        <v>46283</v>
      </c>
      <c r="F236" t="inlineStr">
        <is>
          <t>GÄVLEBORGS LÄN</t>
        </is>
      </c>
      <c r="G236" t="inlineStr">
        <is>
          <t>SÖDERHAMN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46283</v>
      </c>
      <c r="F237" t="inlineStr">
        <is>
          <t>GÄVLEBORGS LÄN</t>
        </is>
      </c>
      <c r="G237" t="inlineStr">
        <is>
          <t>SÖDERHAMN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46283</v>
      </c>
      <c r="F238" t="inlineStr">
        <is>
          <t>GÄVLEBORGS LÄN</t>
        </is>
      </c>
      <c r="G238" t="inlineStr">
        <is>
          <t>SÖDERHAMN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46283</v>
      </c>
      <c r="F239" t="inlineStr">
        <is>
          <t>GÄVLEBORGS LÄN</t>
        </is>
      </c>
      <c r="G239" t="inlineStr">
        <is>
          <t>SÖDERHAMN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46283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46283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46283</v>
      </c>
      <c r="F242" t="inlineStr">
        <is>
          <t>GÄVLEBORGS LÄN</t>
        </is>
      </c>
      <c r="G242" t="inlineStr">
        <is>
          <t>SÖDERHAMN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46283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44739</v>
      </c>
      <c r="E244" s="1" t="n">
        <v>46283</v>
      </c>
      <c r="F244" t="inlineStr">
        <is>
          <t>GÄVLEBORGS LÄN</t>
        </is>
      </c>
      <c r="G244" t="inlineStr">
        <is>
          <t>SÖDERHAMN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46283</v>
      </c>
      <c r="F245" t="inlineStr">
        <is>
          <t>GÄVLEBORGS LÄN</t>
        </is>
      </c>
      <c r="G245" t="inlineStr">
        <is>
          <t>SÖDERHAMN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44824</v>
      </c>
      <c r="E246" s="1" t="n">
        <v>46283</v>
      </c>
      <c r="F246" t="inlineStr">
        <is>
          <t>GÄVLEBORGS LÄN</t>
        </is>
      </c>
      <c r="G246" t="inlineStr">
        <is>
          <t>SÖDERHAMN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46283</v>
      </c>
      <c r="F247" t="inlineStr">
        <is>
          <t>GÄVLEBORGS LÄN</t>
        </is>
      </c>
      <c r="G247" t="inlineStr">
        <is>
          <t>SÖDERHAMN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45762</v>
      </c>
      <c r="E248" s="1" t="n">
        <v>46283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46283</v>
      </c>
      <c r="F249" t="inlineStr">
        <is>
          <t>GÄVLEBORGS LÄN</t>
        </is>
      </c>
      <c r="G249" t="inlineStr">
        <is>
          <t>SÖDERHAMN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45807-2022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46283</v>
      </c>
      <c r="F250" t="inlineStr">
        <is>
          <t>GÄVLEBORGS LÄN</t>
        </is>
      </c>
      <c r="G250" t="inlineStr">
        <is>
          <t>SÖDERHAMN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46041</v>
      </c>
      <c r="E251" s="1" t="n">
        <v>46283</v>
      </c>
      <c r="F251" t="inlineStr">
        <is>
          <t>GÄVLEBORGS LÄN</t>
        </is>
      </c>
      <c r="G251" t="inlineStr">
        <is>
          <t>SÖDERHAMN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46283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46283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46283</v>
      </c>
      <c r="F254" t="inlineStr">
        <is>
          <t>GÄVLEBORGS LÄN</t>
        </is>
      </c>
      <c r="G254" t="inlineStr">
        <is>
          <t>SÖDERHAMN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56500-2023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45243</v>
      </c>
      <c r="E255" s="1" t="n">
        <v>46283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45170</v>
      </c>
      <c r="E256" s="1" t="n">
        <v>46283</v>
      </c>
      <c r="F256" t="inlineStr">
        <is>
          <t>GÄVLEBORGS LÄN</t>
        </is>
      </c>
      <c r="G256" t="inlineStr">
        <is>
          <t>SÖDERHAMN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46283</v>
      </c>
      <c r="F257" t="inlineStr">
        <is>
          <t>GÄVLEBORGS LÄN</t>
        </is>
      </c>
      <c r="G257" t="inlineStr">
        <is>
          <t>SÖDERHAMN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46283</v>
      </c>
      <c r="F258" t="inlineStr">
        <is>
          <t>GÄVLEBORGS LÄN</t>
        </is>
      </c>
      <c r="G258" t="inlineStr">
        <is>
          <t>SÖDERHAMN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45750</v>
      </c>
      <c r="E259" s="1" t="n">
        <v>46283</v>
      </c>
      <c r="F259" t="inlineStr">
        <is>
          <t>GÄVLEBORGS LÄN</t>
        </is>
      </c>
      <c r="G259" t="inlineStr">
        <is>
          <t>SÖDERHAMN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45750</v>
      </c>
      <c r="E260" s="1" t="n">
        <v>46283</v>
      </c>
      <c r="F260" t="inlineStr">
        <is>
          <t>GÄVLEBORGS LÄN</t>
        </is>
      </c>
      <c r="G260" t="inlineStr">
        <is>
          <t>SÖDERHAMN</t>
        </is>
      </c>
      <c r="H260" t="inlineStr">
        <is>
          <t>Kommuner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10876-2026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46283</v>
      </c>
      <c r="F261" t="inlineStr">
        <is>
          <t>GÄVLEBORGS LÄN</t>
        </is>
      </c>
      <c r="G261" t="inlineStr">
        <is>
          <t>SÖDERHAMN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46283</v>
      </c>
      <c r="F262" t="inlineStr">
        <is>
          <t>GÄVLEBORGS LÄN</t>
        </is>
      </c>
      <c r="G262" t="inlineStr">
        <is>
          <t>SÖDERHAMN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40793-2024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45558</v>
      </c>
      <c r="E263" s="1" t="n">
        <v>46283</v>
      </c>
      <c r="F263" t="inlineStr">
        <is>
          <t>GÄVLEBORGS LÄN</t>
        </is>
      </c>
      <c r="G263" t="inlineStr">
        <is>
          <t>SÖDERHAMN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46283</v>
      </c>
      <c r="F264" t="inlineStr">
        <is>
          <t>GÄVLEBORGS LÄN</t>
        </is>
      </c>
      <c r="G264" t="inlineStr">
        <is>
          <t>SÖDERHAMN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45791</v>
      </c>
      <c r="E265" s="1" t="n">
        <v>46283</v>
      </c>
      <c r="F265" t="inlineStr">
        <is>
          <t>GÄVLEBORGS LÄN</t>
        </is>
      </c>
      <c r="G265" t="inlineStr">
        <is>
          <t>SÖDERHAMN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46283</v>
      </c>
      <c r="F266" t="inlineStr">
        <is>
          <t>GÄVLEBORGS LÄN</t>
        </is>
      </c>
      <c r="G266" t="inlineStr">
        <is>
          <t>SÖDERHAMN</t>
        </is>
      </c>
      <c r="H266" t="inlineStr">
        <is>
          <t>Kommuner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46283</v>
      </c>
      <c r="F267" t="inlineStr">
        <is>
          <t>GÄVLEBORGS LÄN</t>
        </is>
      </c>
      <c r="G267" t="inlineStr">
        <is>
          <t>SÖDERHAMN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46283</v>
      </c>
      <c r="F268" t="inlineStr">
        <is>
          <t>GÄVLEBORGS LÄN</t>
        </is>
      </c>
      <c r="G268" t="inlineStr">
        <is>
          <t>SÖDERHAMN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46024</v>
      </c>
      <c r="E269" s="1" t="n">
        <v>46283</v>
      </c>
      <c r="F269" t="inlineStr">
        <is>
          <t>GÄVLEBORGS LÄN</t>
        </is>
      </c>
      <c r="G269" t="inlineStr">
        <is>
          <t>SÖDERHAMN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46283</v>
      </c>
      <c r="F270" t="inlineStr">
        <is>
          <t>GÄVLEBORGS LÄN</t>
        </is>
      </c>
      <c r="G270" t="inlineStr">
        <is>
          <t>SÖDERHAMN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46283</v>
      </c>
      <c r="F271" t="inlineStr">
        <is>
          <t>GÄVLEBORGS LÄN</t>
        </is>
      </c>
      <c r="G271" t="inlineStr">
        <is>
          <t>SÖDERHAMN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46283</v>
      </c>
      <c r="F272" t="inlineStr">
        <is>
          <t>GÄVLEBORGS LÄN</t>
        </is>
      </c>
      <c r="G272" t="inlineStr">
        <is>
          <t>SÖDERHAMN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46136</v>
      </c>
      <c r="E273" s="1" t="n">
        <v>46283</v>
      </c>
      <c r="F273" t="inlineStr">
        <is>
          <t>GÄVLEBORGS LÄN</t>
        </is>
      </c>
      <c r="G273" t="inlineStr">
        <is>
          <t>SÖDERHAMN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46283</v>
      </c>
      <c r="F274" t="inlineStr">
        <is>
          <t>GÄVLEBORGS LÄN</t>
        </is>
      </c>
      <c r="G274" t="inlineStr">
        <is>
          <t>SÖDERHAMN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46283</v>
      </c>
      <c r="F275" t="inlineStr">
        <is>
          <t>GÄVLEBORGS LÄN</t>
        </is>
      </c>
      <c r="G275" t="inlineStr">
        <is>
          <t>SÖDERHAMN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44760</v>
      </c>
      <c r="E276" s="1" t="n">
        <v>46283</v>
      </c>
      <c r="F276" t="inlineStr">
        <is>
          <t>GÄVLEBORGS LÄN</t>
        </is>
      </c>
      <c r="G276" t="inlineStr">
        <is>
          <t>SÖDERHAMN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46283</v>
      </c>
      <c r="F277" t="inlineStr">
        <is>
          <t>GÄVLEBORGS LÄN</t>
        </is>
      </c>
      <c r="G277" t="inlineStr">
        <is>
          <t>SÖDERHAMN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46283</v>
      </c>
      <c r="F278" t="inlineStr">
        <is>
          <t>GÄVLEBORGS LÄN</t>
        </is>
      </c>
      <c r="G278" t="inlineStr">
        <is>
          <t>SÖDERHAMN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46283</v>
      </c>
      <c r="F279" t="inlineStr">
        <is>
          <t>GÄVLEBORGS LÄN</t>
        </is>
      </c>
      <c r="G279" t="inlineStr">
        <is>
          <t>SÖDERHAMN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46283</v>
      </c>
      <c r="F280" t="inlineStr">
        <is>
          <t>GÄVLEBORGS LÄN</t>
        </is>
      </c>
      <c r="G280" t="inlineStr">
        <is>
          <t>SÖDERHAMN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46283</v>
      </c>
      <c r="F281" t="inlineStr">
        <is>
          <t>GÄVLEBORGS LÄN</t>
        </is>
      </c>
      <c r="G281" t="inlineStr">
        <is>
          <t>SÖDERHAMN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46283</v>
      </c>
      <c r="F282" t="inlineStr">
        <is>
          <t>GÄVLEBORGS LÄN</t>
        </is>
      </c>
      <c r="G282" t="inlineStr">
        <is>
          <t>SÖDERHAMN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46097</v>
      </c>
      <c r="E283" s="1" t="n">
        <v>46283</v>
      </c>
      <c r="F283" t="inlineStr">
        <is>
          <t>GÄVLEBORGS LÄN</t>
        </is>
      </c>
      <c r="G283" t="inlineStr">
        <is>
          <t>SÖDERHAMN</t>
        </is>
      </c>
      <c r="I283" t="n">
        <v>14.2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46283</v>
      </c>
      <c r="F284" t="inlineStr">
        <is>
          <t>GÄVLEBORGS LÄN</t>
        </is>
      </c>
      <c r="G284" t="inlineStr">
        <is>
          <t>SÖDERHAMN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57044-2022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46283</v>
      </c>
      <c r="F285" t="inlineStr">
        <is>
          <t>GÄVLEBORGS LÄN</t>
        </is>
      </c>
      <c r="G285" t="inlineStr">
        <is>
          <t>SÖDERHAMN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46024</v>
      </c>
      <c r="E286" s="1" t="n">
        <v>46283</v>
      </c>
      <c r="F286" t="inlineStr">
        <is>
          <t>GÄVLEBORGS LÄN</t>
        </is>
      </c>
      <c r="G286" t="inlineStr">
        <is>
          <t>SÖDERHAMN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46283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46283</v>
      </c>
      <c r="F288" t="inlineStr">
        <is>
          <t>GÄVLEBORGS LÄN</t>
        </is>
      </c>
      <c r="G288" t="inlineStr">
        <is>
          <t>SÖDERHAMN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46283</v>
      </c>
      <c r="F289" t="inlineStr">
        <is>
          <t>GÄVLEBORGS LÄN</t>
        </is>
      </c>
      <c r="G289" t="inlineStr">
        <is>
          <t>SÖDERHAMN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55765-2025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45972</v>
      </c>
      <c r="E290" s="1" t="n">
        <v>46283</v>
      </c>
      <c r="F290" t="inlineStr">
        <is>
          <t>GÄVLEBORGS LÄN</t>
        </is>
      </c>
      <c r="G290" t="inlineStr">
        <is>
          <t>SÖDERHAMN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46283</v>
      </c>
      <c r="F291" t="inlineStr">
        <is>
          <t>GÄVLEBORGS LÄN</t>
        </is>
      </c>
      <c r="G291" t="inlineStr">
        <is>
          <t>SÖDERHAMN</t>
        </is>
      </c>
      <c r="H291" t="inlineStr">
        <is>
          <t>Kommuner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46283</v>
      </c>
      <c r="F292" t="inlineStr">
        <is>
          <t>GÄVLEBORGS LÄN</t>
        </is>
      </c>
      <c r="G292" t="inlineStr">
        <is>
          <t>SÖDERHAMN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46283</v>
      </c>
      <c r="F293" t="inlineStr">
        <is>
          <t>GÄVLEBORGS LÄN</t>
        </is>
      </c>
      <c r="G293" t="inlineStr">
        <is>
          <t>SÖDERHAMN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46283</v>
      </c>
      <c r="F294" t="inlineStr">
        <is>
          <t>GÄVLEBORGS LÄN</t>
        </is>
      </c>
      <c r="G294" t="inlineStr">
        <is>
          <t>SÖDERHAMN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46283</v>
      </c>
      <c r="F295" t="inlineStr">
        <is>
          <t>GÄVLEBORGS LÄN</t>
        </is>
      </c>
      <c r="G295" t="inlineStr">
        <is>
          <t>SÖDERHAMN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46283</v>
      </c>
      <c r="F296" t="inlineStr">
        <is>
          <t>GÄVLEBORGS LÄN</t>
        </is>
      </c>
      <c r="G296" t="inlineStr">
        <is>
          <t>SÖDERHAMN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46147</v>
      </c>
      <c r="E297" s="1" t="n">
        <v>46283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46283</v>
      </c>
      <c r="F298" t="inlineStr">
        <is>
          <t>GÄVLEBORGS LÄN</t>
        </is>
      </c>
      <c r="G298" t="inlineStr">
        <is>
          <t>SÖDERHAMN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46149</v>
      </c>
      <c r="E299" s="1" t="n">
        <v>46283</v>
      </c>
      <c r="F299" t="inlineStr">
        <is>
          <t>GÄVLEBORGS LÄN</t>
        </is>
      </c>
      <c r="G299" t="inlineStr">
        <is>
          <t>SÖDERHAMN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46283</v>
      </c>
      <c r="F300" t="inlineStr">
        <is>
          <t>GÄVLEBORGS LÄN</t>
        </is>
      </c>
      <c r="G300" t="inlineStr">
        <is>
          <t>SÖDERHAMN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46149</v>
      </c>
      <c r="E301" s="1" t="n">
        <v>46283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46149</v>
      </c>
      <c r="E302" s="1" t="n">
        <v>46283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48543-2025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46283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46283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58544-2023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45251</v>
      </c>
      <c r="E305" s="1" t="n">
        <v>46283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46283</v>
      </c>
      <c r="F306" t="inlineStr">
        <is>
          <t>GÄVLEBORGS LÄN</t>
        </is>
      </c>
      <c r="G306" t="inlineStr">
        <is>
          <t>SÖDERHAMN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11075-2023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44992</v>
      </c>
      <c r="E307" s="1" t="n">
        <v>46283</v>
      </c>
      <c r="F307" t="inlineStr">
        <is>
          <t>GÄVLEBORGS LÄN</t>
        </is>
      </c>
      <c r="G307" t="inlineStr">
        <is>
          <t>SÖDERHAMN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46283</v>
      </c>
      <c r="F308" t="inlineStr">
        <is>
          <t>GÄVLEBORGS LÄN</t>
        </is>
      </c>
      <c r="G308" t="inlineStr">
        <is>
          <t>SÖDERHAMN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46283</v>
      </c>
      <c r="F309" t="inlineStr">
        <is>
          <t>GÄVLEBORGS LÄN</t>
        </is>
      </c>
      <c r="G309" t="inlineStr">
        <is>
          <t>SÖDERHAMN</t>
        </is>
      </c>
      <c r="H309" t="inlineStr">
        <is>
          <t>Bergvik skog väst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46283</v>
      </c>
      <c r="F310" t="inlineStr">
        <is>
          <t>GÄVLEBORGS LÄN</t>
        </is>
      </c>
      <c r="G310" t="inlineStr">
        <is>
          <t>SÖDERHAMN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46283</v>
      </c>
      <c r="F311" t="inlineStr">
        <is>
          <t>GÄVLEBORGS LÄN</t>
        </is>
      </c>
      <c r="G311" t="inlineStr">
        <is>
          <t>SÖDERHAMN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46283</v>
      </c>
      <c r="F312" t="inlineStr">
        <is>
          <t>GÄVLEBORGS LÄN</t>
        </is>
      </c>
      <c r="G312" t="inlineStr">
        <is>
          <t>SÖDERHAMN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24766-2023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45084</v>
      </c>
      <c r="E313" s="1" t="n">
        <v>46283</v>
      </c>
      <c r="F313" t="inlineStr">
        <is>
          <t>GÄVLEBORGS LÄN</t>
        </is>
      </c>
      <c r="G313" t="inlineStr">
        <is>
          <t>SÖDERHAMN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46283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45107</v>
      </c>
      <c r="E315" s="1" t="n">
        <v>46283</v>
      </c>
      <c r="F315" t="inlineStr">
        <is>
          <t>GÄVLEBORGS LÄN</t>
        </is>
      </c>
      <c r="G315" t="inlineStr">
        <is>
          <t>SÖDERHAMN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46157</v>
      </c>
      <c r="E316" s="1" t="n">
        <v>46283</v>
      </c>
      <c r="F316" t="inlineStr">
        <is>
          <t>GÄVLEBORGS LÄN</t>
        </is>
      </c>
      <c r="G316" t="inlineStr">
        <is>
          <t>SÖDERHAMN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46157</v>
      </c>
      <c r="E317" s="1" t="n">
        <v>46283</v>
      </c>
      <c r="F317" t="inlineStr">
        <is>
          <t>GÄVLEBORGS LÄN</t>
        </is>
      </c>
      <c r="G317" t="inlineStr">
        <is>
          <t>SÖDERHAMN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45560</v>
      </c>
      <c r="E318" s="1" t="n">
        <v>46283</v>
      </c>
      <c r="F318" t="inlineStr">
        <is>
          <t>GÄVLEBORGS LÄN</t>
        </is>
      </c>
      <c r="G318" t="inlineStr">
        <is>
          <t>SÖDERHAMN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46283</v>
      </c>
      <c r="F319" t="inlineStr">
        <is>
          <t>GÄVLEBORGS LÄN</t>
        </is>
      </c>
      <c r="G319" t="inlineStr">
        <is>
          <t>SÖDERHAMN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46157</v>
      </c>
      <c r="E320" s="1" t="n">
        <v>46283</v>
      </c>
      <c r="F320" t="inlineStr">
        <is>
          <t>GÄVLEBORGS LÄN</t>
        </is>
      </c>
      <c r="G320" t="inlineStr">
        <is>
          <t>SÖDERHAMN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46157</v>
      </c>
      <c r="E321" s="1" t="n">
        <v>46283</v>
      </c>
      <c r="F321" t="inlineStr">
        <is>
          <t>GÄVLEBORGS LÄN</t>
        </is>
      </c>
      <c r="G321" t="inlineStr">
        <is>
          <t>SÖDERHAMN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46157</v>
      </c>
      <c r="E322" s="1" t="n">
        <v>46283</v>
      </c>
      <c r="F322" t="inlineStr">
        <is>
          <t>GÄVLEBORGS LÄN</t>
        </is>
      </c>
      <c r="G322" t="inlineStr">
        <is>
          <t>SÖDERHAMN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46157</v>
      </c>
      <c r="E323" s="1" t="n">
        <v>46283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46157</v>
      </c>
      <c r="E324" s="1" t="n">
        <v>46283</v>
      </c>
      <c r="F324" t="inlineStr">
        <is>
          <t>GÄVLEBORGS LÄN</t>
        </is>
      </c>
      <c r="G324" t="inlineStr">
        <is>
          <t>SÖDERHAMN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46283</v>
      </c>
      <c r="F325" t="inlineStr">
        <is>
          <t>GÄVLEBORGS LÄN</t>
        </is>
      </c>
      <c r="G325" t="inlineStr">
        <is>
          <t>SÖDERHAMN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46283</v>
      </c>
      <c r="F326" t="inlineStr">
        <is>
          <t>GÄVLEBORGS LÄN</t>
        </is>
      </c>
      <c r="G326" t="inlineStr">
        <is>
          <t>SÖDERHAMN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45574</v>
      </c>
      <c r="E327" s="1" t="n">
        <v>46283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46283</v>
      </c>
      <c r="F328" t="inlineStr">
        <is>
          <t>GÄVLEBORGS LÄN</t>
        </is>
      </c>
      <c r="G328" t="inlineStr">
        <is>
          <t>SÖDERHAMN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46283</v>
      </c>
      <c r="F329" t="inlineStr">
        <is>
          <t>GÄVLEBORGS LÄN</t>
        </is>
      </c>
      <c r="G329" t="inlineStr">
        <is>
          <t>SÖDERHAMN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46283</v>
      </c>
      <c r="F330" t="inlineStr">
        <is>
          <t>GÄVLEBORGS LÄN</t>
        </is>
      </c>
      <c r="G330" t="inlineStr">
        <is>
          <t>SÖDERHAMN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46164</v>
      </c>
      <c r="E331" s="1" t="n">
        <v>46283</v>
      </c>
      <c r="F331" t="inlineStr">
        <is>
          <t>GÄVLEBORGS LÄN</t>
        </is>
      </c>
      <c r="G331" t="inlineStr">
        <is>
          <t>SÖDERHAMN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46283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46283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46283</v>
      </c>
      <c r="F334" t="inlineStr">
        <is>
          <t>GÄVLEBORGS LÄN</t>
        </is>
      </c>
      <c r="G334" t="inlineStr">
        <is>
          <t>SÖDERHAMN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23470-2026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46283</v>
      </c>
      <c r="F335" t="inlineStr">
        <is>
          <t>GÄVLEBORGS LÄN</t>
        </is>
      </c>
      <c r="G335" t="inlineStr">
        <is>
          <t>SÖDERHAMN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46283</v>
      </c>
      <c r="F336" t="inlineStr">
        <is>
          <t>GÄVLEBORGS LÄN</t>
        </is>
      </c>
      <c r="G336" t="inlineStr">
        <is>
          <t>SÖDERHAMN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46283</v>
      </c>
      <c r="F337" t="inlineStr">
        <is>
          <t>GÄVLEBORGS LÄN</t>
        </is>
      </c>
      <c r="G337" t="inlineStr">
        <is>
          <t>SÖDERHAMN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48561-2025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45936</v>
      </c>
      <c r="E338" s="1" t="n">
        <v>46283</v>
      </c>
      <c r="F338" t="inlineStr">
        <is>
          <t>GÄVLEBORGS LÄN</t>
        </is>
      </c>
      <c r="G338" t="inlineStr">
        <is>
          <t>SÖDERHAMN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46283</v>
      </c>
      <c r="F339" t="inlineStr">
        <is>
          <t>GÄVLEBORGS LÄN</t>
        </is>
      </c>
      <c r="G339" t="inlineStr">
        <is>
          <t>SÖDERHAMN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46283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46165</v>
      </c>
      <c r="E341" s="1" t="n">
        <v>46283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46283</v>
      </c>
      <c r="F342" t="inlineStr">
        <is>
          <t>GÄVLEBORGS LÄN</t>
        </is>
      </c>
      <c r="G342" t="inlineStr">
        <is>
          <t>SÖDERHAMN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46283</v>
      </c>
      <c r="F343" t="inlineStr">
        <is>
          <t>GÄVLEBORGS LÄN</t>
        </is>
      </c>
      <c r="G343" t="inlineStr">
        <is>
          <t>SÖDERHAMN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46168</v>
      </c>
      <c r="E344" s="1" t="n">
        <v>46283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46283</v>
      </c>
      <c r="F345" t="inlineStr">
        <is>
          <t>GÄVLEBORGS LÄN</t>
        </is>
      </c>
      <c r="G345" t="inlineStr">
        <is>
          <t>SÖDERHAMN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24933-2024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45461</v>
      </c>
      <c r="E346" s="1" t="n">
        <v>46283</v>
      </c>
      <c r="F346" t="inlineStr">
        <is>
          <t>GÄVLEBORGS LÄN</t>
        </is>
      </c>
      <c r="G346" t="inlineStr">
        <is>
          <t>SÖDERHAMN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46283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46283</v>
      </c>
      <c r="F348" t="inlineStr">
        <is>
          <t>GÄVLEBORGS LÄN</t>
        </is>
      </c>
      <c r="G348" t="inlineStr">
        <is>
          <t>SÖDERHAMN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46283</v>
      </c>
      <c r="F349" t="inlineStr">
        <is>
          <t>GÄVLEBORGS LÄN</t>
        </is>
      </c>
      <c r="G349" t="inlineStr">
        <is>
          <t>SÖDERHAMN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45616</v>
      </c>
      <c r="E350" s="1" t="n">
        <v>46283</v>
      </c>
      <c r="F350" t="inlineStr">
        <is>
          <t>GÄVLEBORGS LÄN</t>
        </is>
      </c>
      <c r="G350" t="inlineStr">
        <is>
          <t>SÖDERHAMN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49703-2023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45212</v>
      </c>
      <c r="E351" s="1" t="n">
        <v>46283</v>
      </c>
      <c r="F351" t="inlineStr">
        <is>
          <t>GÄVLEBORGS LÄN</t>
        </is>
      </c>
      <c r="G351" t="inlineStr">
        <is>
          <t>SÖDERHAMN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46283</v>
      </c>
      <c r="F352" t="inlineStr">
        <is>
          <t>GÄVLEBORGS LÄN</t>
        </is>
      </c>
      <c r="G352" t="inlineStr">
        <is>
          <t>SÖDERHAMN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46283</v>
      </c>
      <c r="F353" t="inlineStr">
        <is>
          <t>GÄVLEBORGS LÄN</t>
        </is>
      </c>
      <c r="G353" t="inlineStr">
        <is>
          <t>SÖDERHAMN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45761</v>
      </c>
      <c r="E354" s="1" t="n">
        <v>46283</v>
      </c>
      <c r="F354" t="inlineStr">
        <is>
          <t>GÄVLEBORGS LÄN</t>
        </is>
      </c>
      <c r="G354" t="inlineStr">
        <is>
          <t>SÖDERHAMN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10327-2024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46283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46283</v>
      </c>
      <c r="F356" t="inlineStr">
        <is>
          <t>GÄVLEBORGS LÄN</t>
        </is>
      </c>
      <c r="G356" t="inlineStr">
        <is>
          <t>SÖDERHAMN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46283</v>
      </c>
      <c r="F357" t="inlineStr">
        <is>
          <t>GÄVLEBORGS LÄN</t>
        </is>
      </c>
      <c r="G357" t="inlineStr">
        <is>
          <t>SÖDERHAMN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46283</v>
      </c>
      <c r="F358" t="inlineStr">
        <is>
          <t>GÄVLEBORGS LÄN</t>
        </is>
      </c>
      <c r="G358" t="inlineStr">
        <is>
          <t>SÖDERHAMN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46283</v>
      </c>
      <c r="F359" t="inlineStr">
        <is>
          <t>GÄVLEBORGS LÄN</t>
        </is>
      </c>
      <c r="G359" t="inlineStr">
        <is>
          <t>SÖDERHAMN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46283</v>
      </c>
      <c r="F360" t="inlineStr">
        <is>
          <t>GÄVLEBORGS LÄN</t>
        </is>
      </c>
      <c r="G360" t="inlineStr">
        <is>
          <t>SÖDERHAMN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46283</v>
      </c>
      <c r="F361" t="inlineStr">
        <is>
          <t>GÄVLEBORGS LÄN</t>
        </is>
      </c>
      <c r="G361" t="inlineStr">
        <is>
          <t>SÖDERHAMN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45108</v>
      </c>
      <c r="E362" s="1" t="n">
        <v>46283</v>
      </c>
      <c r="F362" t="inlineStr">
        <is>
          <t>GÄVLEBORGS LÄN</t>
        </is>
      </c>
      <c r="G362" t="inlineStr">
        <is>
          <t>SÖDERHAMN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45108</v>
      </c>
      <c r="E363" s="1" t="n">
        <v>46283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46283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46283</v>
      </c>
      <c r="F365" t="inlineStr">
        <is>
          <t>GÄVLEBORGS LÄN</t>
        </is>
      </c>
      <c r="G365" t="inlineStr">
        <is>
          <t>SÖDERHAMN</t>
        </is>
      </c>
      <c r="I365" t="n">
        <v>20.9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45251</v>
      </c>
      <c r="E366" s="1" t="n">
        <v>46283</v>
      </c>
      <c r="F366" t="inlineStr">
        <is>
          <t>GÄVLEBORGS LÄN</t>
        </is>
      </c>
      <c r="G366" t="inlineStr">
        <is>
          <t>SÖDERHAMN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46283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44564</v>
      </c>
      <c r="E368" s="1" t="n">
        <v>46283</v>
      </c>
      <c r="F368" t="inlineStr">
        <is>
          <t>GÄVLEBORGS LÄN</t>
        </is>
      </c>
      <c r="G368" t="inlineStr">
        <is>
          <t>SÖDERHAMN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46283</v>
      </c>
      <c r="F369" t="inlineStr">
        <is>
          <t>GÄVLEBORGS LÄN</t>
        </is>
      </c>
      <c r="G369" t="inlineStr">
        <is>
          <t>SÖDERHAMN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46283</v>
      </c>
      <c r="F370" t="inlineStr">
        <is>
          <t>GÄVLEBORGS LÄN</t>
        </is>
      </c>
      <c r="G370" t="inlineStr">
        <is>
          <t>SÖDERHAMN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26042-2026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46177</v>
      </c>
      <c r="E371" s="1" t="n">
        <v>46283</v>
      </c>
      <c r="F371" t="inlineStr">
        <is>
          <t>GÄVLEBORGS LÄN</t>
        </is>
      </c>
      <c r="G371" t="inlineStr">
        <is>
          <t>SÖDERHAMN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46283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51986-2024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46283</v>
      </c>
      <c r="F373" t="inlineStr">
        <is>
          <t>GÄVLEBORGS LÄN</t>
        </is>
      </c>
      <c r="G373" t="inlineStr">
        <is>
          <t>SÖDERHAMN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46283</v>
      </c>
      <c r="F374" t="inlineStr">
        <is>
          <t>GÄVLEBORGS LÄN</t>
        </is>
      </c>
      <c r="G374" t="inlineStr">
        <is>
          <t>SÖDERHAMN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46283</v>
      </c>
      <c r="F375" t="inlineStr">
        <is>
          <t>GÄVLEBORGS LÄN</t>
        </is>
      </c>
      <c r="G375" t="inlineStr">
        <is>
          <t>SÖDERHAMN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46283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46007-2024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45580</v>
      </c>
      <c r="E377" s="1" t="n">
        <v>46283</v>
      </c>
      <c r="F377" t="inlineStr">
        <is>
          <t>GÄVLEBORGS LÄN</t>
        </is>
      </c>
      <c r="G377" t="inlineStr">
        <is>
          <t>SÖDERHAMN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46283</v>
      </c>
      <c r="F378" t="inlineStr">
        <is>
          <t>GÄVLEBORGS LÄN</t>
        </is>
      </c>
      <c r="G378" t="inlineStr">
        <is>
          <t>SÖDERHAMN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45754</v>
      </c>
      <c r="E379" s="1" t="n">
        <v>46283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46283</v>
      </c>
      <c r="F380" t="inlineStr">
        <is>
          <t>GÄVLEBORGS LÄN</t>
        </is>
      </c>
      <c r="G380" t="inlineStr">
        <is>
          <t>SÖDERHAMN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46283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20286-2023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45056</v>
      </c>
      <c r="E382" s="1" t="n">
        <v>46283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45957</v>
      </c>
      <c r="E383" s="1" t="n">
        <v>46283</v>
      </c>
      <c r="F383" t="inlineStr">
        <is>
          <t>GÄVLEBORGS LÄN</t>
        </is>
      </c>
      <c r="G383" t="inlineStr">
        <is>
          <t>SÖDERHAMN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45615</v>
      </c>
      <c r="E384" s="1" t="n">
        <v>46283</v>
      </c>
      <c r="F384" t="inlineStr">
        <is>
          <t>GÄVLEBORGS LÄN</t>
        </is>
      </c>
      <c r="G384" t="inlineStr">
        <is>
          <t>SÖDERHAMN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46122</v>
      </c>
      <c r="E385" s="1" t="n">
        <v>46283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46283</v>
      </c>
      <c r="F386" t="inlineStr">
        <is>
          <t>GÄVLEBORGS LÄN</t>
        </is>
      </c>
      <c r="G386" t="inlineStr">
        <is>
          <t>SÖDERHAMN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48313-2024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45590</v>
      </c>
      <c r="E387" s="1" t="n">
        <v>46283</v>
      </c>
      <c r="F387" t="inlineStr">
        <is>
          <t>GÄVLEBORGS LÄN</t>
        </is>
      </c>
      <c r="G387" t="inlineStr">
        <is>
          <t>SÖDERHAMN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46283</v>
      </c>
      <c r="F388" t="inlineStr">
        <is>
          <t>GÄVLEBORGS LÄN</t>
        </is>
      </c>
      <c r="G388" t="inlineStr">
        <is>
          <t>SÖDERHAMN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53729-2025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46283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46283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53781-2025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46283</v>
      </c>
      <c r="F391" t="inlineStr">
        <is>
          <t>GÄVLEBORGS LÄN</t>
        </is>
      </c>
      <c r="G391" t="inlineStr">
        <is>
          <t>SÖDERHAMN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46283</v>
      </c>
      <c r="F392" t="inlineStr">
        <is>
          <t>GÄVLEBORGS LÄN</t>
        </is>
      </c>
      <c r="G392" t="inlineStr">
        <is>
          <t>SÖDERHAMN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46283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45639</v>
      </c>
      <c r="E394" s="1" t="n">
        <v>46283</v>
      </c>
      <c r="F394" t="inlineStr">
        <is>
          <t>GÄVLEBORGS LÄN</t>
        </is>
      </c>
      <c r="G394" t="inlineStr">
        <is>
          <t>SÖDERHAMN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45964</v>
      </c>
      <c r="E395" s="1" t="n">
        <v>46283</v>
      </c>
      <c r="F395" t="inlineStr">
        <is>
          <t>GÄVLEBORGS LÄN</t>
        </is>
      </c>
      <c r="G395" t="inlineStr">
        <is>
          <t>SÖDERHAMN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49765-2024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45597</v>
      </c>
      <c r="E396" s="1" t="n">
        <v>46283</v>
      </c>
      <c r="F396" t="inlineStr">
        <is>
          <t>GÄVLEBORGS LÄN</t>
        </is>
      </c>
      <c r="G396" t="inlineStr">
        <is>
          <t>SÖDERHAMN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7608-2026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46283</v>
      </c>
      <c r="F397" t="inlineStr">
        <is>
          <t>GÄVLEBORGS LÄN</t>
        </is>
      </c>
      <c r="G397" t="inlineStr">
        <is>
          <t>SÖDERHAMN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46283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46283</v>
      </c>
      <c r="F399" t="inlineStr">
        <is>
          <t>GÄVLEBORGS LÄN</t>
        </is>
      </c>
      <c r="G399" t="inlineStr">
        <is>
          <t>SÖDERHAMN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46283</v>
      </c>
      <c r="F400" t="inlineStr">
        <is>
          <t>GÄVLEBORGS LÄN</t>
        </is>
      </c>
      <c r="G400" t="inlineStr">
        <is>
          <t>SÖDERHAMN</t>
        </is>
      </c>
      <c r="I400" t="n">
        <v>11.2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54656-2025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45966</v>
      </c>
      <c r="E401" s="1" t="n">
        <v>46283</v>
      </c>
      <c r="F401" t="inlineStr">
        <is>
          <t>GÄVLEBORGS LÄN</t>
        </is>
      </c>
      <c r="G401" t="inlineStr">
        <is>
          <t>SÖDERHAMN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46283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46283</v>
      </c>
      <c r="F403" t="inlineStr">
        <is>
          <t>GÄVLEBORGS LÄN</t>
        </is>
      </c>
      <c r="G403" t="inlineStr">
        <is>
          <t>SÖDERHAMN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46283</v>
      </c>
      <c r="F404" t="inlineStr">
        <is>
          <t>GÄVLEBORGS LÄN</t>
        </is>
      </c>
      <c r="G404" t="inlineStr">
        <is>
          <t>SÖDERHAMN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55058-2025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46283</v>
      </c>
      <c r="F405" t="inlineStr">
        <is>
          <t>GÄVLEBORGS LÄN</t>
        </is>
      </c>
      <c r="G405" t="inlineStr">
        <is>
          <t>SÖDERHAMN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45967</v>
      </c>
      <c r="E406" s="1" t="n">
        <v>46283</v>
      </c>
      <c r="F406" t="inlineStr">
        <is>
          <t>GÄVLEBORGS LÄN</t>
        </is>
      </c>
      <c r="G406" t="inlineStr">
        <is>
          <t>SÖDERHAMN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46197</v>
      </c>
      <c r="E407" s="1" t="n">
        <v>46283</v>
      </c>
      <c r="F407" t="inlineStr">
        <is>
          <t>GÄVLEBORGS LÄN</t>
        </is>
      </c>
      <c r="G407" t="inlineStr">
        <is>
          <t>SÖDERHAMN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55711-2025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45972</v>
      </c>
      <c r="E408" s="1" t="n">
        <v>46283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45971</v>
      </c>
      <c r="E409" s="1" t="n">
        <v>46283</v>
      </c>
      <c r="F409" t="inlineStr">
        <is>
          <t>GÄVLEBORGS LÄN</t>
        </is>
      </c>
      <c r="G409" t="inlineStr">
        <is>
          <t>SÖDERHAMN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46283</v>
      </c>
      <c r="F410" t="inlineStr">
        <is>
          <t>GÄVLEBORGS LÄN</t>
        </is>
      </c>
      <c r="G410" t="inlineStr">
        <is>
          <t>SÖDERHAMN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55730-2025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45972</v>
      </c>
      <c r="E411" s="1" t="n">
        <v>46283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38355-2022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44812</v>
      </c>
      <c r="E412" s="1" t="n">
        <v>46283</v>
      </c>
      <c r="F412" t="inlineStr">
        <is>
          <t>GÄVLEBORGS LÄN</t>
        </is>
      </c>
      <c r="G412" t="inlineStr">
        <is>
          <t>SÖDERHAMN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46283</v>
      </c>
      <c r="F413" t="inlineStr">
        <is>
          <t>GÄVLEBORGS LÄN</t>
        </is>
      </c>
      <c r="G413" t="inlineStr">
        <is>
          <t>SÖDERHAMN</t>
        </is>
      </c>
      <c r="I413" t="n">
        <v>9.800000000000001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49935-2024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45597</v>
      </c>
      <c r="E414" s="1" t="n">
        <v>46283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46283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46283</v>
      </c>
      <c r="F416" t="inlineStr">
        <is>
          <t>GÄVLEBORGS LÄN</t>
        </is>
      </c>
      <c r="G416" t="inlineStr">
        <is>
          <t>SÖDERHAMN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46283</v>
      </c>
      <c r="F417" t="inlineStr">
        <is>
          <t>GÄVLEBORGS LÄN</t>
        </is>
      </c>
      <c r="G417" t="inlineStr">
        <is>
          <t>SÖDERHAMN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53918-2025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45961</v>
      </c>
      <c r="E418" s="1" t="n">
        <v>46283</v>
      </c>
      <c r="F418" t="inlineStr">
        <is>
          <t>GÄVLEBORGS LÄN</t>
        </is>
      </c>
      <c r="G418" t="inlineStr">
        <is>
          <t>SÖDERHAMN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46283</v>
      </c>
      <c r="F419" t="inlineStr">
        <is>
          <t>GÄVLEBORGS LÄN</t>
        </is>
      </c>
      <c r="G419" t="inlineStr">
        <is>
          <t>SÖDERHAMN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46283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46283</v>
      </c>
      <c r="F421" t="inlineStr">
        <is>
          <t>GÄVLEBORGS LÄN</t>
        </is>
      </c>
      <c r="G421" t="inlineStr">
        <is>
          <t>SÖDERHAMN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46283</v>
      </c>
      <c r="F422" t="inlineStr">
        <is>
          <t>GÄVLEBORGS LÄN</t>
        </is>
      </c>
      <c r="G422" t="inlineStr">
        <is>
          <t>SÖDERHAMN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46283</v>
      </c>
      <c r="F423" t="inlineStr">
        <is>
          <t>GÄVLEBORGS LÄN</t>
        </is>
      </c>
      <c r="G423" t="inlineStr">
        <is>
          <t>SÖDERHAMN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57085-2025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46283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46283</v>
      </c>
      <c r="F425" t="inlineStr">
        <is>
          <t>GÄVLEBORGS LÄN</t>
        </is>
      </c>
      <c r="G425" t="inlineStr">
        <is>
          <t>SÖDERHAMN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46283</v>
      </c>
      <c r="F426" t="inlineStr">
        <is>
          <t>GÄVLEBORGS LÄN</t>
        </is>
      </c>
      <c r="G426" t="inlineStr">
        <is>
          <t>SÖDERHAMN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45982</v>
      </c>
      <c r="E427" s="1" t="n">
        <v>46283</v>
      </c>
      <c r="F427" t="inlineStr">
        <is>
          <t>GÄVLEBORGS LÄN</t>
        </is>
      </c>
      <c r="G427" t="inlineStr">
        <is>
          <t>SÖDERHAMN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30928-2023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45113</v>
      </c>
      <c r="E428" s="1" t="n">
        <v>46283</v>
      </c>
      <c r="F428" t="inlineStr">
        <is>
          <t>GÄVLEBORGS LÄN</t>
        </is>
      </c>
      <c r="G428" t="inlineStr">
        <is>
          <t>SÖDERHAMN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45705</v>
      </c>
      <c r="E429" s="1" t="n">
        <v>46283</v>
      </c>
      <c r="F429" t="inlineStr">
        <is>
          <t>GÄVLEBORGS LÄN</t>
        </is>
      </c>
      <c r="G429" t="inlineStr">
        <is>
          <t>SÖDERHAMN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45670</v>
      </c>
      <c r="E430" s="1" t="n">
        <v>46283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58215-2025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46283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46283</v>
      </c>
      <c r="F432" t="inlineStr">
        <is>
          <t>GÄVLEBORGS LÄN</t>
        </is>
      </c>
      <c r="G432" t="inlineStr">
        <is>
          <t>SÖDERHAMN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46283</v>
      </c>
      <c r="F433" t="inlineStr">
        <is>
          <t>GÄVLEBORGS LÄN</t>
        </is>
      </c>
      <c r="G433" t="inlineStr">
        <is>
          <t>SÖDERHAMN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46283</v>
      </c>
      <c r="F434" t="inlineStr">
        <is>
          <t>GÄVLEBORGS LÄN</t>
        </is>
      </c>
      <c r="G434" t="inlineStr">
        <is>
          <t>SÖDERHAMN</t>
        </is>
      </c>
      <c r="H434" t="inlineStr">
        <is>
          <t>Kommuner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44341-2023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45188</v>
      </c>
      <c r="E435" s="1" t="n">
        <v>46283</v>
      </c>
      <c r="F435" t="inlineStr">
        <is>
          <t>GÄVLEBORGS LÄN</t>
        </is>
      </c>
      <c r="G435" t="inlineStr">
        <is>
          <t>SÖDERHAMN</t>
        </is>
      </c>
      <c r="H435" t="inlineStr">
        <is>
          <t>Kommuner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15646-2022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44662</v>
      </c>
      <c r="E436" s="1" t="n">
        <v>46283</v>
      </c>
      <c r="F436" t="inlineStr">
        <is>
          <t>GÄVLEBORGS LÄN</t>
        </is>
      </c>
      <c r="G436" t="inlineStr">
        <is>
          <t>SÖDERHAMN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46252</v>
      </c>
      <c r="E437" s="1" t="n">
        <v>46283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34001-2026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46252</v>
      </c>
      <c r="E438" s="1" t="n">
        <v>46283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46207</v>
      </c>
      <c r="E439" s="1" t="n">
        <v>46283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44750</v>
      </c>
      <c r="E440" s="1" t="n">
        <v>46283</v>
      </c>
      <c r="F440" t="inlineStr">
        <is>
          <t>GÄVLEBORGS LÄN</t>
        </is>
      </c>
      <c r="G440" t="inlineStr">
        <is>
          <t>SÖDERHAMN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45764</v>
      </c>
      <c r="E441" s="1" t="n">
        <v>46283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46283</v>
      </c>
      <c r="F442" t="inlineStr">
        <is>
          <t>GÄVLEBORGS LÄN</t>
        </is>
      </c>
      <c r="G442" t="inlineStr">
        <is>
          <t>SÖDERHAMN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46283</v>
      </c>
      <c r="F443" t="inlineStr">
        <is>
          <t>GÄVLEBORGS LÄN</t>
        </is>
      </c>
      <c r="G443" t="inlineStr">
        <is>
          <t>SÖDERHAMN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46283</v>
      </c>
      <c r="F444" t="inlineStr">
        <is>
          <t>GÄVLEBORGS LÄN</t>
        </is>
      </c>
      <c r="G444" t="inlineStr">
        <is>
          <t>SÖDERHAMN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45257</v>
      </c>
      <c r="E445" s="1" t="n">
        <v>46283</v>
      </c>
      <c r="F445" t="inlineStr">
        <is>
          <t>GÄVLEBORGS LÄN</t>
        </is>
      </c>
      <c r="G445" t="inlineStr">
        <is>
          <t>SÖDERHAMN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46283</v>
      </c>
      <c r="F446" t="inlineStr">
        <is>
          <t>GÄVLEBORGS LÄN</t>
        </is>
      </c>
      <c r="G446" t="inlineStr">
        <is>
          <t>SÖDERHAMN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46283</v>
      </c>
      <c r="F447" t="inlineStr">
        <is>
          <t>GÄVLEBORGS LÄN</t>
        </is>
      </c>
      <c r="G447" t="inlineStr">
        <is>
          <t>SÖDERHAMN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45992</v>
      </c>
      <c r="E448" s="1" t="n">
        <v>46283</v>
      </c>
      <c r="F448" t="inlineStr">
        <is>
          <t>GÄVLEBORGS LÄN</t>
        </is>
      </c>
      <c r="G448" t="inlineStr">
        <is>
          <t>SÖDERHAMN</t>
        </is>
      </c>
      <c r="I448" t="n">
        <v>8.5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45267</v>
      </c>
      <c r="E449" s="1" t="n">
        <v>46283</v>
      </c>
      <c r="F449" t="inlineStr">
        <is>
          <t>GÄVLEBORGS LÄN</t>
        </is>
      </c>
      <c r="G449" t="inlineStr">
        <is>
          <t>SÖDERHAMN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46283</v>
      </c>
      <c r="F450" t="inlineStr">
        <is>
          <t>GÄVLEBORGS LÄN</t>
        </is>
      </c>
      <c r="G450" t="inlineStr">
        <is>
          <t>SÖDERHAMN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30848-2026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46283</v>
      </c>
      <c r="F451" t="inlineStr">
        <is>
          <t>GÄVLEBORGS LÄN</t>
        </is>
      </c>
      <c r="G451" t="inlineStr">
        <is>
          <t>SÖDERHAMN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45797</v>
      </c>
      <c r="E452" s="1" t="n">
        <v>46283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46283</v>
      </c>
      <c r="F453" t="inlineStr">
        <is>
          <t>GÄVLEBORGS LÄN</t>
        </is>
      </c>
      <c r="G453" t="inlineStr">
        <is>
          <t>SÖDERHAMN</t>
        </is>
      </c>
      <c r="H453" t="inlineStr">
        <is>
          <t>Kyrkan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46212</v>
      </c>
      <c r="E454" s="1" t="n">
        <v>46283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Kyrkan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46283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Kyrkan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45799</v>
      </c>
      <c r="E456" s="1" t="n">
        <v>46283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46258</v>
      </c>
      <c r="E457" s="1" t="n">
        <v>46283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45995</v>
      </c>
      <c r="E458" s="1" t="n">
        <v>46283</v>
      </c>
      <c r="F458" t="inlineStr">
        <is>
          <t>GÄVLEBORGS LÄN</t>
        </is>
      </c>
      <c r="G458" t="inlineStr">
        <is>
          <t>SÖDERHAMN</t>
        </is>
      </c>
      <c r="I458" t="n">
        <v>14.1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35167-2026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46260</v>
      </c>
      <c r="E459" s="1" t="n">
        <v>46283</v>
      </c>
      <c r="F459" t="inlineStr">
        <is>
          <t>GÄVLEBORGS LÄN</t>
        </is>
      </c>
      <c r="G459" t="inlineStr">
        <is>
          <t>SÖDERHAMN</t>
        </is>
      </c>
      <c r="H459" t="inlineStr">
        <is>
          <t>Övriga statliga verk och myndigheter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28340-2024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46283</v>
      </c>
      <c r="F460" t="inlineStr">
        <is>
          <t>GÄVLEBORGS LÄN</t>
        </is>
      </c>
      <c r="G460" t="inlineStr">
        <is>
          <t>SÖDERHAMN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46260</v>
      </c>
      <c r="E461" s="1" t="n">
        <v>46283</v>
      </c>
      <c r="F461" t="inlineStr">
        <is>
          <t>GÄVLEBORGS LÄN</t>
        </is>
      </c>
      <c r="G461" t="inlineStr">
        <is>
          <t>SÖDERHAMN</t>
        </is>
      </c>
      <c r="H461" t="inlineStr">
        <is>
          <t>Övriga statliga verk och myndigheter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46283</v>
      </c>
      <c r="F462" t="inlineStr">
        <is>
          <t>GÄVLEBORGS LÄN</t>
        </is>
      </c>
      <c r="G462" t="inlineStr">
        <is>
          <t>SÖDERHAMN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46283</v>
      </c>
      <c r="F463" t="inlineStr">
        <is>
          <t>GÄVLEBORGS LÄN</t>
        </is>
      </c>
      <c r="G463" t="inlineStr">
        <is>
          <t>SÖDERHAMN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46283</v>
      </c>
      <c r="F464" t="inlineStr">
        <is>
          <t>GÄVLEBORGS LÄN</t>
        </is>
      </c>
      <c r="G464" t="inlineStr">
        <is>
          <t>SÖDERHAMN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46219</v>
      </c>
      <c r="E465" s="1" t="n">
        <v>46283</v>
      </c>
      <c r="F465" t="inlineStr">
        <is>
          <t>GÄVLEBORGS LÄN</t>
        </is>
      </c>
      <c r="G465" t="inlineStr">
        <is>
          <t>SÖDERHAMN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46219</v>
      </c>
      <c r="E466" s="1" t="n">
        <v>46283</v>
      </c>
      <c r="F466" t="inlineStr">
        <is>
          <t>GÄVLEBORGS LÄN</t>
        </is>
      </c>
      <c r="G466" t="inlineStr">
        <is>
          <t>SÖDERHAMN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45999</v>
      </c>
      <c r="E467" s="1" t="n">
        <v>46283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45999</v>
      </c>
      <c r="E468" s="1" t="n">
        <v>46283</v>
      </c>
      <c r="F468" t="inlineStr">
        <is>
          <t>GÄVLEBORGS LÄN</t>
        </is>
      </c>
      <c r="G468" t="inlineStr">
        <is>
          <t>SÖDERHAMN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46283</v>
      </c>
      <c r="F469" t="inlineStr">
        <is>
          <t>GÄVLEBORGS LÄN</t>
        </is>
      </c>
      <c r="G469" t="inlineStr">
        <is>
          <t>SÖDERHAMN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31274-2026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46218</v>
      </c>
      <c r="E470" s="1" t="n">
        <v>46283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46219</v>
      </c>
      <c r="E471" s="1" t="n">
        <v>46283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46283</v>
      </c>
      <c r="F472" t="inlineStr">
        <is>
          <t>GÄVLEBORGS LÄN</t>
        </is>
      </c>
      <c r="G472" t="inlineStr">
        <is>
          <t>SÖDERHAMN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46283</v>
      </c>
      <c r="F473" t="inlineStr">
        <is>
          <t>GÄVLEBORGS LÄN</t>
        </is>
      </c>
      <c r="G473" t="inlineStr">
        <is>
          <t>SÖDERHAMN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31531-2026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46223</v>
      </c>
      <c r="E474" s="1" t="n">
        <v>46283</v>
      </c>
      <c r="F474" t="inlineStr">
        <is>
          <t>GÄVLEBORGS LÄN</t>
        </is>
      </c>
      <c r="G474" t="inlineStr">
        <is>
          <t>SÖDERHAMN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61416-2025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46001</v>
      </c>
      <c r="E475" s="1" t="n">
        <v>46283</v>
      </c>
      <c r="F475" t="inlineStr">
        <is>
          <t>GÄVLEBORGS LÄN</t>
        </is>
      </c>
      <c r="G475" t="inlineStr">
        <is>
          <t>SÖDERHAMN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46268</v>
      </c>
      <c r="E476" s="1" t="n">
        <v>46283</v>
      </c>
      <c r="F476" t="inlineStr">
        <is>
          <t>GÄVLEBORGS LÄN</t>
        </is>
      </c>
      <c r="G476" t="inlineStr">
        <is>
          <t>SÖDERHAMN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46283</v>
      </c>
      <c r="F477" t="inlineStr">
        <is>
          <t>GÄVLEBORGS LÄN</t>
        </is>
      </c>
      <c r="G477" t="inlineStr">
        <is>
          <t>SÖDERHAMN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46272</v>
      </c>
      <c r="E478" s="1" t="n">
        <v>46283</v>
      </c>
      <c r="F478" t="inlineStr">
        <is>
          <t>GÄVLEBORGS LÄN</t>
        </is>
      </c>
      <c r="G478" t="inlineStr">
        <is>
          <t>SÖDERHAMN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46283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62616-2025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46008</v>
      </c>
      <c r="E480" s="1" t="n">
        <v>46283</v>
      </c>
      <c r="F480" t="inlineStr">
        <is>
          <t>GÄVLEBORGS LÄN</t>
        </is>
      </c>
      <c r="G480" t="inlineStr">
        <is>
          <t>SÖDERHAMN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50809-2024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45602</v>
      </c>
      <c r="E481" s="1" t="n">
        <v>46283</v>
      </c>
      <c r="F481" t="inlineStr">
        <is>
          <t>GÄVLEBORGS LÄN</t>
        </is>
      </c>
      <c r="G481" t="inlineStr">
        <is>
          <t>SÖDERHAMN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46227</v>
      </c>
      <c r="E482" s="1" t="n">
        <v>46283</v>
      </c>
      <c r="F482" t="inlineStr">
        <is>
          <t>GÄVLEBORGS LÄN</t>
        </is>
      </c>
      <c r="G482" t="inlineStr">
        <is>
          <t>SÖDERHAMN</t>
        </is>
      </c>
      <c r="I482" t="n">
        <v>11.5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45652</v>
      </c>
      <c r="E483" s="1" t="n">
        <v>46283</v>
      </c>
      <c r="F483" t="inlineStr">
        <is>
          <t>GÄVLEBORGS LÄN</t>
        </is>
      </c>
      <c r="G483" t="inlineStr">
        <is>
          <t>SÖDERHAMN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14321-2024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45393</v>
      </c>
      <c r="E484" s="1" t="n">
        <v>46283</v>
      </c>
      <c r="F484" t="inlineStr">
        <is>
          <t>GÄVLEBORGS LÄN</t>
        </is>
      </c>
      <c r="G484" t="inlineStr">
        <is>
          <t>SÖDERHAMN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46283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45510</v>
      </c>
      <c r="E486" s="1" t="n">
        <v>46283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45461</v>
      </c>
      <c r="E487" s="1" t="n">
        <v>46283</v>
      </c>
      <c r="F487" t="inlineStr">
        <is>
          <t>GÄVLEBORGS LÄN</t>
        </is>
      </c>
      <c r="G487" t="inlineStr">
        <is>
          <t>SÖDERHAMN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45425</v>
      </c>
      <c r="E488" s="1" t="n">
        <v>46283</v>
      </c>
      <c r="F488" t="inlineStr">
        <is>
          <t>GÄVLEBORGS LÄN</t>
        </is>
      </c>
      <c r="G488" t="inlineStr">
        <is>
          <t>SÖDERHAMN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46275</v>
      </c>
      <c r="E489" s="1" t="n">
        <v>46283</v>
      </c>
      <c r="F489" t="inlineStr">
        <is>
          <t>GÄVLEBORGS LÄN</t>
        </is>
      </c>
      <c r="G489" t="inlineStr">
        <is>
          <t>SÖDERHAMN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45749</v>
      </c>
      <c r="E490" s="1" t="n">
        <v>46283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46283</v>
      </c>
      <c r="F491" t="inlineStr">
        <is>
          <t>GÄVLEBORGS LÄN</t>
        </is>
      </c>
      <c r="G491" t="inlineStr">
        <is>
          <t>SÖDERHAMN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46026</v>
      </c>
      <c r="E492" s="1" t="n">
        <v>46283</v>
      </c>
      <c r="F492" t="inlineStr">
        <is>
          <t>GÄVLEBORGS LÄN</t>
        </is>
      </c>
      <c r="G492" t="inlineStr">
        <is>
          <t>SÖDERHAMN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46026</v>
      </c>
      <c r="E493" s="1" t="n">
        <v>46283</v>
      </c>
      <c r="F493" t="inlineStr">
        <is>
          <t>GÄVLEBORGS LÄN</t>
        </is>
      </c>
      <c r="G493" t="inlineStr">
        <is>
          <t>SÖDERHAMN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36204-2024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45534</v>
      </c>
      <c r="E494" s="1" t="n">
        <v>46283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42035-2024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45561</v>
      </c>
      <c r="E495" s="1" t="n">
        <v>46283</v>
      </c>
      <c r="F495" t="inlineStr">
        <is>
          <t>GÄVLEBORGS LÄN</t>
        </is>
      </c>
      <c r="G495" t="inlineStr">
        <is>
          <t>SÖDERHAMN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46026</v>
      </c>
      <c r="E496" s="1" t="n">
        <v>46283</v>
      </c>
      <c r="F496" t="inlineStr">
        <is>
          <t>GÄVLEBORGS LÄN</t>
        </is>
      </c>
      <c r="G496" t="inlineStr">
        <is>
          <t>SÖDERHAMN</t>
        </is>
      </c>
      <c r="I496" t="n">
        <v>12.9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46085</v>
      </c>
      <c r="E497" s="1" t="n">
        <v>46283</v>
      </c>
      <c r="F497" t="inlineStr">
        <is>
          <t>GÄVLEBORGS LÄN</t>
        </is>
      </c>
      <c r="G497" t="inlineStr">
        <is>
          <t>SÖDERHAMN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46283</v>
      </c>
      <c r="F498" t="inlineStr">
        <is>
          <t>GÄVLEBORGS LÄN</t>
        </is>
      </c>
      <c r="G498" t="inlineStr">
        <is>
          <t>SÖDERHAMN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45560</v>
      </c>
      <c r="E499" s="1" t="n">
        <v>46283</v>
      </c>
      <c r="F499" t="inlineStr">
        <is>
          <t>GÄVLEBORGS LÄN</t>
        </is>
      </c>
      <c r="G499" t="inlineStr">
        <is>
          <t>SÖDERHAMN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46237</v>
      </c>
      <c r="E500" s="1" t="n">
        <v>46283</v>
      </c>
      <c r="F500" t="inlineStr">
        <is>
          <t>GÄVLEBORGS LÄN</t>
        </is>
      </c>
      <c r="G500" t="inlineStr">
        <is>
          <t>SÖDERHAMN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46283</v>
      </c>
      <c r="F501" t="inlineStr">
        <is>
          <t>GÄVLEBORGS LÄN</t>
        </is>
      </c>
      <c r="G501" t="inlineStr">
        <is>
          <t>SÖDERHAMN</t>
        </is>
      </c>
      <c r="I501" t="n">
        <v>13.8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46283</v>
      </c>
      <c r="F502" t="inlineStr">
        <is>
          <t>GÄVLEBORGS LÄN</t>
        </is>
      </c>
      <c r="G502" t="inlineStr">
        <is>
          <t>SÖDERHAMN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46283</v>
      </c>
      <c r="F503" t="inlineStr">
        <is>
          <t>GÄVLEBORGS LÄN</t>
        </is>
      </c>
      <c r="G503" t="inlineStr">
        <is>
          <t>SÖDERHAMN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46283</v>
      </c>
      <c r="F504" t="inlineStr">
        <is>
          <t>GÄVLEBORGS LÄN</t>
        </is>
      </c>
      <c r="G504" t="inlineStr">
        <is>
          <t>SÖDERHAMN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44957</v>
      </c>
      <c r="E505" s="1" t="n">
        <v>46283</v>
      </c>
      <c r="F505" t="inlineStr">
        <is>
          <t>GÄVLEBORGS LÄN</t>
        </is>
      </c>
      <c r="G505" t="inlineStr">
        <is>
          <t>SÖDERHAMN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53503-2023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46283</v>
      </c>
      <c r="F506" t="inlineStr">
        <is>
          <t>GÄVLEBORGS LÄN</t>
        </is>
      </c>
      <c r="G506" t="inlineStr">
        <is>
          <t>SÖDERHAMN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46281</v>
      </c>
      <c r="E507" s="1" t="n">
        <v>46283</v>
      </c>
      <c r="F507" t="inlineStr">
        <is>
          <t>GÄVLEBORGS LÄN</t>
        </is>
      </c>
      <c r="G507" t="inlineStr">
        <is>
          <t>SÖDERHAMN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46024</v>
      </c>
      <c r="E508" s="1" t="n">
        <v>46283</v>
      </c>
      <c r="F508" t="inlineStr">
        <is>
          <t>GÄVLEBORGS LÄN</t>
        </is>
      </c>
      <c r="G508" t="inlineStr">
        <is>
          <t>SÖDERHAMN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46283</v>
      </c>
      <c r="F509" t="inlineStr">
        <is>
          <t>GÄVLEBORGS LÄN</t>
        </is>
      </c>
      <c r="G509" t="inlineStr">
        <is>
          <t>SÖDERHAMN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45707</v>
      </c>
      <c r="E510" s="1" t="n">
        <v>46283</v>
      </c>
      <c r="F510" t="inlineStr">
        <is>
          <t>GÄVLEBORGS LÄN</t>
        </is>
      </c>
      <c r="G510" t="inlineStr">
        <is>
          <t>SÖDERHAMN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46283</v>
      </c>
      <c r="F511" t="inlineStr">
        <is>
          <t>GÄVLEBORGS LÄN</t>
        </is>
      </c>
      <c r="G511" t="inlineStr">
        <is>
          <t>SÖDERHAMN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16137-2022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44665</v>
      </c>
      <c r="E512" s="1" t="n">
        <v>46283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44651</v>
      </c>
      <c r="E513" s="1" t="n">
        <v>46283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46024</v>
      </c>
      <c r="E514" s="1" t="n">
        <v>46283</v>
      </c>
      <c r="F514" t="inlineStr">
        <is>
          <t>GÄVLEBORGS LÄN</t>
        </is>
      </c>
      <c r="G514" t="inlineStr">
        <is>
          <t>SÖDERHAMN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46283</v>
      </c>
      <c r="F515" t="inlineStr">
        <is>
          <t>GÄVLEBORGS LÄN</t>
        </is>
      </c>
      <c r="G515" t="inlineStr">
        <is>
          <t>SÖDERHAMN</t>
        </is>
      </c>
      <c r="I515" t="n">
        <v>9.699999999999999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45108</v>
      </c>
      <c r="E516" s="1" t="n">
        <v>46283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46283</v>
      </c>
      <c r="F517" t="inlineStr">
        <is>
          <t>GÄVLEBORGS LÄN</t>
        </is>
      </c>
      <c r="G517" t="inlineStr">
        <is>
          <t>SÖDERHAMN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46283</v>
      </c>
      <c r="F518" t="inlineStr">
        <is>
          <t>GÄVLEBORGS LÄN</t>
        </is>
      </c>
      <c r="G518" t="inlineStr">
        <is>
          <t>SÖDERHAMN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46283</v>
      </c>
      <c r="F519" t="inlineStr">
        <is>
          <t>GÄVLEBORGS LÄN</t>
        </is>
      </c>
      <c r="G519" t="inlineStr">
        <is>
          <t>SÖDERHAMN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46024</v>
      </c>
      <c r="E520" s="1" t="n">
        <v>46283</v>
      </c>
      <c r="F520" t="inlineStr">
        <is>
          <t>GÄVLEBORGS LÄN</t>
        </is>
      </c>
      <c r="G520" t="inlineStr">
        <is>
          <t>SÖDERHAMN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46283</v>
      </c>
      <c r="F521" t="inlineStr">
        <is>
          <t>GÄVLEBORGS LÄN</t>
        </is>
      </c>
      <c r="G521" t="inlineStr">
        <is>
          <t>SÖDERHAMN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46283</v>
      </c>
      <c r="F522" t="inlineStr">
        <is>
          <t>GÄVLEBORGS LÄN</t>
        </is>
      </c>
      <c r="G522" t="inlineStr">
        <is>
          <t>SÖDERHAMN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46037</v>
      </c>
      <c r="E523" s="1" t="n">
        <v>46283</v>
      </c>
      <c r="F523" t="inlineStr">
        <is>
          <t>GÄVLEBORGS LÄN</t>
        </is>
      </c>
      <c r="G523" t="inlineStr">
        <is>
          <t>SÖDERHAMN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45041</v>
      </c>
      <c r="E524" s="1" t="n">
        <v>46283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46283</v>
      </c>
      <c r="F525" t="inlineStr">
        <is>
          <t>GÄVLEBORGS LÄN</t>
        </is>
      </c>
      <c r="G525" t="inlineStr">
        <is>
          <t>SÖDERHAMN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46283</v>
      </c>
      <c r="F526" t="inlineStr">
        <is>
          <t>GÄVLEBORGS LÄN</t>
        </is>
      </c>
      <c r="G526" t="inlineStr">
        <is>
          <t>SÖDERHAMN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44963</v>
      </c>
      <c r="E527" s="1" t="n">
        <v>46283</v>
      </c>
      <c r="F527" t="inlineStr">
        <is>
          <t>GÄVLEBORGS LÄN</t>
        </is>
      </c>
      <c r="G527" t="inlineStr">
        <is>
          <t>SÖDERHAMN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46283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Kommuner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54007-2023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46283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46283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46283</v>
      </c>
      <c r="F531" t="inlineStr">
        <is>
          <t>GÄVLEBORGS LÄN</t>
        </is>
      </c>
      <c r="G531" t="inlineStr">
        <is>
          <t>SÖDERHAMN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46283</v>
      </c>
      <c r="F532" t="inlineStr">
        <is>
          <t>GÄVLEBORGS LÄN</t>
        </is>
      </c>
      <c r="G532" t="inlineStr">
        <is>
          <t>SÖDERHAMN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46283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56502-2023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46283</v>
      </c>
      <c r="F534" t="inlineStr">
        <is>
          <t>GÄVLEBORGS LÄN</t>
        </is>
      </c>
      <c r="G534" t="inlineStr">
        <is>
          <t>SÖDERHAMN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58142-2024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46283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46283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45470</v>
      </c>
      <c r="E537" s="1" t="n">
        <v>46283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71645-2021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44543</v>
      </c>
      <c r="E538" s="1" t="n">
        <v>46283</v>
      </c>
      <c r="F538" t="inlineStr">
        <is>
          <t>GÄVLEBORGS LÄN</t>
        </is>
      </c>
      <c r="G538" t="inlineStr">
        <is>
          <t>SÖDERHAMN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45278</v>
      </c>
      <c r="E539" s="1" t="n">
        <v>46283</v>
      </c>
      <c r="F539" t="inlineStr">
        <is>
          <t>GÄVLEBORGS LÄN</t>
        </is>
      </c>
      <c r="G539" t="inlineStr">
        <is>
          <t>SÖDERHAMN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46283</v>
      </c>
      <c r="F540" t="inlineStr">
        <is>
          <t>GÄVLEBORGS LÄN</t>
        </is>
      </c>
      <c r="G540" t="inlineStr">
        <is>
          <t>SÖDERHAMN</t>
        </is>
      </c>
      <c r="I540" t="n">
        <v>12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46283</v>
      </c>
      <c r="F541" t="inlineStr">
        <is>
          <t>GÄVLEBORGS LÄN</t>
        </is>
      </c>
      <c r="G541" t="inlineStr">
        <is>
          <t>SÖDERHAMN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46052</v>
      </c>
      <c r="E542" s="1" t="n">
        <v>46283</v>
      </c>
      <c r="F542" t="inlineStr">
        <is>
          <t>GÄVLEBORGS LÄN</t>
        </is>
      </c>
      <c r="G542" t="inlineStr">
        <is>
          <t>SÖDERHAMN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46283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15454-2025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46283</v>
      </c>
      <c r="F544" t="inlineStr">
        <is>
          <t>GÄVLEBORGS LÄN</t>
        </is>
      </c>
      <c r="G544" t="inlineStr">
        <is>
          <t>SÖDERHAMN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46283</v>
      </c>
      <c r="F545" t="inlineStr">
        <is>
          <t>GÄVLEBORGS LÄN</t>
        </is>
      </c>
      <c r="G545" t="inlineStr">
        <is>
          <t>SÖDERHAMN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46283</v>
      </c>
      <c r="F546" t="inlineStr">
        <is>
          <t>GÄVLEBORGS LÄN</t>
        </is>
      </c>
      <c r="G546" t="inlineStr">
        <is>
          <t>SÖDERHAMN</t>
        </is>
      </c>
      <c r="I546" t="n">
        <v>14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46283</v>
      </c>
      <c r="F547" t="inlineStr">
        <is>
          <t>GÄVLEBORGS LÄN</t>
        </is>
      </c>
      <c r="G547" t="inlineStr">
        <is>
          <t>SÖDERHAMN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46283</v>
      </c>
      <c r="F548" t="inlineStr">
        <is>
          <t>GÄVLEBORGS LÄN</t>
        </is>
      </c>
      <c r="G548" t="inlineStr">
        <is>
          <t>SÖDERHAMN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54156-2022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44881</v>
      </c>
      <c r="E549" s="1" t="n">
        <v>46283</v>
      </c>
      <c r="F549" t="inlineStr">
        <is>
          <t>GÄVLEBORGS LÄN</t>
        </is>
      </c>
      <c r="G549" t="inlineStr">
        <is>
          <t>SÖDERHAMN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50283-2024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45600</v>
      </c>
      <c r="E550" s="1" t="n">
        <v>46283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46058</v>
      </c>
      <c r="E551" s="1" t="n">
        <v>46283</v>
      </c>
      <c r="F551" t="inlineStr">
        <is>
          <t>GÄVLEBORGS LÄN</t>
        </is>
      </c>
      <c r="G551" t="inlineStr">
        <is>
          <t>SÖDERHAMN</t>
        </is>
      </c>
      <c r="H551" t="inlineStr">
        <is>
          <t>Övriga statliga verk och myndigheter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46283</v>
      </c>
      <c r="F552" t="inlineStr">
        <is>
          <t>GÄVLEBORGS LÄN</t>
        </is>
      </c>
      <c r="G552" t="inlineStr">
        <is>
          <t>SÖDERHAMN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46283</v>
      </c>
      <c r="F553" t="inlineStr">
        <is>
          <t>GÄVLEBORGS LÄN</t>
        </is>
      </c>
      <c r="G553" t="inlineStr">
        <is>
          <t>SÖDERHAMN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63431-2021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44508</v>
      </c>
      <c r="E554" s="1" t="n">
        <v>46283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46062</v>
      </c>
      <c r="E555" s="1" t="n">
        <v>46283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46283</v>
      </c>
      <c r="F556" t="inlineStr">
        <is>
          <t>GÄVLEBORGS LÄN</t>
        </is>
      </c>
      <c r="G556" t="inlineStr">
        <is>
          <t>SÖDERHAMN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34976-2024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45527</v>
      </c>
      <c r="E557" s="1" t="n">
        <v>46283</v>
      </c>
      <c r="F557" t="inlineStr">
        <is>
          <t>GÄVLEBORGS LÄN</t>
        </is>
      </c>
      <c r="G557" t="inlineStr">
        <is>
          <t>SÖDERHAMN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46283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56933-2024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45628</v>
      </c>
      <c r="E559" s="1" t="n">
        <v>46283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45677</v>
      </c>
      <c r="E560" s="1" t="n">
        <v>46283</v>
      </c>
      <c r="F560" t="inlineStr">
        <is>
          <t>GÄVLEBORGS LÄN</t>
        </is>
      </c>
      <c r="G560" t="inlineStr">
        <is>
          <t>SÖDERHAMN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46283</v>
      </c>
      <c r="F561" t="inlineStr">
        <is>
          <t>GÄVLEBORGS LÄN</t>
        </is>
      </c>
      <c r="G561" t="inlineStr">
        <is>
          <t>SÖDERHAMN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46283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45771</v>
      </c>
      <c r="E563" s="1" t="n">
        <v>46283</v>
      </c>
      <c r="F563" t="inlineStr">
        <is>
          <t>GÄVLEBORGS LÄN</t>
        </is>
      </c>
      <c r="G563" t="inlineStr">
        <is>
          <t>SÖDERHAMN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46283</v>
      </c>
      <c r="F564" t="inlineStr">
        <is>
          <t>GÄVLEBORGS LÄN</t>
        </is>
      </c>
      <c r="G564" t="inlineStr">
        <is>
          <t>SÖDERHAMN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45062</v>
      </c>
      <c r="E565" s="1" t="n">
        <v>46283</v>
      </c>
      <c r="F565" t="inlineStr">
        <is>
          <t>GÄVLEBORGS LÄN</t>
        </is>
      </c>
      <c r="G565" t="inlineStr">
        <is>
          <t>SÖDERHAMN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41221-2022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44826</v>
      </c>
      <c r="E566" s="1" t="n">
        <v>46283</v>
      </c>
      <c r="F566" t="inlineStr">
        <is>
          <t>GÄVLEBORGS LÄN</t>
        </is>
      </c>
      <c r="G566" t="inlineStr">
        <is>
          <t>SÖDERHAMN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45588</v>
      </c>
      <c r="E567" s="1" t="n">
        <v>46283</v>
      </c>
      <c r="F567" t="inlineStr">
        <is>
          <t>GÄVLEBORGS LÄN</t>
        </is>
      </c>
      <c r="G567" t="inlineStr">
        <is>
          <t>SÖDERHAMN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46006-2024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45580</v>
      </c>
      <c r="E568" s="1" t="n">
        <v>46283</v>
      </c>
      <c r="F568" t="inlineStr">
        <is>
          <t>GÄVLEBORGS LÄN</t>
        </is>
      </c>
      <c r="G568" t="inlineStr">
        <is>
          <t>SÖDERHAMN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59000-2023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46283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50066-2023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45215</v>
      </c>
      <c r="E570" s="1" t="n">
        <v>46283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45108</v>
      </c>
      <c r="E571" s="1" t="n">
        <v>46283</v>
      </c>
      <c r="F571" t="inlineStr">
        <is>
          <t>GÄVLEBORGS LÄN</t>
        </is>
      </c>
      <c r="G571" t="inlineStr">
        <is>
          <t>SÖDERHAMN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15499-2025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46283</v>
      </c>
      <c r="F572" t="inlineStr">
        <is>
          <t>GÄVLEBORGS LÄN</t>
        </is>
      </c>
      <c r="G572" t="inlineStr">
        <is>
          <t>SÖDERHAMN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49281-2024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45595</v>
      </c>
      <c r="E573" s="1" t="n">
        <v>46283</v>
      </c>
      <c r="F573" t="inlineStr">
        <is>
          <t>GÄVLEBORGS LÄN</t>
        </is>
      </c>
      <c r="G573" t="inlineStr">
        <is>
          <t>SÖDERHAMN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46283</v>
      </c>
      <c r="F574" t="inlineStr">
        <is>
          <t>GÄVLEBORGS LÄN</t>
        </is>
      </c>
      <c r="G574" t="inlineStr">
        <is>
          <t>SÖDERHAMN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14472-2024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46283</v>
      </c>
      <c r="F575" t="inlineStr">
        <is>
          <t>GÄVLEBORGS LÄN</t>
        </is>
      </c>
      <c r="G575" t="inlineStr">
        <is>
          <t>SÖDERHAMN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45562</v>
      </c>
      <c r="E576" s="1" t="n">
        <v>46283</v>
      </c>
      <c r="F576" t="inlineStr">
        <is>
          <t>GÄVLEBORGS LÄN</t>
        </is>
      </c>
      <c r="G576" t="inlineStr">
        <is>
          <t>SÖDERHAMN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46283</v>
      </c>
      <c r="F577" t="inlineStr">
        <is>
          <t>GÄVLEBORGS LÄN</t>
        </is>
      </c>
      <c r="G577" t="inlineStr">
        <is>
          <t>SÖDERHAMN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16188-2025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45750</v>
      </c>
      <c r="E578" s="1" t="n">
        <v>46283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Kommuner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46283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55713-2024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46283</v>
      </c>
      <c r="F580" t="inlineStr">
        <is>
          <t>GÄVLEBORGS LÄN</t>
        </is>
      </c>
      <c r="G580" t="inlineStr">
        <is>
          <t>SÖDERHAMN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45219</v>
      </c>
      <c r="E581" s="1" t="n">
        <v>46283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Kommuner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45748</v>
      </c>
      <c r="E582" s="1" t="n">
        <v>46283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22212-2023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45069</v>
      </c>
      <c r="E583" s="1" t="n">
        <v>46283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45296</v>
      </c>
      <c r="E584" s="1" t="n">
        <v>46283</v>
      </c>
      <c r="F584" t="inlineStr">
        <is>
          <t>GÄVLEBORGS LÄN</t>
        </is>
      </c>
      <c r="G584" t="inlineStr">
        <is>
          <t>SÖDERHAMN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4497-2024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45327</v>
      </c>
      <c r="E585" s="1" t="n">
        <v>46283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7972-2025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45707</v>
      </c>
      <c r="E586" s="1" t="n">
        <v>46283</v>
      </c>
      <c r="F586" t="inlineStr">
        <is>
          <t>GÄVLEBORGS LÄN</t>
        </is>
      </c>
      <c r="G586" t="inlineStr">
        <is>
          <t>SÖDERHAMN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58281-2024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45632</v>
      </c>
      <c r="E587" s="1" t="n">
        <v>46283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53916-2024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45615</v>
      </c>
      <c r="E588" s="1" t="n">
        <v>46283</v>
      </c>
      <c r="F588" t="inlineStr">
        <is>
          <t>GÄVLEBORGS LÄN</t>
        </is>
      </c>
      <c r="G588" t="inlineStr">
        <is>
          <t>SÖDERHAMN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61680-2023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45265</v>
      </c>
      <c r="E589" s="1" t="n">
        <v>46283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45779</v>
      </c>
      <c r="E590" s="1" t="n">
        <v>46283</v>
      </c>
      <c r="F590" t="inlineStr">
        <is>
          <t>GÄVLEBORGS LÄN</t>
        </is>
      </c>
      <c r="G590" t="inlineStr">
        <is>
          <t>SÖDERHAMN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45420</v>
      </c>
      <c r="E591" s="1" t="n">
        <v>46283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47676-2024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45588</v>
      </c>
      <c r="E592" s="1" t="n">
        <v>46283</v>
      </c>
      <c r="F592" t="inlineStr">
        <is>
          <t>GÄVLEBORGS LÄN</t>
        </is>
      </c>
      <c r="G592" t="inlineStr">
        <is>
          <t>SÖDERHAMN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46283</v>
      </c>
      <c r="F593" t="inlineStr">
        <is>
          <t>GÄVLEBORGS LÄN</t>
        </is>
      </c>
      <c r="G593" t="inlineStr">
        <is>
          <t>SÖDERHAMN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45149</v>
      </c>
      <c r="E594" s="1" t="n">
        <v>46283</v>
      </c>
      <c r="F594" t="inlineStr">
        <is>
          <t>GÄVLEBORGS LÄN</t>
        </is>
      </c>
      <c r="G594" t="inlineStr">
        <is>
          <t>SÖDERHAMN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46283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46283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46283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46283</v>
      </c>
      <c r="F598" t="inlineStr">
        <is>
          <t>GÄVLEBORGS LÄN</t>
        </is>
      </c>
      <c r="G598" t="inlineStr">
        <is>
          <t>SÖDERHAMN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45442</v>
      </c>
      <c r="E599" s="1" t="n">
        <v>46283</v>
      </c>
      <c r="F599" t="inlineStr">
        <is>
          <t>GÄVLEBORGS LÄN</t>
        </is>
      </c>
      <c r="G599" t="inlineStr">
        <is>
          <t>SÖDERHAMN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20166-2022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44698</v>
      </c>
      <c r="E600" s="1" t="n">
        <v>46283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45643</v>
      </c>
      <c r="E601" s="1" t="n">
        <v>46283</v>
      </c>
      <c r="F601" t="inlineStr">
        <is>
          <t>GÄVLEBORGS LÄN</t>
        </is>
      </c>
      <c r="G601" t="inlineStr">
        <is>
          <t>SÖDERHAMN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46283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31676-2022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44776</v>
      </c>
      <c r="E603" s="1" t="n">
        <v>46283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25900-2024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45467</v>
      </c>
      <c r="E604" s="1" t="n">
        <v>46283</v>
      </c>
      <c r="F604" t="inlineStr">
        <is>
          <t>GÄVLEBORGS LÄN</t>
        </is>
      </c>
      <c r="G604" t="inlineStr">
        <is>
          <t>SÖDERHAMN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25036-2025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46283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46283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45805</v>
      </c>
      <c r="E607" s="1" t="n">
        <v>46283</v>
      </c>
      <c r="F607" t="inlineStr">
        <is>
          <t>GÄVLEBORGS LÄN</t>
        </is>
      </c>
      <c r="G607" t="inlineStr">
        <is>
          <t>SÖDERHAMN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26187-2025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45805</v>
      </c>
      <c r="E608" s="1" t="n">
        <v>46283</v>
      </c>
      <c r="F608" t="inlineStr">
        <is>
          <t>GÄVLEBORGS LÄN</t>
        </is>
      </c>
      <c r="G608" t="inlineStr">
        <is>
          <t>SÖDERHAMN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54799-2022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44883</v>
      </c>
      <c r="E609" s="1" t="n">
        <v>46283</v>
      </c>
      <c r="F609" t="inlineStr">
        <is>
          <t>GÄVLEBORGS LÄN</t>
        </is>
      </c>
      <c r="G609" t="inlineStr">
        <is>
          <t>SÖDERHAMN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62903-2023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45272</v>
      </c>
      <c r="E610" s="1" t="n">
        <v>46283</v>
      </c>
      <c r="F610" t="inlineStr">
        <is>
          <t>GÄVLEBORGS LÄN</t>
        </is>
      </c>
      <c r="G610" t="inlineStr">
        <is>
          <t>SÖDERHAMN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45810</v>
      </c>
      <c r="E611" s="1" t="n">
        <v>46283</v>
      </c>
      <c r="F611" t="inlineStr">
        <is>
          <t>GÄVLEBORGS LÄN</t>
        </is>
      </c>
      <c r="G611" t="inlineStr">
        <is>
          <t>SÖDERHAMN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45762</v>
      </c>
      <c r="E612" s="1" t="n">
        <v>46283</v>
      </c>
      <c r="F612" t="inlineStr">
        <is>
          <t>GÄVLEBORGS LÄN</t>
        </is>
      </c>
      <c r="G612" t="inlineStr">
        <is>
          <t>SÖDERHAMN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168-2022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46283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56.6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170-2022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46283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87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175-2022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46283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45.7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15-2024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45293</v>
      </c>
      <c r="E616" s="1" t="n">
        <v>46283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17.7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3155-2025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45973</v>
      </c>
      <c r="E617" s="1" t="n">
        <v>46283</v>
      </c>
      <c r="F617" t="inlineStr">
        <is>
          <t>GÄVLEBORGS LÄN</t>
        </is>
      </c>
      <c r="G617" t="inlineStr">
        <is>
          <t>SÖDERHAMN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2026-09-18T02:04:30Z</dcterms:created>
  <dcterms:modified xmlns:dcterms="http://purl.org/dc/terms/" xmlns:xsi="http://www.w3.org/2001/XMLSchema-instance" xsi:type="dcterms:W3CDTF">2026-09-18T02:04:31Z</dcterms:modified>
</cp:coreProperties>
</file>