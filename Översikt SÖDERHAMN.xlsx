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46273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46273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46273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46273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46273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46273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46273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46273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46273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Korallblylav
Stuplav</t>
        </is>
      </c>
      <c r="W19">
        <f>HYPERLINK("https://klasma.github.io/Logging_2182/artfynd/A 23333-2026 artfynd.xlsx", "A 23333-2026")</f>
        <v/>
      </c>
      <c r="X19">
        <f>HYPERLINK("https://klasma.github.io/Logging_2182/kartor/A 23333-2026 karta.png", "A 23333-2026")</f>
        <v/>
      </c>
      <c r="Y19">
        <f>HYPERLINK("https://klasma.github.io/Logging_2182/kartor_geotiff/A 23333-2026 georefererad karta.tif", "A 23333-2026")</f>
        <v/>
      </c>
      <c r="AA19">
        <f>HYPERLINK("https://klasma.github.io/Logging_2182/klagomål/A 23333-2026 FSC-klagomål.docx", "A 23333-2026")</f>
        <v/>
      </c>
      <c r="AB19">
        <f>HYPERLINK("https://klasma.github.io/Logging_2182/klagomålsmail/A 23333-2026 FSC-klagomål mail.docx", "A 23333-2026")</f>
        <v/>
      </c>
      <c r="AC19">
        <f>HYPERLINK("https://klasma.github.io/Logging_2182/tillsyn/A 23333-2026 tillsynsbegäran.docx", "A 23333-2026")</f>
        <v/>
      </c>
      <c r="AD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46273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46273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46273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46273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46273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46273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46273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46273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46273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46273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17412-2023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46273</v>
      </c>
      <c r="F30" t="inlineStr">
        <is>
          <t>GÄVLEBORGS LÄN</t>
        </is>
      </c>
      <c r="G30" t="inlineStr">
        <is>
          <t>SÖDERHAMN</t>
        </is>
      </c>
      <c r="I30" t="n">
        <v>4.8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HYPERLINK("https://klasma.github.io/Logging_2182/artfynd/A 17412-2023 artfynd.xlsx", "A 17412-2023")</f>
        <v/>
      </c>
      <c r="X30">
        <f>HYPERLINK("https://klasma.github.io/Logging_2182/kartor/A 17412-2023 karta.png", "A 17412-2023")</f>
        <v/>
      </c>
      <c r="Y30">
        <f>HYPERLINK("https://klasma.github.io/Logging_2182/kartor_geotiff/A 17412-2023 georefererad karta.tif", "A 17412-2023")</f>
        <v/>
      </c>
      <c r="AA30">
        <f>HYPERLINK("https://klasma.github.io/Logging_2182/klagomål/A 17412-2023 FSC-klagomål.docx", "A 17412-2023")</f>
        <v/>
      </c>
      <c r="AB30">
        <f>HYPERLINK("https://klasma.github.io/Logging_2182/klagomålsmail/A 17412-2023 FSC-klagomål mail.docx", "A 17412-2023")</f>
        <v/>
      </c>
      <c r="AC30">
        <f>HYPERLINK("https://klasma.github.io/Logging_2182/tillsyn/A 17412-2023 tillsynsbegäran.docx", "A 17412-2023")</f>
        <v/>
      </c>
      <c r="AD30">
        <f>HYPERLINK("https://klasma.github.io/Logging_2182/tillsynsmail/A 17412-2023 tillsynsbegäran mail.docx", "A 17412-2023")</f>
        <v/>
      </c>
    </row>
    <row r="31" ht="15" customHeight="1">
      <c r="A31" t="inlineStr">
        <is>
          <t>A 55768-2025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45972</v>
      </c>
      <c r="E31" s="1" t="n">
        <v>46273</v>
      </c>
      <c r="F31" t="inlineStr">
        <is>
          <t>GÄVLEBORGS LÄN</t>
        </is>
      </c>
      <c r="G31" t="inlineStr">
        <is>
          <t>SÖDERHAMN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Sydlig ladlav</t>
        </is>
      </c>
      <c r="W31">
        <f>HYPERLINK("https://klasma.github.io/Logging_2182/artfynd/A 55768-2025 artfynd.xlsx", "A 55768-2025")</f>
        <v/>
      </c>
      <c r="X31">
        <f>HYPERLINK("https://klasma.github.io/Logging_2182/kartor/A 55768-2025 karta.png", "A 55768-2025")</f>
        <v/>
      </c>
      <c r="Y31">
        <f>HYPERLINK("https://klasma.github.io/Logging_2182/kartor_geotiff/A 55768-2025 georefererad karta.tif", "A 55768-2025")</f>
        <v/>
      </c>
      <c r="AA31">
        <f>HYPERLINK("https://klasma.github.io/Logging_2182/klagomål/A 55768-2025 FSC-klagomål.docx", "A 55768-2025")</f>
        <v/>
      </c>
      <c r="AB31">
        <f>HYPERLINK("https://klasma.github.io/Logging_2182/klagomålsmail/A 55768-2025 FSC-klagomål mail.docx", "A 55768-2025")</f>
        <v/>
      </c>
      <c r="AC31">
        <f>HYPERLINK("https://klasma.github.io/Logging_2182/tillsyn/A 55768-2025 tillsynsbegäran.docx", "A 55768-2025")</f>
        <v/>
      </c>
      <c r="AD31">
        <f>HYPERLINK("https://klasma.github.io/Logging_2182/tillsynsmail/A 55768-2025 tillsynsbegäran mail.docx", "A 55768-2025")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46273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46273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59848-2025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45992</v>
      </c>
      <c r="E34" s="1" t="n">
        <v>46273</v>
      </c>
      <c r="F34" t="inlineStr">
        <is>
          <t>GÄVLEBORGS LÄN</t>
        </is>
      </c>
      <c r="G34" t="inlineStr">
        <is>
          <t>SÖDERHAMN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59848-2025 artfynd.xlsx", "A 59848-2025")</f>
        <v/>
      </c>
      <c r="X34">
        <f>HYPERLINK("https://klasma.github.io/Logging_2182/kartor/A 59848-2025 karta.png", "A 59848-2025")</f>
        <v/>
      </c>
      <c r="Y34">
        <f>HYPERLINK("https://klasma.github.io/Logging_2182/kartor_geotiff/A 59848-2025 georefererad karta.tif", "A 59848-2025")</f>
        <v/>
      </c>
      <c r="AA34">
        <f>HYPERLINK("https://klasma.github.io/Logging_2182/klagomål/A 59848-2025 FSC-klagomål.docx", "A 59848-2025")</f>
        <v/>
      </c>
      <c r="AB34">
        <f>HYPERLINK("https://klasma.github.io/Logging_2182/klagomålsmail/A 59848-2025 FSC-klagomål mail.docx", "A 59848-2025")</f>
        <v/>
      </c>
      <c r="AC34">
        <f>HYPERLINK("https://klasma.github.io/Logging_2182/tillsyn/A 59848-2025 tillsynsbegäran.docx", "A 59848-2025")</f>
        <v/>
      </c>
      <c r="AD34">
        <f>HYPERLINK("https://klasma.github.io/Logging_2182/tillsynsmail/A 59848-2025 tillsynsbegäran mail.docx", "A 59848-2025")</f>
        <v/>
      </c>
    </row>
    <row r="35" ht="15" customHeight="1">
      <c r="A35" t="inlineStr">
        <is>
          <t>A 60301-2025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46273</v>
      </c>
      <c r="F35" t="inlineStr">
        <is>
          <t>GÄVLEBORGS LÄN</t>
        </is>
      </c>
      <c r="G35" t="inlineStr">
        <is>
          <t>SÖDERHAMN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HYPERLINK("https://klasma.github.io/Logging_2182/artfynd/A 60301-2025 artfynd.xlsx", "A 60301-2025")</f>
        <v/>
      </c>
      <c r="X35">
        <f>HYPERLINK("https://klasma.github.io/Logging_2182/kartor/A 60301-2025 karta.png", "A 60301-2025")</f>
        <v/>
      </c>
      <c r="Y35">
        <f>HYPERLINK("https://klasma.github.io/Logging_2182/kartor_geotiff/A 60301-2025 georefererad karta.tif", "A 60301-2025")</f>
        <v/>
      </c>
      <c r="AA35">
        <f>HYPERLINK("https://klasma.github.io/Logging_2182/klagomål/A 60301-2025 FSC-klagomål.docx", "A 60301-2025")</f>
        <v/>
      </c>
      <c r="AB35">
        <f>HYPERLINK("https://klasma.github.io/Logging_2182/klagomålsmail/A 60301-2025 FSC-klagomål mail.docx", "A 60301-2025")</f>
        <v/>
      </c>
      <c r="AC35">
        <f>HYPERLINK("https://klasma.github.io/Logging_2182/tillsyn/A 60301-2025 tillsynsbegäran.docx", "A 60301-2025")</f>
        <v/>
      </c>
      <c r="AD35">
        <f>HYPERLINK("https://klasma.github.io/Logging_2182/tillsynsmail/A 60301-2025 tillsynsbegäran mail.docx", "A 60301-2025")</f>
        <v/>
      </c>
    </row>
    <row r="36" ht="15" customHeight="1">
      <c r="A36" t="inlineStr">
        <is>
          <t>A 60318-2025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46273</v>
      </c>
      <c r="F36" t="inlineStr">
        <is>
          <t>GÄVLEBORGS LÄN</t>
        </is>
      </c>
      <c r="G36" t="inlineStr">
        <is>
          <t>SÖDERHAMN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60318-2025 artfynd.xlsx", "A 60318-2025")</f>
        <v/>
      </c>
      <c r="X36">
        <f>HYPERLINK("https://klasma.github.io/Logging_2182/kartor/A 60318-2025 karta.png", "A 60318-2025")</f>
        <v/>
      </c>
      <c r="Y36">
        <f>HYPERLINK("https://klasma.github.io/Logging_2182/kartor_geotiff/A 60318-2025 georefererad karta.tif", "A 60318-2025")</f>
        <v/>
      </c>
      <c r="AA36">
        <f>HYPERLINK("https://klasma.github.io/Logging_2182/klagomål/A 60318-2025 FSC-klagomål.docx", "A 60318-2025")</f>
        <v/>
      </c>
      <c r="AB36">
        <f>HYPERLINK("https://klasma.github.io/Logging_2182/klagomålsmail/A 60318-2025 FSC-klagomål mail.docx", "A 60318-2025")</f>
        <v/>
      </c>
      <c r="AC36">
        <f>HYPERLINK("https://klasma.github.io/Logging_2182/tillsyn/A 60318-2025 tillsynsbegäran.docx", "A 60318-2025")</f>
        <v/>
      </c>
      <c r="AD36">
        <f>HYPERLINK("https://klasma.github.io/Logging_2182/tillsynsmail/A 60318-2025 tillsynsbegäran mail.docx", "A 60318-2025")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46273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58077-2024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46273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Motaggsvamp</t>
        </is>
      </c>
      <c r="W38">
        <f>HYPERLINK("https://klasma.github.io/Logging_2182/artfynd/A 58077-2024 artfynd.xlsx", "A 58077-2024")</f>
        <v/>
      </c>
      <c r="X38">
        <f>HYPERLINK("https://klasma.github.io/Logging_2182/kartor/A 58077-2024 karta.png", "A 58077-2024")</f>
        <v/>
      </c>
      <c r="Y38">
        <f>HYPERLINK("https://klasma.github.io/Logging_2182/kartor_geotiff/A 58077-2024 georefererad karta.tif", "A 58077-2024")</f>
        <v/>
      </c>
      <c r="AA38">
        <f>HYPERLINK("https://klasma.github.io/Logging_2182/klagomål/A 58077-2024 FSC-klagomål.docx", "A 58077-2024")</f>
        <v/>
      </c>
      <c r="AB38">
        <f>HYPERLINK("https://klasma.github.io/Logging_2182/klagomålsmail/A 58077-2024 FSC-klagomål mail.docx", "A 58077-2024")</f>
        <v/>
      </c>
      <c r="AC38">
        <f>HYPERLINK("https://klasma.github.io/Logging_2182/tillsyn/A 58077-2024 tillsynsbegäran.docx", "A 58077-2024")</f>
        <v/>
      </c>
      <c r="AD38">
        <f>HYPERLINK("https://klasma.github.io/Logging_2182/tillsynsmail/A 58077-2024 tillsynsbegäran mail.docx", "A 58077-2024")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46273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46273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Barkticka</t>
        </is>
      </c>
      <c r="W40">
        <f>HYPERLINK("https://klasma.github.io/Logging_2182/artfynd/A 6060-2026 artfynd.xlsx", "A 6060-2026")</f>
        <v/>
      </c>
      <c r="X40">
        <f>HYPERLINK("https://klasma.github.io/Logging_2182/kartor/A 6060-2026 karta.png", "A 6060-2026")</f>
        <v/>
      </c>
      <c r="Y40">
        <f>HYPERLINK("https://klasma.github.io/Logging_2182/kartor_geotiff/A 6060-2026 georefererad karta.tif", "A 6060-2026")</f>
        <v/>
      </c>
      <c r="AA40">
        <f>HYPERLINK("https://klasma.github.io/Logging_2182/klagomål/A 6060-2026 FSC-klagomål.docx", "A 6060-2026")</f>
        <v/>
      </c>
      <c r="AB40">
        <f>HYPERLINK("https://klasma.github.io/Logging_2182/klagomålsmail/A 6060-2026 FSC-klagomål mail.docx", "A 6060-2026")</f>
        <v/>
      </c>
      <c r="AC40">
        <f>HYPERLINK("https://klasma.github.io/Logging_2182/tillsyn/A 6060-2026 tillsynsbegäran.docx", "A 6060-2026")</f>
        <v/>
      </c>
      <c r="AD40">
        <f>HYPERLINK("https://klasma.github.io/Logging_2182/tillsynsmail/A 6060-2026 tillsynsbegäran mail.docx", "A 6060-2026")</f>
        <v/>
      </c>
    </row>
    <row r="41" ht="15" customHeight="1">
      <c r="A41" t="inlineStr">
        <is>
          <t>A 9284-2026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46273</v>
      </c>
      <c r="F41" t="inlineStr">
        <is>
          <t>GÄVLEBORGS LÄN</t>
        </is>
      </c>
      <c r="G41" t="inlineStr">
        <is>
          <t>SÖDERHAMN</t>
        </is>
      </c>
      <c r="I41" t="n">
        <v>0.2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HYPERLINK("https://klasma.github.io/Logging_2182/artfynd/A 9284-2026 artfynd.xlsx", "A 9284-2026")</f>
        <v/>
      </c>
      <c r="X41">
        <f>HYPERLINK("https://klasma.github.io/Logging_2182/kartor/A 9284-2026 karta.png", "A 9284-2026")</f>
        <v/>
      </c>
      <c r="Y41">
        <f>HYPERLINK("https://klasma.github.io/Logging_2182/kartor_geotiff/A 9284-2026 georefererad karta.tif", "A 9284-2026")</f>
        <v/>
      </c>
      <c r="Z41">
        <f>HYPERLINK("https://klasma.github.io/Logging_2182/knärot/A 9284-2026 karta knärot.png", "A 9284-2026")</f>
        <v/>
      </c>
      <c r="AA41">
        <f>HYPERLINK("https://klasma.github.io/Logging_2182/klagomål/A 9284-2026 FSC-klagomål.docx", "A 9284-2026")</f>
        <v/>
      </c>
      <c r="AB41">
        <f>HYPERLINK("https://klasma.github.io/Logging_2182/klagomålsmail/A 9284-2026 FSC-klagomål mail.docx", "A 9284-2026")</f>
        <v/>
      </c>
      <c r="AC41">
        <f>HYPERLINK("https://klasma.github.io/Logging_2182/tillsyn/A 9284-2026 tillsynsbegäran.docx", "A 9284-2026")</f>
        <v/>
      </c>
      <c r="AD41">
        <f>HYPERLINK("https://klasma.github.io/Logging_2182/tillsynsmail/A 9284-2026 tillsynsbegäran mail.docx", "A 9284-2026")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46273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46273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11791-2026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46273</v>
      </c>
      <c r="F44" t="inlineStr">
        <is>
          <t>GÄVLEBORGS LÄN</t>
        </is>
      </c>
      <c r="G44" t="inlineStr">
        <is>
          <t>SÖDERHAMN</t>
        </is>
      </c>
      <c r="I44" t="n">
        <v>8.1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HYPERLINK("https://klasma.github.io/Logging_2182/artfynd/A 11791-2026 artfynd.xlsx", "A 11791-2026")</f>
        <v/>
      </c>
      <c r="X44">
        <f>HYPERLINK("https://klasma.github.io/Logging_2182/kartor/A 11791-2026 karta.png", "A 11791-2026")</f>
        <v/>
      </c>
      <c r="Y44">
        <f>HYPERLINK("https://klasma.github.io/Logging_2182/kartor_geotiff/A 11791-2026 georefererad karta.tif", "A 11791-2026")</f>
        <v/>
      </c>
      <c r="AA44">
        <f>HYPERLINK("https://klasma.github.io/Logging_2182/klagomål/A 11791-2026 FSC-klagomål.docx", "A 11791-2026")</f>
        <v/>
      </c>
      <c r="AB44">
        <f>HYPERLINK("https://klasma.github.io/Logging_2182/klagomålsmail/A 11791-2026 FSC-klagomål mail.docx", "A 11791-2026")</f>
        <v/>
      </c>
      <c r="AC44">
        <f>HYPERLINK("https://klasma.github.io/Logging_2182/tillsyn/A 11791-2026 tillsynsbegäran.docx", "A 11791-2026")</f>
        <v/>
      </c>
      <c r="AD44">
        <f>HYPERLINK("https://klasma.github.io/Logging_2182/tillsynsmail/A 11791-2026 tillsynsbegäran mail.docx", "A 11791-2026")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46273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46273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46273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46273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46273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46273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46273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46273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46273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46273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46273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46273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46273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46273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46273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46273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46273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46273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46273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46273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46273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46273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46273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46273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46273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46273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46273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46273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46273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46273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46273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46273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46273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46273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46273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46273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46273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46273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46273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46273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46273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45008</v>
      </c>
      <c r="E88" s="1" t="n">
        <v>46273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46273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46273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46273</v>
      </c>
      <c r="F91" t="inlineStr">
        <is>
          <t>GÄVLEBORGS LÄN</t>
        </is>
      </c>
      <c r="G91" t="inlineStr">
        <is>
          <t>SÖDERHAMN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46273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46273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46273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46273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46273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46273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46273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46273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46273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46273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46273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46273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46273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46273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46273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46273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46273</v>
      </c>
      <c r="F108" t="inlineStr">
        <is>
          <t>GÄVLEBORGS LÄN</t>
        </is>
      </c>
      <c r="G108" t="inlineStr">
        <is>
          <t>SÖDERHAMN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46273</v>
      </c>
      <c r="F109" t="inlineStr">
        <is>
          <t>GÄVLEBORGS LÄN</t>
        </is>
      </c>
      <c r="G109" t="inlineStr">
        <is>
          <t>SÖDERHAMN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46273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46273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46273</v>
      </c>
      <c r="F112" t="inlineStr">
        <is>
          <t>GÄVLEBORGS LÄN</t>
        </is>
      </c>
      <c r="G112" t="inlineStr">
        <is>
          <t>SÖDERHAMN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46273</v>
      </c>
      <c r="F113" t="inlineStr">
        <is>
          <t>GÄVLEBORGS LÄN</t>
        </is>
      </c>
      <c r="G113" t="inlineStr">
        <is>
          <t>SÖDERHAMN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46273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46273</v>
      </c>
      <c r="F115" t="inlineStr">
        <is>
          <t>GÄVLEBORGS LÄN</t>
        </is>
      </c>
      <c r="G115" t="inlineStr">
        <is>
          <t>SÖDERHAMN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45566</v>
      </c>
      <c r="E116" s="1" t="n">
        <v>46273</v>
      </c>
      <c r="F116" t="inlineStr">
        <is>
          <t>GÄVLEBORGS LÄN</t>
        </is>
      </c>
      <c r="G116" t="inlineStr">
        <is>
          <t>SÖDERHAMN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45604</v>
      </c>
      <c r="E117" s="1" t="n">
        <v>46273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46273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46273</v>
      </c>
      <c r="F119" t="inlineStr">
        <is>
          <t>GÄVLEBORGS LÄN</t>
        </is>
      </c>
      <c r="G119" t="inlineStr">
        <is>
          <t>SÖDERHAMN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44937</v>
      </c>
      <c r="E120" s="1" t="n">
        <v>46273</v>
      </c>
      <c r="F120" t="inlineStr">
        <is>
          <t>GÄVLEBORGS LÄN</t>
        </is>
      </c>
      <c r="G120" t="inlineStr">
        <is>
          <t>SÖDERHAMN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46273</v>
      </c>
      <c r="F121" t="inlineStr">
        <is>
          <t>GÄVLEBORGS LÄN</t>
        </is>
      </c>
      <c r="G121" t="inlineStr">
        <is>
          <t>SÖDERHAMN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46273</v>
      </c>
      <c r="F122" t="inlineStr">
        <is>
          <t>GÄVLEBORGS LÄN</t>
        </is>
      </c>
      <c r="G122" t="inlineStr">
        <is>
          <t>SÖDERHAMN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46273</v>
      </c>
      <c r="F123" t="inlineStr">
        <is>
          <t>GÄVLEBORGS LÄN</t>
        </is>
      </c>
      <c r="G123" t="inlineStr">
        <is>
          <t>SÖDERHAMN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45260</v>
      </c>
      <c r="E124" s="1" t="n">
        <v>46273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48943-2024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46273</v>
      </c>
      <c r="F125" t="inlineStr">
        <is>
          <t>GÄVLEBORGS LÄN</t>
        </is>
      </c>
      <c r="G125" t="inlineStr">
        <is>
          <t>SÖDERHAMN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14850-2024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45398</v>
      </c>
      <c r="E126" s="1" t="n">
        <v>46273</v>
      </c>
      <c r="F126" t="inlineStr">
        <is>
          <t>GÄVLEBORGS LÄN</t>
        </is>
      </c>
      <c r="G126" t="inlineStr">
        <is>
          <t>SÖDERHAMN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34752-2024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45526</v>
      </c>
      <c r="E127" s="1" t="n">
        <v>46273</v>
      </c>
      <c r="F127" t="inlineStr">
        <is>
          <t>GÄVLEBORGS LÄN</t>
        </is>
      </c>
      <c r="G127" t="inlineStr">
        <is>
          <t>SÖDERHAMN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46273</v>
      </c>
      <c r="F128" t="inlineStr">
        <is>
          <t>GÄVLEBORGS LÄN</t>
        </is>
      </c>
      <c r="G128" t="inlineStr">
        <is>
          <t>SÖDERHAMN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46273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45426</v>
      </c>
      <c r="E130" s="1" t="n">
        <v>46273</v>
      </c>
      <c r="F130" t="inlineStr">
        <is>
          <t>GÄVLEBORGS LÄN</t>
        </is>
      </c>
      <c r="G130" t="inlineStr">
        <is>
          <t>SÖDERHAMN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44703-2024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45574</v>
      </c>
      <c r="E131" s="1" t="n">
        <v>46273</v>
      </c>
      <c r="F131" t="inlineStr">
        <is>
          <t>GÄVLEBORGS LÄN</t>
        </is>
      </c>
      <c r="G131" t="inlineStr">
        <is>
          <t>SÖDERHAMN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44956</v>
      </c>
      <c r="E132" s="1" t="n">
        <v>46273</v>
      </c>
      <c r="F132" t="inlineStr">
        <is>
          <t>GÄVLEBORGS LÄN</t>
        </is>
      </c>
      <c r="G132" t="inlineStr">
        <is>
          <t>SÖDERHAMN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52518-2024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45609</v>
      </c>
      <c r="E133" s="1" t="n">
        <v>46273</v>
      </c>
      <c r="F133" t="inlineStr">
        <is>
          <t>GÄVLEBORGS LÄN</t>
        </is>
      </c>
      <c r="G133" t="inlineStr">
        <is>
          <t>SÖDERHAMN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45609</v>
      </c>
      <c r="E134" s="1" t="n">
        <v>46273</v>
      </c>
      <c r="F134" t="inlineStr">
        <is>
          <t>GÄVLEBORGS LÄN</t>
        </is>
      </c>
      <c r="G134" t="inlineStr">
        <is>
          <t>SÖDERHAMN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55240-2024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45621</v>
      </c>
      <c r="E135" s="1" t="n">
        <v>46273</v>
      </c>
      <c r="F135" t="inlineStr">
        <is>
          <t>GÄVLEBORGS LÄN</t>
        </is>
      </c>
      <c r="G135" t="inlineStr">
        <is>
          <t>SÖDERHAMN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46273</v>
      </c>
      <c r="F136" t="inlineStr">
        <is>
          <t>GÄVLEBORGS LÄN</t>
        </is>
      </c>
      <c r="G136" t="inlineStr">
        <is>
          <t>SÖDERHAMN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46273</v>
      </c>
      <c r="F137" t="inlineStr">
        <is>
          <t>GÄVLEBORGS LÄN</t>
        </is>
      </c>
      <c r="G137" t="inlineStr">
        <is>
          <t>SÖDERHAMN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46058</v>
      </c>
      <c r="E138" s="1" t="n">
        <v>46273</v>
      </c>
      <c r="F138" t="inlineStr">
        <is>
          <t>GÄVLEBORGS LÄN</t>
        </is>
      </c>
      <c r="G138" t="inlineStr">
        <is>
          <t>SÖDERHAMN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46273</v>
      </c>
      <c r="F139" t="inlineStr">
        <is>
          <t>GÄVLEBORGS LÄN</t>
        </is>
      </c>
      <c r="G139" t="inlineStr">
        <is>
          <t>SÖDERHAMN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46273</v>
      </c>
      <c r="F140" t="inlineStr">
        <is>
          <t>GÄVLEBORGS LÄN</t>
        </is>
      </c>
      <c r="G140" t="inlineStr">
        <is>
          <t>SÖDERHAMN</t>
        </is>
      </c>
      <c r="H140" t="inlineStr">
        <is>
          <t>Bergvik skog väst AB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46273</v>
      </c>
      <c r="F141" t="inlineStr">
        <is>
          <t>GÄVLEBORGS LÄN</t>
        </is>
      </c>
      <c r="G141" t="inlineStr">
        <is>
          <t>SÖDERHAMN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46273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46273</v>
      </c>
      <c r="F143" t="inlineStr">
        <is>
          <t>GÄVLEBORGS LÄN</t>
        </is>
      </c>
      <c r="G143" t="inlineStr">
        <is>
          <t>SÖDERHAMN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46273</v>
      </c>
      <c r="F144" t="inlineStr">
        <is>
          <t>GÄVLEBORGS LÄN</t>
        </is>
      </c>
      <c r="G144" t="inlineStr">
        <is>
          <t>SÖDERHAMN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46273</v>
      </c>
      <c r="F145" t="inlineStr">
        <is>
          <t>GÄVLEBORGS LÄN</t>
        </is>
      </c>
      <c r="G145" t="inlineStr">
        <is>
          <t>SÖDERHAMN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46273</v>
      </c>
      <c r="F146" t="inlineStr">
        <is>
          <t>GÄVLEBORGS LÄN</t>
        </is>
      </c>
      <c r="G146" t="inlineStr">
        <is>
          <t>SÖDERHAMN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46273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46273</v>
      </c>
      <c r="F148" t="inlineStr">
        <is>
          <t>GÄVLEBORGS LÄN</t>
        </is>
      </c>
      <c r="G148" t="inlineStr">
        <is>
          <t>SÖDERHAMN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46041</v>
      </c>
      <c r="E149" s="1" t="n">
        <v>46273</v>
      </c>
      <c r="F149" t="inlineStr">
        <is>
          <t>GÄVLEBORGS LÄN</t>
        </is>
      </c>
      <c r="G149" t="inlineStr">
        <is>
          <t>SÖDERHAMN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46273</v>
      </c>
      <c r="F150" t="inlineStr">
        <is>
          <t>GÄVLEBORGS LÄN</t>
        </is>
      </c>
      <c r="G150" t="inlineStr">
        <is>
          <t>SÖDERHAMN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46273</v>
      </c>
      <c r="F151" t="inlineStr">
        <is>
          <t>GÄVLEBORGS LÄN</t>
        </is>
      </c>
      <c r="G151" t="inlineStr">
        <is>
          <t>SÖDERHAMN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46273</v>
      </c>
      <c r="F152" t="inlineStr">
        <is>
          <t>GÄVLEBORGS LÄN</t>
        </is>
      </c>
      <c r="G152" t="inlineStr">
        <is>
          <t>SÖDERHAMN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46273</v>
      </c>
      <c r="F153" t="inlineStr">
        <is>
          <t>GÄVLEBORGS LÄN</t>
        </is>
      </c>
      <c r="G153" t="inlineStr">
        <is>
          <t>SÖDERHAMN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46273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46132</v>
      </c>
      <c r="E155" s="1" t="n">
        <v>46273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46273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46273</v>
      </c>
      <c r="F157" t="inlineStr">
        <is>
          <t>GÄVLEBORGS LÄN</t>
        </is>
      </c>
      <c r="G157" t="inlineStr">
        <is>
          <t>SÖDERHAMN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44649</v>
      </c>
      <c r="E158" s="1" t="n">
        <v>46273</v>
      </c>
      <c r="F158" t="inlineStr">
        <is>
          <t>GÄVLEBORGS LÄN</t>
        </is>
      </c>
      <c r="G158" t="inlineStr">
        <is>
          <t>SÖDERHAMN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44757</v>
      </c>
      <c r="E159" s="1" t="n">
        <v>46273</v>
      </c>
      <c r="F159" t="inlineStr">
        <is>
          <t>GÄVLEBORGS LÄN</t>
        </is>
      </c>
      <c r="G159" t="inlineStr">
        <is>
          <t>SÖDERHAMN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46273</v>
      </c>
      <c r="F160" t="inlineStr">
        <is>
          <t>GÄVLEBORGS LÄN</t>
        </is>
      </c>
      <c r="G160" t="inlineStr">
        <is>
          <t>SÖDERHAMN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46273</v>
      </c>
      <c r="F161" t="inlineStr">
        <is>
          <t>GÄVLEBORGS LÄN</t>
        </is>
      </c>
      <c r="G161" t="inlineStr">
        <is>
          <t>SÖDERHAMN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44795</v>
      </c>
      <c r="E162" s="1" t="n">
        <v>46273</v>
      </c>
      <c r="F162" t="inlineStr">
        <is>
          <t>GÄVLEBORGS LÄN</t>
        </is>
      </c>
      <c r="G162" t="inlineStr">
        <is>
          <t>SÖDERHAMN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46273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45899</v>
      </c>
      <c r="E164" s="1" t="n">
        <v>46273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46273</v>
      </c>
      <c r="F165" t="inlineStr">
        <is>
          <t>GÄVLEBORGS LÄN</t>
        </is>
      </c>
      <c r="G165" t="inlineStr">
        <is>
          <t>SÖDERHAMN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46273</v>
      </c>
      <c r="F166" t="inlineStr">
        <is>
          <t>GÄVLEBORGS LÄN</t>
        </is>
      </c>
      <c r="G166" t="inlineStr">
        <is>
          <t>SÖDERHAMN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46273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45666</v>
      </c>
      <c r="E168" s="1" t="n">
        <v>46273</v>
      </c>
      <c r="F168" t="inlineStr">
        <is>
          <t>GÄVLEBORGS LÄN</t>
        </is>
      </c>
      <c r="G168" t="inlineStr">
        <is>
          <t>SÖDERHAMN</t>
        </is>
      </c>
      <c r="H168" t="inlineStr">
        <is>
          <t>Kommuner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46273</v>
      </c>
      <c r="F169" t="inlineStr">
        <is>
          <t>GÄVLEBORGS LÄN</t>
        </is>
      </c>
      <c r="G169" t="inlineStr">
        <is>
          <t>SÖDERHAMN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46273</v>
      </c>
      <c r="F170" t="inlineStr">
        <is>
          <t>GÄVLEBORGS LÄN</t>
        </is>
      </c>
      <c r="G170" t="inlineStr">
        <is>
          <t>SÖDERHAMN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46273</v>
      </c>
      <c r="F171" t="inlineStr">
        <is>
          <t>GÄVLEBORGS LÄN</t>
        </is>
      </c>
      <c r="G171" t="inlineStr">
        <is>
          <t>SÖDERHAMN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46273</v>
      </c>
      <c r="F172" t="inlineStr">
        <is>
          <t>GÄVLEBORGS LÄN</t>
        </is>
      </c>
      <c r="G172" t="inlineStr">
        <is>
          <t>SÖDERHAMN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46273</v>
      </c>
      <c r="F173" t="inlineStr">
        <is>
          <t>GÄVLEBORGS LÄN</t>
        </is>
      </c>
      <c r="G173" t="inlineStr">
        <is>
          <t>SÖDERHAMN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46273</v>
      </c>
      <c r="F174" t="inlineStr">
        <is>
          <t>GÄVLEBORGS LÄN</t>
        </is>
      </c>
      <c r="G174" t="inlineStr">
        <is>
          <t>SÖDERHAMN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45757</v>
      </c>
      <c r="E175" s="1" t="n">
        <v>46273</v>
      </c>
      <c r="F175" t="inlineStr">
        <is>
          <t>GÄVLEBORGS LÄN</t>
        </is>
      </c>
      <c r="G175" t="inlineStr">
        <is>
          <t>SÖDERHAMN</t>
        </is>
      </c>
      <c r="H175" t="inlineStr">
        <is>
          <t>Kommuner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46273</v>
      </c>
      <c r="F176" t="inlineStr">
        <is>
          <t>GÄVLEBORGS LÄN</t>
        </is>
      </c>
      <c r="G176" t="inlineStr">
        <is>
          <t>SÖDERHAMN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46273</v>
      </c>
      <c r="F177" t="inlineStr">
        <is>
          <t>GÄVLEBORGS LÄN</t>
        </is>
      </c>
      <c r="G177" t="inlineStr">
        <is>
          <t>SÖDERHAMN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46273</v>
      </c>
      <c r="F178" t="inlineStr">
        <is>
          <t>GÄVLEBORGS LÄN</t>
        </is>
      </c>
      <c r="G178" t="inlineStr">
        <is>
          <t>SÖDERHAMN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46273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46024</v>
      </c>
      <c r="E180" s="1" t="n">
        <v>46273</v>
      </c>
      <c r="F180" t="inlineStr">
        <is>
          <t>GÄVLEBORGS LÄN</t>
        </is>
      </c>
      <c r="G180" t="inlineStr">
        <is>
          <t>SÖDERHAMN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46043</v>
      </c>
      <c r="E181" s="1" t="n">
        <v>46273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45246</v>
      </c>
      <c r="E182" s="1" t="n">
        <v>46273</v>
      </c>
      <c r="F182" t="inlineStr">
        <is>
          <t>GÄVLEBORGS LÄN</t>
        </is>
      </c>
      <c r="G182" t="inlineStr">
        <is>
          <t>SÖDERHAMN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45219</v>
      </c>
      <c r="E183" s="1" t="n">
        <v>46273</v>
      </c>
      <c r="F183" t="inlineStr">
        <is>
          <t>GÄVLEBORGS LÄN</t>
        </is>
      </c>
      <c r="G183" t="inlineStr">
        <is>
          <t>SÖDERHAMN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46273</v>
      </c>
      <c r="F184" t="inlineStr">
        <is>
          <t>GÄVLEBORGS LÄN</t>
        </is>
      </c>
      <c r="G184" t="inlineStr">
        <is>
          <t>SÖDERHAMN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46085</v>
      </c>
      <c r="E185" s="1" t="n">
        <v>46273</v>
      </c>
      <c r="F185" t="inlineStr">
        <is>
          <t>GÄVLEBORGS LÄN</t>
        </is>
      </c>
      <c r="G185" t="inlineStr">
        <is>
          <t>SÖDERHAMN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46273</v>
      </c>
      <c r="F186" t="inlineStr">
        <is>
          <t>GÄVLEBORGS LÄN</t>
        </is>
      </c>
      <c r="G186" t="inlineStr">
        <is>
          <t>SÖDERHAMN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44837</v>
      </c>
      <c r="E187" s="1" t="n">
        <v>46273</v>
      </c>
      <c r="F187" t="inlineStr">
        <is>
          <t>GÄVLEBORGS LÄN</t>
        </is>
      </c>
      <c r="G187" t="inlineStr">
        <is>
          <t>SÖDERHAMN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46273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46273</v>
      </c>
      <c r="F189" t="inlineStr">
        <is>
          <t>GÄVLEBORGS LÄN</t>
        </is>
      </c>
      <c r="G189" t="inlineStr">
        <is>
          <t>SÖDERHAMN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45705</v>
      </c>
      <c r="E190" s="1" t="n">
        <v>46273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46273</v>
      </c>
      <c r="F191" t="inlineStr">
        <is>
          <t>GÄVLEBORGS LÄN</t>
        </is>
      </c>
      <c r="G191" t="inlineStr">
        <is>
          <t>SÖDERHAMN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46273</v>
      </c>
      <c r="F192" t="inlineStr">
        <is>
          <t>GÄVLEBORGS LÄN</t>
        </is>
      </c>
      <c r="G192" t="inlineStr">
        <is>
          <t>SÖDERHAMN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46273</v>
      </c>
      <c r="F193" t="inlineStr">
        <is>
          <t>GÄVLEBORGS LÄN</t>
        </is>
      </c>
      <c r="G193" t="inlineStr">
        <is>
          <t>SÖDERHAMN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46098</v>
      </c>
      <c r="E194" s="1" t="n">
        <v>46273</v>
      </c>
      <c r="F194" t="inlineStr">
        <is>
          <t>GÄVLEBORGS LÄN</t>
        </is>
      </c>
      <c r="G194" t="inlineStr">
        <is>
          <t>SÖDERHAMN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44824</v>
      </c>
      <c r="E195" s="1" t="n">
        <v>46273</v>
      </c>
      <c r="F195" t="inlineStr">
        <is>
          <t>GÄVLEBORGS LÄN</t>
        </is>
      </c>
      <c r="G195" t="inlineStr">
        <is>
          <t>SÖDERHAMN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46273</v>
      </c>
      <c r="F196" t="inlineStr">
        <is>
          <t>GÄVLEBORGS LÄN</t>
        </is>
      </c>
      <c r="G196" t="inlineStr">
        <is>
          <t>SÖDERHAMN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46273</v>
      </c>
      <c r="F197" t="inlineStr">
        <is>
          <t>GÄVLEBORGS LÄN</t>
        </is>
      </c>
      <c r="G197" t="inlineStr">
        <is>
          <t>SÖDERHAMN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46273</v>
      </c>
      <c r="F198" t="inlineStr">
        <is>
          <t>GÄVLEBORGS LÄN</t>
        </is>
      </c>
      <c r="G198" t="inlineStr">
        <is>
          <t>SÖDERHAMN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46273</v>
      </c>
      <c r="F199" t="inlineStr">
        <is>
          <t>GÄVLEBORGS LÄN</t>
        </is>
      </c>
      <c r="G199" t="inlineStr">
        <is>
          <t>SÖDERHAMN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46273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46097</v>
      </c>
      <c r="E201" s="1" t="n">
        <v>46273</v>
      </c>
      <c r="F201" t="inlineStr">
        <is>
          <t>GÄVLEBORGS LÄN</t>
        </is>
      </c>
      <c r="G201" t="inlineStr">
        <is>
          <t>SÖDERHAMN</t>
        </is>
      </c>
      <c r="I201" t="n">
        <v>14.2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45807-2022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46273</v>
      </c>
      <c r="F202" t="inlineStr">
        <is>
          <t>GÄVLEBORGS LÄN</t>
        </is>
      </c>
      <c r="G202" t="inlineStr">
        <is>
          <t>SÖDERHAMN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46024</v>
      </c>
      <c r="E203" s="1" t="n">
        <v>46273</v>
      </c>
      <c r="F203" t="inlineStr">
        <is>
          <t>GÄVLEBORGS LÄN</t>
        </is>
      </c>
      <c r="G203" t="inlineStr">
        <is>
          <t>SÖDERHAMN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45677</v>
      </c>
      <c r="E204" s="1" t="n">
        <v>46273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46146</v>
      </c>
      <c r="E205" s="1" t="n">
        <v>46273</v>
      </c>
      <c r="F205" t="inlineStr">
        <is>
          <t>GÄVLEBORGS LÄN</t>
        </is>
      </c>
      <c r="G205" t="inlineStr">
        <is>
          <t>SÖDERHAMN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46273</v>
      </c>
      <c r="F206" t="inlineStr">
        <is>
          <t>GÄVLEBORGS LÄN</t>
        </is>
      </c>
      <c r="G206" t="inlineStr">
        <is>
          <t>SÖDERHAMN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46273</v>
      </c>
      <c r="F207" t="inlineStr">
        <is>
          <t>GÄVLEBORGS LÄN</t>
        </is>
      </c>
      <c r="G207" t="inlineStr">
        <is>
          <t>SÖDERHAMN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55765-2025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45972</v>
      </c>
      <c r="E208" s="1" t="n">
        <v>46273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46273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46273</v>
      </c>
      <c r="F210" t="inlineStr">
        <is>
          <t>GÄVLEBORGS LÄN</t>
        </is>
      </c>
      <c r="G210" t="inlineStr">
        <is>
          <t>SÖDERHAMN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40745-2023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45170</v>
      </c>
      <c r="E211" s="1" t="n">
        <v>46273</v>
      </c>
      <c r="F211" t="inlineStr">
        <is>
          <t>GÄVLEBORGS LÄN</t>
        </is>
      </c>
      <c r="G211" t="inlineStr">
        <is>
          <t>SÖDERHAMN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46273</v>
      </c>
      <c r="F212" t="inlineStr">
        <is>
          <t>GÄVLEBORGS LÄN</t>
        </is>
      </c>
      <c r="G212" t="inlineStr">
        <is>
          <t>SÖDERHAMN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46147</v>
      </c>
      <c r="E213" s="1" t="n">
        <v>46273</v>
      </c>
      <c r="F213" t="inlineStr">
        <is>
          <t>GÄVLEBORGS LÄN</t>
        </is>
      </c>
      <c r="G213" t="inlineStr">
        <is>
          <t>SÖDERHAMN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46273</v>
      </c>
      <c r="F214" t="inlineStr">
        <is>
          <t>GÄVLEBORGS LÄN</t>
        </is>
      </c>
      <c r="G214" t="inlineStr">
        <is>
          <t>SÖDERHAMN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46273</v>
      </c>
      <c r="F215" t="inlineStr">
        <is>
          <t>GÄVLEBORGS LÄN</t>
        </is>
      </c>
      <c r="G215" t="inlineStr">
        <is>
          <t>SÖDERHAMN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46148</v>
      </c>
      <c r="E216" s="1" t="n">
        <v>46273</v>
      </c>
      <c r="F216" t="inlineStr">
        <is>
          <t>GÄVLEBORGS LÄN</t>
        </is>
      </c>
      <c r="G216" t="inlineStr">
        <is>
          <t>SÖDERHAMN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46147</v>
      </c>
      <c r="E217" s="1" t="n">
        <v>46273</v>
      </c>
      <c r="F217" t="inlineStr">
        <is>
          <t>GÄVLEBORGS LÄN</t>
        </is>
      </c>
      <c r="G217" t="inlineStr">
        <is>
          <t>SÖDERHAMN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46273</v>
      </c>
      <c r="F218" t="inlineStr">
        <is>
          <t>GÄVLEBORGS LÄN</t>
        </is>
      </c>
      <c r="G218" t="inlineStr">
        <is>
          <t>SÖDERHAMN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45750</v>
      </c>
      <c r="E219" s="1" t="n">
        <v>46273</v>
      </c>
      <c r="F219" t="inlineStr">
        <is>
          <t>GÄVLEBORGS LÄN</t>
        </is>
      </c>
      <c r="G219" t="inlineStr">
        <is>
          <t>SÖDERHAMN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45750</v>
      </c>
      <c r="E220" s="1" t="n">
        <v>46273</v>
      </c>
      <c r="F220" t="inlineStr">
        <is>
          <t>GÄVLEBORGS LÄN</t>
        </is>
      </c>
      <c r="G220" t="inlineStr">
        <is>
          <t>SÖDERHAMN</t>
        </is>
      </c>
      <c r="H220" t="inlineStr">
        <is>
          <t>Kommuner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46273</v>
      </c>
      <c r="F221" t="inlineStr">
        <is>
          <t>GÄVLEBORGS LÄN</t>
        </is>
      </c>
      <c r="G221" t="inlineStr">
        <is>
          <t>SÖDERHAMN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46273</v>
      </c>
      <c r="F222" t="inlineStr">
        <is>
          <t>GÄVLEBORGS LÄN</t>
        </is>
      </c>
      <c r="G222" t="inlineStr">
        <is>
          <t>SÖDERHAMN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46273</v>
      </c>
      <c r="F223" t="inlineStr">
        <is>
          <t>GÄVLEBORGS LÄN</t>
        </is>
      </c>
      <c r="G223" t="inlineStr">
        <is>
          <t>SÖDERHAMN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46273</v>
      </c>
      <c r="F224" t="inlineStr">
        <is>
          <t>GÄVLEBORGS LÄN</t>
        </is>
      </c>
      <c r="G224" t="inlineStr">
        <is>
          <t>SÖDERHAMN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46273</v>
      </c>
      <c r="F225" t="inlineStr">
        <is>
          <t>GÄVLEBORGS LÄN</t>
        </is>
      </c>
      <c r="G225" t="inlineStr">
        <is>
          <t>SÖDERHAMN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46273</v>
      </c>
      <c r="F226" t="inlineStr">
        <is>
          <t>GÄVLEBORGS LÄN</t>
        </is>
      </c>
      <c r="G226" t="inlineStr">
        <is>
          <t>SÖDERHAMN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44760</v>
      </c>
      <c r="E227" s="1" t="n">
        <v>46273</v>
      </c>
      <c r="F227" t="inlineStr">
        <is>
          <t>GÄVLEBORGS LÄN</t>
        </is>
      </c>
      <c r="G227" t="inlineStr">
        <is>
          <t>SÖDERHAMN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46273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46273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46273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46273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46273</v>
      </c>
      <c r="F232" t="inlineStr">
        <is>
          <t>GÄVLEBORGS LÄN</t>
        </is>
      </c>
      <c r="G232" t="inlineStr">
        <is>
          <t>SÖDERHAMN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46273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46273</v>
      </c>
      <c r="F234" t="inlineStr">
        <is>
          <t>GÄVLEBORGS LÄN</t>
        </is>
      </c>
      <c r="G234" t="inlineStr">
        <is>
          <t>SÖDERHAMN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46273</v>
      </c>
      <c r="F235" t="inlineStr">
        <is>
          <t>GÄVLEBORGS LÄN</t>
        </is>
      </c>
      <c r="G235" t="inlineStr">
        <is>
          <t>SÖDERHAMN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46273</v>
      </c>
      <c r="F236" t="inlineStr">
        <is>
          <t>GÄVLEBORGS LÄN</t>
        </is>
      </c>
      <c r="G236" t="inlineStr">
        <is>
          <t>SÖDERHAMN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46273</v>
      </c>
      <c r="F237" t="inlineStr">
        <is>
          <t>GÄVLEBORGS LÄN</t>
        </is>
      </c>
      <c r="G237" t="inlineStr">
        <is>
          <t>SÖDERHAMN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46273</v>
      </c>
      <c r="F238" t="inlineStr">
        <is>
          <t>GÄVLEBORGS LÄN</t>
        </is>
      </c>
      <c r="G238" t="inlineStr">
        <is>
          <t>SÖDERHAMN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46273</v>
      </c>
      <c r="F239" t="inlineStr">
        <is>
          <t>GÄVLEBORGS LÄN</t>
        </is>
      </c>
      <c r="G239" t="inlineStr">
        <is>
          <t>SÖDERHAMN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46273</v>
      </c>
      <c r="F240" t="inlineStr">
        <is>
          <t>GÄVLEBORGS LÄN</t>
        </is>
      </c>
      <c r="G240" t="inlineStr">
        <is>
          <t>SÖDERHAMN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46273</v>
      </c>
      <c r="F241" t="inlineStr">
        <is>
          <t>GÄVLEBORGS LÄN</t>
        </is>
      </c>
      <c r="G241" t="inlineStr">
        <is>
          <t>SÖDERHAMN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46273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46273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45764</v>
      </c>
      <c r="E244" s="1" t="n">
        <v>46273</v>
      </c>
      <c r="F244" t="inlineStr">
        <is>
          <t>GÄVLEBORGS LÄN</t>
        </is>
      </c>
      <c r="G244" t="inlineStr">
        <is>
          <t>SÖDERHAMN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46273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46273</v>
      </c>
      <c r="F246" t="inlineStr">
        <is>
          <t>GÄVLEBORGS LÄN</t>
        </is>
      </c>
      <c r="G246" t="inlineStr">
        <is>
          <t>SÖDERHAMN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46273</v>
      </c>
      <c r="F247" t="inlineStr">
        <is>
          <t>GÄVLEBORGS LÄN</t>
        </is>
      </c>
      <c r="G247" t="inlineStr">
        <is>
          <t>SÖDERHAMN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52913-2025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46273</v>
      </c>
      <c r="F248" t="inlineStr">
        <is>
          <t>GÄVLEBORGS LÄN</t>
        </is>
      </c>
      <c r="G248" t="inlineStr">
        <is>
          <t>SÖDERHAMN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23469-2026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46273</v>
      </c>
      <c r="F249" t="inlineStr">
        <is>
          <t>GÄVLEBORGS LÄN</t>
        </is>
      </c>
      <c r="G249" t="inlineStr">
        <is>
          <t>SÖDERHAMN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46273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46273</v>
      </c>
      <c r="F251" t="inlineStr">
        <is>
          <t>GÄVLEBORGS LÄN</t>
        </is>
      </c>
      <c r="G251" t="inlineStr">
        <is>
          <t>SÖDERHAMN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46273</v>
      </c>
      <c r="F252" t="inlineStr">
        <is>
          <t>GÄVLEBORGS LÄN</t>
        </is>
      </c>
      <c r="G252" t="inlineStr">
        <is>
          <t>SÖDERHAMN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46273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46273</v>
      </c>
      <c r="F254" t="inlineStr">
        <is>
          <t>GÄVLEBORGS LÄN</t>
        </is>
      </c>
      <c r="G254" t="inlineStr">
        <is>
          <t>SÖDERHAMN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46273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46273</v>
      </c>
      <c r="F256" t="inlineStr">
        <is>
          <t>GÄVLEBORGS LÄN</t>
        </is>
      </c>
      <c r="G256" t="inlineStr">
        <is>
          <t>SÖDERHAMN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46273</v>
      </c>
      <c r="F257" t="inlineStr">
        <is>
          <t>GÄVLEBORGS LÄN</t>
        </is>
      </c>
      <c r="G257" t="inlineStr">
        <is>
          <t>SÖDERHAMN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46273</v>
      </c>
      <c r="F258" t="inlineStr">
        <is>
          <t>GÄVLEBORGS LÄN</t>
        </is>
      </c>
      <c r="G258" t="inlineStr">
        <is>
          <t>SÖDERHAMN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45964</v>
      </c>
      <c r="E259" s="1" t="n">
        <v>46273</v>
      </c>
      <c r="F259" t="inlineStr">
        <is>
          <t>GÄVLEBORGS LÄN</t>
        </is>
      </c>
      <c r="G259" t="inlineStr">
        <is>
          <t>SÖDERHAMN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46273</v>
      </c>
      <c r="F260" t="inlineStr">
        <is>
          <t>GÄVLEBORGS LÄN</t>
        </is>
      </c>
      <c r="G260" t="inlineStr">
        <is>
          <t>SÖDERHAMN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46273</v>
      </c>
      <c r="F261" t="inlineStr">
        <is>
          <t>GÄVLEBORGS LÄN</t>
        </is>
      </c>
      <c r="G261" t="inlineStr">
        <is>
          <t>SÖDERHAMN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58544-2023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45251</v>
      </c>
      <c r="E262" s="1" t="n">
        <v>46273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46273</v>
      </c>
      <c r="F263" t="inlineStr">
        <is>
          <t>GÄVLEBORGS LÄN</t>
        </is>
      </c>
      <c r="G263" t="inlineStr">
        <is>
          <t>SÖDERHAMN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46273</v>
      </c>
      <c r="F264" t="inlineStr">
        <is>
          <t>GÄVLEBORGS LÄN</t>
        </is>
      </c>
      <c r="G264" t="inlineStr">
        <is>
          <t>SÖDERHAMN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44992</v>
      </c>
      <c r="E265" s="1" t="n">
        <v>46273</v>
      </c>
      <c r="F265" t="inlineStr">
        <is>
          <t>GÄVLEBORGS LÄN</t>
        </is>
      </c>
      <c r="G265" t="inlineStr">
        <is>
          <t>SÖDERHAMN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46165</v>
      </c>
      <c r="E266" s="1" t="n">
        <v>46273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59476-2022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44907</v>
      </c>
      <c r="E267" s="1" t="n">
        <v>46273</v>
      </c>
      <c r="F267" t="inlineStr">
        <is>
          <t>GÄVLEBORGS LÄN</t>
        </is>
      </c>
      <c r="G267" t="inlineStr">
        <is>
          <t>SÖDERHAMN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46273</v>
      </c>
      <c r="F268" t="inlineStr">
        <is>
          <t>GÄVLEBORGS LÄN</t>
        </is>
      </c>
      <c r="G268" t="inlineStr">
        <is>
          <t>SÖDERHAMN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46273</v>
      </c>
      <c r="F269" t="inlineStr">
        <is>
          <t>GÄVLEBORGS LÄN</t>
        </is>
      </c>
      <c r="G269" t="inlineStr">
        <is>
          <t>SÖDERHAMN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46273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46273</v>
      </c>
      <c r="F271" t="inlineStr">
        <is>
          <t>GÄVLEBORGS LÄN</t>
        </is>
      </c>
      <c r="G271" t="inlineStr">
        <is>
          <t>SÖDERHAMN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46273</v>
      </c>
      <c r="F272" t="inlineStr">
        <is>
          <t>GÄVLEBORGS LÄN</t>
        </is>
      </c>
      <c r="G272" t="inlineStr">
        <is>
          <t>SÖDERHAMN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46273</v>
      </c>
      <c r="F273" t="inlineStr">
        <is>
          <t>GÄVLEBORGS LÄN</t>
        </is>
      </c>
      <c r="G273" t="inlineStr">
        <is>
          <t>SÖDERHAMN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46097</v>
      </c>
      <c r="E274" s="1" t="n">
        <v>46273</v>
      </c>
      <c r="F274" t="inlineStr">
        <is>
          <t>GÄVLEBORGS LÄN</t>
        </is>
      </c>
      <c r="G274" t="inlineStr">
        <is>
          <t>SÖDERHAMN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46273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24766-2023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45084</v>
      </c>
      <c r="E276" s="1" t="n">
        <v>46273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46273</v>
      </c>
      <c r="F277" t="inlineStr">
        <is>
          <t>GÄVLEBORGS LÄN</t>
        </is>
      </c>
      <c r="G277" t="inlineStr">
        <is>
          <t>SÖDERHAMN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46273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41649-2024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46273</v>
      </c>
      <c r="F279" t="inlineStr">
        <is>
          <t>GÄVLEBORGS LÄN</t>
        </is>
      </c>
      <c r="G279" t="inlineStr">
        <is>
          <t>SÖDERHAMN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45560</v>
      </c>
      <c r="E280" s="1" t="n">
        <v>46273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55711-2025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45972</v>
      </c>
      <c r="E281" s="1" t="n">
        <v>46273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46273</v>
      </c>
      <c r="F282" t="inlineStr">
        <is>
          <t>GÄVLEBORGS LÄN</t>
        </is>
      </c>
      <c r="G282" t="inlineStr">
        <is>
          <t>SÖDERHAMN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55730-2025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45972</v>
      </c>
      <c r="E283" s="1" t="n">
        <v>46273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46273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46273</v>
      </c>
      <c r="F285" t="inlineStr">
        <is>
          <t>GÄVLEBORGS LÄN</t>
        </is>
      </c>
      <c r="G285" t="inlineStr">
        <is>
          <t>SÖDERHAMN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46273</v>
      </c>
      <c r="F286" t="inlineStr">
        <is>
          <t>GÄVLEBORGS LÄN</t>
        </is>
      </c>
      <c r="G286" t="inlineStr">
        <is>
          <t>SÖDERHAMN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46273</v>
      </c>
      <c r="F287" t="inlineStr">
        <is>
          <t>GÄVLEBORGS LÄN</t>
        </is>
      </c>
      <c r="G287" t="inlineStr">
        <is>
          <t>SÖDERHAMN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24918-2026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46273</v>
      </c>
      <c r="F288" t="inlineStr">
        <is>
          <t>GÄVLEBORGS LÄN</t>
        </is>
      </c>
      <c r="G288" t="inlineStr">
        <is>
          <t>SÖDERHAMN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46273</v>
      </c>
      <c r="F289" t="inlineStr">
        <is>
          <t>GÄVLEBORGS LÄN</t>
        </is>
      </c>
      <c r="G289" t="inlineStr">
        <is>
          <t>SÖDERHAMN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46273</v>
      </c>
      <c r="F290" t="inlineStr">
        <is>
          <t>GÄVLEBORGS LÄN</t>
        </is>
      </c>
      <c r="G290" t="inlineStr">
        <is>
          <t>SÖDERHAMN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53918-2025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45961</v>
      </c>
      <c r="E291" s="1" t="n">
        <v>46273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46273</v>
      </c>
      <c r="F292" t="inlineStr">
        <is>
          <t>GÄVLEBORGS LÄN</t>
        </is>
      </c>
      <c r="G292" t="inlineStr">
        <is>
          <t>SÖDERHAMN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46273</v>
      </c>
      <c r="F293" t="inlineStr">
        <is>
          <t>GÄVLEBORGS LÄN</t>
        </is>
      </c>
      <c r="G293" t="inlineStr">
        <is>
          <t>SÖDERHAMN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46273</v>
      </c>
      <c r="F294" t="inlineStr">
        <is>
          <t>GÄVLEBORGS LÄN</t>
        </is>
      </c>
      <c r="G294" t="inlineStr">
        <is>
          <t>SÖDERHAMN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46273</v>
      </c>
      <c r="F295" t="inlineStr">
        <is>
          <t>GÄVLEBORGS LÄN</t>
        </is>
      </c>
      <c r="G295" t="inlineStr">
        <is>
          <t>SÖDERHAMN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46273</v>
      </c>
      <c r="F296" t="inlineStr">
        <is>
          <t>GÄVLEBORGS LÄN</t>
        </is>
      </c>
      <c r="G296" t="inlineStr">
        <is>
          <t>SÖDERHAMN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46273</v>
      </c>
      <c r="F297" t="inlineStr">
        <is>
          <t>GÄVLEBORGS LÄN</t>
        </is>
      </c>
      <c r="G297" t="inlineStr">
        <is>
          <t>SÖDERHAMN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46273</v>
      </c>
      <c r="F298" t="inlineStr">
        <is>
          <t>GÄVLEBORGS LÄN</t>
        </is>
      </c>
      <c r="G298" t="inlineStr">
        <is>
          <t>SÖDERHAMN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46273</v>
      </c>
      <c r="F299" t="inlineStr">
        <is>
          <t>GÄVLEBORGS LÄN</t>
        </is>
      </c>
      <c r="G299" t="inlineStr">
        <is>
          <t>SÖDERHAMN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46273</v>
      </c>
      <c r="F300" t="inlineStr">
        <is>
          <t>GÄVLEBORGS LÄN</t>
        </is>
      </c>
      <c r="G300" t="inlineStr">
        <is>
          <t>SÖDERHAMN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46273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46273</v>
      </c>
      <c r="F302" t="inlineStr">
        <is>
          <t>GÄVLEBORGS LÄN</t>
        </is>
      </c>
      <c r="G302" t="inlineStr">
        <is>
          <t>SÖDERHAMN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46273</v>
      </c>
      <c r="F303" t="inlineStr">
        <is>
          <t>GÄVLEBORGS LÄN</t>
        </is>
      </c>
      <c r="G303" t="inlineStr">
        <is>
          <t>SÖDERHAMN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46273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46273</v>
      </c>
      <c r="F305" t="inlineStr">
        <is>
          <t>GÄVLEBORGS LÄN</t>
        </is>
      </c>
      <c r="G305" t="inlineStr">
        <is>
          <t>SÖDERHAMN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45096</v>
      </c>
      <c r="E306" s="1" t="n">
        <v>46273</v>
      </c>
      <c r="F306" t="inlineStr">
        <is>
          <t>GÄVLEBORGS LÄN</t>
        </is>
      </c>
      <c r="G306" t="inlineStr">
        <is>
          <t>SÖDERHAMN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45982</v>
      </c>
      <c r="E307" s="1" t="n">
        <v>46273</v>
      </c>
      <c r="F307" t="inlineStr">
        <is>
          <t>GÄVLEBORGS LÄN</t>
        </is>
      </c>
      <c r="G307" t="inlineStr">
        <is>
          <t>SÖDERHAMN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46273</v>
      </c>
      <c r="F308" t="inlineStr">
        <is>
          <t>GÄVLEBORGS LÄN</t>
        </is>
      </c>
      <c r="G308" t="inlineStr">
        <is>
          <t>SÖDERHAMN</t>
        </is>
      </c>
      <c r="I308" t="n">
        <v>20.9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46273</v>
      </c>
      <c r="F309" t="inlineStr">
        <is>
          <t>GÄVLEBORGS LÄN</t>
        </is>
      </c>
      <c r="G309" t="inlineStr">
        <is>
          <t>SÖDERHAMN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45982</v>
      </c>
      <c r="E310" s="1" t="n">
        <v>46273</v>
      </c>
      <c r="F310" t="inlineStr">
        <is>
          <t>GÄVLEBORGS LÄN</t>
        </is>
      </c>
      <c r="G310" t="inlineStr">
        <is>
          <t>SÖDERHAMN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58215-2025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46273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46273</v>
      </c>
      <c r="F312" t="inlineStr">
        <is>
          <t>GÄVLEBORGS LÄN</t>
        </is>
      </c>
      <c r="G312" t="inlineStr">
        <is>
          <t>SÖDERHAMN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46273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24933-2024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45461</v>
      </c>
      <c r="E314" s="1" t="n">
        <v>46273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46273</v>
      </c>
      <c r="F315" t="inlineStr">
        <is>
          <t>GÄVLEBORGS LÄN</t>
        </is>
      </c>
      <c r="G315" t="inlineStr">
        <is>
          <t>SÖDERHAMN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46273</v>
      </c>
      <c r="F316" t="inlineStr">
        <is>
          <t>GÄVLEBORGS LÄN</t>
        </is>
      </c>
      <c r="G316" t="inlineStr">
        <is>
          <t>SÖDERHAMN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44938</v>
      </c>
      <c r="E317" s="1" t="n">
        <v>46273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26042-2026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46177</v>
      </c>
      <c r="E318" s="1" t="n">
        <v>46273</v>
      </c>
      <c r="F318" t="inlineStr">
        <is>
          <t>GÄVLEBORGS LÄN</t>
        </is>
      </c>
      <c r="G318" t="inlineStr">
        <is>
          <t>SÖDERHAMN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46273</v>
      </c>
      <c r="F319" t="inlineStr">
        <is>
          <t>GÄVLEBORGS LÄN</t>
        </is>
      </c>
      <c r="G319" t="inlineStr">
        <is>
          <t>SÖDERHAMN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45040</v>
      </c>
      <c r="E320" s="1" t="n">
        <v>46273</v>
      </c>
      <c r="F320" t="inlineStr">
        <is>
          <t>GÄVLEBORGS LÄN</t>
        </is>
      </c>
      <c r="G320" t="inlineStr">
        <is>
          <t>SÖDERHAMN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46273</v>
      </c>
      <c r="F321" t="inlineStr">
        <is>
          <t>GÄVLEBORGS LÄN</t>
        </is>
      </c>
      <c r="G321" t="inlineStr">
        <is>
          <t>SÖDERHAMN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46273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46273</v>
      </c>
      <c r="F323" t="inlineStr">
        <is>
          <t>GÄVLEBORGS LÄN</t>
        </is>
      </c>
      <c r="G323" t="inlineStr">
        <is>
          <t>SÖDERHAMN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46273</v>
      </c>
      <c r="F324" t="inlineStr">
        <is>
          <t>GÄVLEBORGS LÄN</t>
        </is>
      </c>
      <c r="G324" t="inlineStr">
        <is>
          <t>SÖDERHAMN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45593</v>
      </c>
      <c r="E325" s="1" t="n">
        <v>46273</v>
      </c>
      <c r="F325" t="inlineStr">
        <is>
          <t>GÄVLEBORGS LÄN</t>
        </is>
      </c>
      <c r="G325" t="inlineStr">
        <is>
          <t>SÖDERHAMN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46273</v>
      </c>
      <c r="F326" t="inlineStr">
        <is>
          <t>GÄVLEBORGS LÄN</t>
        </is>
      </c>
      <c r="G326" t="inlineStr">
        <is>
          <t>SÖDERHAMN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45212</v>
      </c>
      <c r="E327" s="1" t="n">
        <v>46273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46273</v>
      </c>
      <c r="F328" t="inlineStr">
        <is>
          <t>GÄVLEBORGS LÄN</t>
        </is>
      </c>
      <c r="G328" t="inlineStr">
        <is>
          <t>SÖDERHAMN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46273</v>
      </c>
      <c r="F329" t="inlineStr">
        <is>
          <t>GÄVLEBORGS LÄN</t>
        </is>
      </c>
      <c r="G329" t="inlineStr">
        <is>
          <t>SÖDERHAMN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46185</v>
      </c>
      <c r="E330" s="1" t="n">
        <v>46273</v>
      </c>
      <c r="F330" t="inlineStr">
        <is>
          <t>GÄVLEBORGS LÄN</t>
        </is>
      </c>
      <c r="G330" t="inlineStr">
        <is>
          <t>SÖDERHAMN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46273</v>
      </c>
      <c r="F331" t="inlineStr">
        <is>
          <t>GÄVLEBORGS LÄN</t>
        </is>
      </c>
      <c r="G331" t="inlineStr">
        <is>
          <t>SÖDERHAMN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45985</v>
      </c>
      <c r="E332" s="1" t="n">
        <v>46273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46273</v>
      </c>
      <c r="F333" t="inlineStr">
        <is>
          <t>GÄVLEBORGS LÄN</t>
        </is>
      </c>
      <c r="G333" t="inlineStr">
        <is>
          <t>SÖDERHAMN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45108</v>
      </c>
      <c r="E334" s="1" t="n">
        <v>46273</v>
      </c>
      <c r="F334" t="inlineStr">
        <is>
          <t>GÄVLEBORGS LÄN</t>
        </is>
      </c>
      <c r="G334" t="inlineStr">
        <is>
          <t>SÖDERHAMN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29983-2023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45108</v>
      </c>
      <c r="E335" s="1" t="n">
        <v>46273</v>
      </c>
      <c r="F335" t="inlineStr">
        <is>
          <t>GÄVLEBORGS LÄN</t>
        </is>
      </c>
      <c r="G335" t="inlineStr">
        <is>
          <t>SÖDERHAMN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46273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46273</v>
      </c>
      <c r="F337" t="inlineStr">
        <is>
          <t>GÄVLEBORGS LÄN</t>
        </is>
      </c>
      <c r="G337" t="inlineStr">
        <is>
          <t>SÖDERHAMN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46273</v>
      </c>
      <c r="F338" t="inlineStr">
        <is>
          <t>GÄVLEBORGS LÄN</t>
        </is>
      </c>
      <c r="G338" t="inlineStr">
        <is>
          <t>SÖDERHAMN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46273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46273</v>
      </c>
      <c r="F340" t="inlineStr">
        <is>
          <t>GÄVLEBORGS LÄN</t>
        </is>
      </c>
      <c r="G340" t="inlineStr">
        <is>
          <t>SÖDERHAMN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46273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61416-2025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46001</v>
      </c>
      <c r="E342" s="1" t="n">
        <v>46273</v>
      </c>
      <c r="F342" t="inlineStr">
        <is>
          <t>GÄVLEBORGS LÄN</t>
        </is>
      </c>
      <c r="G342" t="inlineStr">
        <is>
          <t>SÖDERHAMN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44564</v>
      </c>
      <c r="E343" s="1" t="n">
        <v>46273</v>
      </c>
      <c r="F343" t="inlineStr">
        <is>
          <t>GÄVLEBORGS LÄN</t>
        </is>
      </c>
      <c r="G343" t="inlineStr">
        <is>
          <t>SÖDERHAMN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45027</v>
      </c>
      <c r="E344" s="1" t="n">
        <v>46273</v>
      </c>
      <c r="F344" t="inlineStr">
        <is>
          <t>GÄVLEBORGS LÄN</t>
        </is>
      </c>
      <c r="G344" t="inlineStr">
        <is>
          <t>SÖDERHAMN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46273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46273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46273</v>
      </c>
      <c r="F347" t="inlineStr">
        <is>
          <t>GÄVLEBORGS LÄN</t>
        </is>
      </c>
      <c r="G347" t="inlineStr">
        <is>
          <t>SÖDERHAMN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46007-2024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45580</v>
      </c>
      <c r="E348" s="1" t="n">
        <v>46273</v>
      </c>
      <c r="F348" t="inlineStr">
        <is>
          <t>GÄVLEBORGS LÄN</t>
        </is>
      </c>
      <c r="G348" t="inlineStr">
        <is>
          <t>SÖDERHAMN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46273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46273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46273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45754</v>
      </c>
      <c r="E352" s="1" t="n">
        <v>46273</v>
      </c>
      <c r="F352" t="inlineStr">
        <is>
          <t>GÄVLEBORGS LÄN</t>
        </is>
      </c>
      <c r="G352" t="inlineStr">
        <is>
          <t>SÖDERHAMN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46273</v>
      </c>
      <c r="F353" t="inlineStr">
        <is>
          <t>GÄVLEBORGS LÄN</t>
        </is>
      </c>
      <c r="G353" t="inlineStr">
        <is>
          <t>SÖDERHAMN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32170-2026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46237</v>
      </c>
      <c r="E354" s="1" t="n">
        <v>46273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45056</v>
      </c>
      <c r="E355" s="1" t="n">
        <v>46273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45615</v>
      </c>
      <c r="E356" s="1" t="n">
        <v>46273</v>
      </c>
      <c r="F356" t="inlineStr">
        <is>
          <t>GÄVLEBORGS LÄN</t>
        </is>
      </c>
      <c r="G356" t="inlineStr">
        <is>
          <t>SÖDERHAMN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46273</v>
      </c>
      <c r="F357" t="inlineStr">
        <is>
          <t>GÄVLEBORGS LÄN</t>
        </is>
      </c>
      <c r="G357" t="inlineStr">
        <is>
          <t>SÖDERHAMN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46273</v>
      </c>
      <c r="F358" t="inlineStr">
        <is>
          <t>GÄVLEBORGS LÄN</t>
        </is>
      </c>
      <c r="G358" t="inlineStr">
        <is>
          <t>SÖDERHAMN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46026</v>
      </c>
      <c r="E359" s="1" t="n">
        <v>46273</v>
      </c>
      <c r="F359" t="inlineStr">
        <is>
          <t>GÄVLEBORGS LÄN</t>
        </is>
      </c>
      <c r="G359" t="inlineStr">
        <is>
          <t>SÖDERHAMN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46026</v>
      </c>
      <c r="E360" s="1" t="n">
        <v>46273</v>
      </c>
      <c r="F360" t="inlineStr">
        <is>
          <t>GÄVLEBORGS LÄN</t>
        </is>
      </c>
      <c r="G360" t="inlineStr">
        <is>
          <t>SÖDERHAMN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46273</v>
      </c>
      <c r="F361" t="inlineStr">
        <is>
          <t>GÄVLEBORGS LÄN</t>
        </is>
      </c>
      <c r="G361" t="inlineStr">
        <is>
          <t>SÖDERHAMN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46026</v>
      </c>
      <c r="E362" s="1" t="n">
        <v>46273</v>
      </c>
      <c r="F362" t="inlineStr">
        <is>
          <t>GÄVLEBORGS LÄN</t>
        </is>
      </c>
      <c r="G362" t="inlineStr">
        <is>
          <t>SÖDERHAMN</t>
        </is>
      </c>
      <c r="I362" t="n">
        <v>12.9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45632</v>
      </c>
      <c r="E363" s="1" t="n">
        <v>46273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46273</v>
      </c>
      <c r="F364" t="inlineStr">
        <is>
          <t>GÄVLEBORGS LÄN</t>
        </is>
      </c>
      <c r="G364" t="inlineStr">
        <is>
          <t>SÖDERHAMN</t>
        </is>
      </c>
      <c r="I364" t="n">
        <v>13.8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46273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49765-2024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46273</v>
      </c>
      <c r="F366" t="inlineStr">
        <is>
          <t>GÄVLEBORGS LÄN</t>
        </is>
      </c>
      <c r="G366" t="inlineStr">
        <is>
          <t>SÖDERHAMN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46273</v>
      </c>
      <c r="F367" t="inlineStr">
        <is>
          <t>GÄVLEBORGS LÄN</t>
        </is>
      </c>
      <c r="G367" t="inlineStr">
        <is>
          <t>SÖDERHAMN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46273</v>
      </c>
      <c r="F368" t="inlineStr">
        <is>
          <t>GÄVLEBORGS LÄN</t>
        </is>
      </c>
      <c r="G368" t="inlineStr">
        <is>
          <t>SÖDERHAMN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46273</v>
      </c>
      <c r="F369" t="inlineStr">
        <is>
          <t>GÄVLEBORGS LÄN</t>
        </is>
      </c>
      <c r="G369" t="inlineStr">
        <is>
          <t>SÖDERHAMN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46273</v>
      </c>
      <c r="F370" t="inlineStr">
        <is>
          <t>GÄVLEBORGS LÄN</t>
        </is>
      </c>
      <c r="G370" t="inlineStr">
        <is>
          <t>SÖDERHAMN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46273</v>
      </c>
      <c r="F371" t="inlineStr">
        <is>
          <t>GÄVLEBORGS LÄN</t>
        </is>
      </c>
      <c r="G371" t="inlineStr">
        <is>
          <t>SÖDERHAMN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46273</v>
      </c>
      <c r="F372" t="inlineStr">
        <is>
          <t>GÄVLEBORGS LÄN</t>
        </is>
      </c>
      <c r="G372" t="inlineStr">
        <is>
          <t>SÖDERHAMN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46273</v>
      </c>
      <c r="F373" t="inlineStr">
        <is>
          <t>GÄVLEBORGS LÄN</t>
        </is>
      </c>
      <c r="G373" t="inlineStr">
        <is>
          <t>SÖDERHAMN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46273</v>
      </c>
      <c r="F374" t="inlineStr">
        <is>
          <t>GÄVLEBORGS LÄN</t>
        </is>
      </c>
      <c r="G374" t="inlineStr">
        <is>
          <t>SÖDERHAMN</t>
        </is>
      </c>
      <c r="I374" t="n">
        <v>11.2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46273</v>
      </c>
      <c r="F375" t="inlineStr">
        <is>
          <t>GÄVLEBORGS LÄN</t>
        </is>
      </c>
      <c r="G375" t="inlineStr">
        <is>
          <t>SÖDERHAMN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46273</v>
      </c>
      <c r="F376" t="inlineStr">
        <is>
          <t>GÄVLEBORGS LÄN</t>
        </is>
      </c>
      <c r="G376" t="inlineStr">
        <is>
          <t>SÖDERHAMN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46273</v>
      </c>
      <c r="F377" t="inlineStr">
        <is>
          <t>GÄVLEBORGS LÄN</t>
        </is>
      </c>
      <c r="G377" t="inlineStr">
        <is>
          <t>SÖDERHAMN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46273</v>
      </c>
      <c r="F378" t="inlineStr">
        <is>
          <t>GÄVLEBORGS LÄN</t>
        </is>
      </c>
      <c r="G378" t="inlineStr">
        <is>
          <t>SÖDERHAMN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46273</v>
      </c>
      <c r="F379" t="inlineStr">
        <is>
          <t>GÄVLEBORGS LÄN</t>
        </is>
      </c>
      <c r="G379" t="inlineStr">
        <is>
          <t>SÖDERHAMN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46024</v>
      </c>
      <c r="E380" s="1" t="n">
        <v>46273</v>
      </c>
      <c r="F380" t="inlineStr">
        <is>
          <t>GÄVLEBORGS LÄN</t>
        </is>
      </c>
      <c r="G380" t="inlineStr">
        <is>
          <t>SÖDERHAMN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46273</v>
      </c>
      <c r="F381" t="inlineStr">
        <is>
          <t>GÄVLEBORGS LÄN</t>
        </is>
      </c>
      <c r="G381" t="inlineStr">
        <is>
          <t>SÖDERHAMN</t>
        </is>
      </c>
      <c r="I381" t="n">
        <v>12.5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46273</v>
      </c>
      <c r="F382" t="inlineStr">
        <is>
          <t>GÄVLEBORGS LÄN</t>
        </is>
      </c>
      <c r="G382" t="inlineStr">
        <is>
          <t>SÖDERHAMN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46273</v>
      </c>
      <c r="F383" t="inlineStr">
        <is>
          <t>GÄVLEBORGS LÄN</t>
        </is>
      </c>
      <c r="G383" t="inlineStr">
        <is>
          <t>SÖDERHAMN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46273</v>
      </c>
      <c r="F384" t="inlineStr">
        <is>
          <t>GÄVLEBORGS LÄN</t>
        </is>
      </c>
      <c r="G384" t="inlineStr">
        <is>
          <t>SÖDERHAMN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46273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46273</v>
      </c>
      <c r="F386" t="inlineStr">
        <is>
          <t>GÄVLEBORGS LÄN</t>
        </is>
      </c>
      <c r="G386" t="inlineStr">
        <is>
          <t>SÖDERHAMN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45331</v>
      </c>
      <c r="E387" s="1" t="n">
        <v>46273</v>
      </c>
      <c r="F387" t="inlineStr">
        <is>
          <t>GÄVLEBORGS LÄN</t>
        </is>
      </c>
      <c r="G387" t="inlineStr">
        <is>
          <t>SÖDERHAMN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38355-2022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44812</v>
      </c>
      <c r="E388" s="1" t="n">
        <v>46273</v>
      </c>
      <c r="F388" t="inlineStr">
        <is>
          <t>GÄVLEBORGS LÄN</t>
        </is>
      </c>
      <c r="G388" t="inlineStr">
        <is>
          <t>SÖDERHAMN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46273</v>
      </c>
      <c r="F389" t="inlineStr">
        <is>
          <t>GÄVLEBORGS LÄN</t>
        </is>
      </c>
      <c r="G389" t="inlineStr">
        <is>
          <t>SÖDERHAMN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46273</v>
      </c>
      <c r="F390" t="inlineStr">
        <is>
          <t>GÄVLEBORGS LÄN</t>
        </is>
      </c>
      <c r="G390" t="inlineStr">
        <is>
          <t>SÖDERHAMN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46273</v>
      </c>
      <c r="F391" t="inlineStr">
        <is>
          <t>GÄVLEBORGS LÄN</t>
        </is>
      </c>
      <c r="G391" t="inlineStr">
        <is>
          <t>SÖDERHAMN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45597</v>
      </c>
      <c r="E392" s="1" t="n">
        <v>46273</v>
      </c>
      <c r="F392" t="inlineStr">
        <is>
          <t>GÄVLEBORGS LÄN</t>
        </is>
      </c>
      <c r="G392" t="inlineStr">
        <is>
          <t>SÖDERHAMN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51492-2023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46273</v>
      </c>
      <c r="F393" t="inlineStr">
        <is>
          <t>GÄVLEBORGS LÄN</t>
        </is>
      </c>
      <c r="G393" t="inlineStr">
        <is>
          <t>SÖDERHAMN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46273</v>
      </c>
      <c r="F394" t="inlineStr">
        <is>
          <t>GÄVLEBORGS LÄN</t>
        </is>
      </c>
      <c r="G394" t="inlineStr">
        <is>
          <t>SÖDERHAMN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46273</v>
      </c>
      <c r="F395" t="inlineStr">
        <is>
          <t>GÄVLEBORGS LÄN</t>
        </is>
      </c>
      <c r="G395" t="inlineStr">
        <is>
          <t>SÖDERHAMN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46273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46273</v>
      </c>
      <c r="F397" t="inlineStr">
        <is>
          <t>GÄVLEBORGS LÄN</t>
        </is>
      </c>
      <c r="G397" t="inlineStr">
        <is>
          <t>SÖDERHAMN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46273</v>
      </c>
      <c r="F398" t="inlineStr">
        <is>
          <t>GÄVLEBORGS LÄN</t>
        </is>
      </c>
      <c r="G398" t="inlineStr">
        <is>
          <t>SÖDERHAMN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45432</v>
      </c>
      <c r="E399" s="1" t="n">
        <v>46273</v>
      </c>
      <c r="F399" t="inlineStr">
        <is>
          <t>GÄVLEBORGS LÄN</t>
        </is>
      </c>
      <c r="G399" t="inlineStr">
        <is>
          <t>SÖDERHAMN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46273</v>
      </c>
      <c r="F400" t="inlineStr">
        <is>
          <t>GÄVLEBORGS LÄN</t>
        </is>
      </c>
      <c r="G400" t="inlineStr">
        <is>
          <t>SÖDERHAMN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46273</v>
      </c>
      <c r="F401" t="inlineStr">
        <is>
          <t>GÄVLEBORGS LÄN</t>
        </is>
      </c>
      <c r="G401" t="inlineStr">
        <is>
          <t>SÖDERHAMN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46273</v>
      </c>
      <c r="F402" t="inlineStr">
        <is>
          <t>GÄVLEBORGS LÄN</t>
        </is>
      </c>
      <c r="G402" t="inlineStr">
        <is>
          <t>SÖDERHAMN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46273</v>
      </c>
      <c r="F403" t="inlineStr">
        <is>
          <t>GÄVLEBORGS LÄN</t>
        </is>
      </c>
      <c r="G403" t="inlineStr">
        <is>
          <t>SÖDERHAMN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46273</v>
      </c>
      <c r="F404" t="inlineStr">
        <is>
          <t>GÄVLEBORGS LÄN</t>
        </is>
      </c>
      <c r="G404" t="inlineStr">
        <is>
          <t>SÖDERHAMN</t>
        </is>
      </c>
      <c r="H404" t="inlineStr">
        <is>
          <t>Övriga statliga verk och myndigheter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46273</v>
      </c>
      <c r="F405" t="inlineStr">
        <is>
          <t>GÄVLEBORGS LÄN</t>
        </is>
      </c>
      <c r="G405" t="inlineStr">
        <is>
          <t>SÖDERHAMN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46273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45705</v>
      </c>
      <c r="E407" s="1" t="n">
        <v>46273</v>
      </c>
      <c r="F407" t="inlineStr">
        <is>
          <t>GÄVLEBORGS LÄN</t>
        </is>
      </c>
      <c r="G407" t="inlineStr">
        <is>
          <t>SÖDERHAMN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46273</v>
      </c>
      <c r="F408" t="inlineStr">
        <is>
          <t>GÄVLEBORGS LÄN</t>
        </is>
      </c>
      <c r="G408" t="inlineStr">
        <is>
          <t>SÖDERHAMN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46273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46273</v>
      </c>
      <c r="F410" t="inlineStr">
        <is>
          <t>GÄVLEBORGS LÄN</t>
        </is>
      </c>
      <c r="G410" t="inlineStr">
        <is>
          <t>SÖDERHAMN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46273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46063</v>
      </c>
      <c r="E412" s="1" t="n">
        <v>46273</v>
      </c>
      <c r="F412" t="inlineStr">
        <is>
          <t>GÄVLEBORGS LÄN</t>
        </is>
      </c>
      <c r="G412" t="inlineStr">
        <is>
          <t>SÖDERHAMN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46273</v>
      </c>
      <c r="F413" t="inlineStr">
        <is>
          <t>GÄVLEBORGS LÄN</t>
        </is>
      </c>
      <c r="G413" t="inlineStr">
        <is>
          <t>SÖDERHAMN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46273</v>
      </c>
      <c r="F414" t="inlineStr">
        <is>
          <t>GÄVLEBORGS LÄN</t>
        </is>
      </c>
      <c r="G414" t="inlineStr">
        <is>
          <t>SÖDERHAMN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46273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46273</v>
      </c>
      <c r="F416" t="inlineStr">
        <is>
          <t>GÄVLEBORGS LÄN</t>
        </is>
      </c>
      <c r="G416" t="inlineStr">
        <is>
          <t>SÖDERHAMN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46273</v>
      </c>
      <c r="F417" t="inlineStr">
        <is>
          <t>GÄVLEBORGS LÄN</t>
        </is>
      </c>
      <c r="G417" t="inlineStr">
        <is>
          <t>SÖDERHAMN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46273</v>
      </c>
      <c r="F418" t="inlineStr">
        <is>
          <t>GÄVLEBORGS LÄN</t>
        </is>
      </c>
      <c r="G418" t="inlineStr">
        <is>
          <t>SÖDERHAMN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46273</v>
      </c>
      <c r="F419" t="inlineStr">
        <is>
          <t>GÄVLEBORGS LÄN</t>
        </is>
      </c>
      <c r="G419" t="inlineStr">
        <is>
          <t>SÖDERHAMN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46273</v>
      </c>
      <c r="F420" t="inlineStr">
        <is>
          <t>GÄVLEBORGS LÄN</t>
        </is>
      </c>
      <c r="G420" t="inlineStr">
        <is>
          <t>SÖDERHAMN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46273</v>
      </c>
      <c r="F421" t="inlineStr">
        <is>
          <t>GÄVLEBORGS LÄN</t>
        </is>
      </c>
      <c r="G421" t="inlineStr">
        <is>
          <t>SÖDERHAMN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45188</v>
      </c>
      <c r="E422" s="1" t="n">
        <v>46273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44341-2023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45188</v>
      </c>
      <c r="E423" s="1" t="n">
        <v>46273</v>
      </c>
      <c r="F423" t="inlineStr">
        <is>
          <t>GÄVLEBORGS LÄN</t>
        </is>
      </c>
      <c r="G423" t="inlineStr">
        <is>
          <t>SÖDERHAMN</t>
        </is>
      </c>
      <c r="H423" t="inlineStr">
        <is>
          <t>Kommuner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15646-2022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44662</v>
      </c>
      <c r="E424" s="1" t="n">
        <v>46273</v>
      </c>
      <c r="F424" t="inlineStr">
        <is>
          <t>GÄVLEBORGS LÄN</t>
        </is>
      </c>
      <c r="G424" t="inlineStr">
        <is>
          <t>SÖDERHAMN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46273</v>
      </c>
      <c r="F425" t="inlineStr">
        <is>
          <t>GÄVLEBORGS LÄN</t>
        </is>
      </c>
      <c r="G425" t="inlineStr">
        <is>
          <t>SÖDERHAMN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46273</v>
      </c>
      <c r="F426" t="inlineStr">
        <is>
          <t>GÄVLEBORGS LÄN</t>
        </is>
      </c>
      <c r="G426" t="inlineStr">
        <is>
          <t>SÖDERHAMN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46273</v>
      </c>
      <c r="F427" t="inlineStr">
        <is>
          <t>GÄVLEBORGS LÄN</t>
        </is>
      </c>
      <c r="G427" t="inlineStr">
        <is>
          <t>SÖDERHAMN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44750</v>
      </c>
      <c r="E428" s="1" t="n">
        <v>46273</v>
      </c>
      <c r="F428" t="inlineStr">
        <is>
          <t>GÄVLEBORGS LÄN</t>
        </is>
      </c>
      <c r="G428" t="inlineStr">
        <is>
          <t>SÖDERHAMN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46273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18909-2025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45764</v>
      </c>
      <c r="E430" s="1" t="n">
        <v>46273</v>
      </c>
      <c r="F430" t="inlineStr">
        <is>
          <t>GÄVLEBORGS LÄN</t>
        </is>
      </c>
      <c r="G430" t="inlineStr">
        <is>
          <t>SÖDERHAMN</t>
        </is>
      </c>
      <c r="H430" t="inlineStr">
        <is>
          <t>Kommuner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46273</v>
      </c>
      <c r="F431" t="inlineStr">
        <is>
          <t>GÄVLEBORGS LÄN</t>
        </is>
      </c>
      <c r="G431" t="inlineStr">
        <is>
          <t>SÖDERHAMN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46077</v>
      </c>
      <c r="E432" s="1" t="n">
        <v>46273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Kyrkan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46273</v>
      </c>
      <c r="F433" t="inlineStr">
        <is>
          <t>GÄVLEBORGS LÄN</t>
        </is>
      </c>
      <c r="G433" t="inlineStr">
        <is>
          <t>SÖDERHAMN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46273</v>
      </c>
      <c r="F434" t="inlineStr">
        <is>
          <t>GÄVLEBORGS LÄN</t>
        </is>
      </c>
      <c r="G434" t="inlineStr">
        <is>
          <t>SÖDERHAMN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11046-2026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46273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46207</v>
      </c>
      <c r="E436" s="1" t="n">
        <v>46273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46273</v>
      </c>
      <c r="F437" t="inlineStr">
        <is>
          <t>GÄVLEBORGS LÄN</t>
        </is>
      </c>
      <c r="G437" t="inlineStr">
        <is>
          <t>SÖDERHAMN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46211</v>
      </c>
      <c r="E438" s="1" t="n">
        <v>46273</v>
      </c>
      <c r="F438" t="inlineStr">
        <is>
          <t>GÄVLEBORGS LÄN</t>
        </is>
      </c>
      <c r="G438" t="inlineStr">
        <is>
          <t>SÖDERHAMN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46085</v>
      </c>
      <c r="E439" s="1" t="n">
        <v>46273</v>
      </c>
      <c r="F439" t="inlineStr">
        <is>
          <t>GÄVLEBORGS LÄN</t>
        </is>
      </c>
      <c r="G439" t="inlineStr">
        <is>
          <t>SÖDERHAMN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46273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46273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46087</v>
      </c>
      <c r="E442" s="1" t="n">
        <v>46273</v>
      </c>
      <c r="F442" t="inlineStr">
        <is>
          <t>GÄVLEBORGS LÄN</t>
        </is>
      </c>
      <c r="G442" t="inlineStr">
        <is>
          <t>SÖDERHAMN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46273</v>
      </c>
      <c r="F443" t="inlineStr">
        <is>
          <t>GÄVLEBORGS LÄN</t>
        </is>
      </c>
      <c r="G443" t="inlineStr">
        <is>
          <t>SÖDERHAMN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46273</v>
      </c>
      <c r="F444" t="inlineStr">
        <is>
          <t>GÄVLEBORGS LÄN</t>
        </is>
      </c>
      <c r="G444" t="inlineStr">
        <is>
          <t>SÖDERHAMN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46273</v>
      </c>
      <c r="F445" t="inlineStr">
        <is>
          <t>GÄVLEBORGS LÄN</t>
        </is>
      </c>
      <c r="G445" t="inlineStr">
        <is>
          <t>SÖDERHAMN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46273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46273</v>
      </c>
      <c r="F447" t="inlineStr">
        <is>
          <t>GÄVLEBORGS LÄN</t>
        </is>
      </c>
      <c r="G447" t="inlineStr">
        <is>
          <t>SÖDERHAMN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46273</v>
      </c>
      <c r="F448" t="inlineStr">
        <is>
          <t>GÄVLEBORGS LÄN</t>
        </is>
      </c>
      <c r="G448" t="inlineStr">
        <is>
          <t>SÖDERHAMN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46273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45797</v>
      </c>
      <c r="E450" s="1" t="n">
        <v>46273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30871-2026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46273</v>
      </c>
      <c r="F451" t="inlineStr">
        <is>
          <t>GÄVLEBORGS LÄN</t>
        </is>
      </c>
      <c r="G451" t="inlineStr">
        <is>
          <t>SÖDERHAMN</t>
        </is>
      </c>
      <c r="H451" t="inlineStr">
        <is>
          <t>Kyrkan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46273</v>
      </c>
      <c r="F452" t="inlineStr">
        <is>
          <t>GÄVLEBORGS LÄN</t>
        </is>
      </c>
      <c r="G452" t="inlineStr">
        <is>
          <t>SÖDERHAMN</t>
        </is>
      </c>
      <c r="H452" t="inlineStr">
        <is>
          <t>Kyrkan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46273</v>
      </c>
      <c r="F453" t="inlineStr">
        <is>
          <t>GÄVLEBORGS LÄN</t>
        </is>
      </c>
      <c r="G453" t="inlineStr">
        <is>
          <t>SÖDERHAMN</t>
        </is>
      </c>
      <c r="H453" t="inlineStr">
        <is>
          <t>Kyrkan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46273</v>
      </c>
      <c r="F454" t="inlineStr">
        <is>
          <t>GÄVLEBORGS LÄN</t>
        </is>
      </c>
      <c r="G454" t="inlineStr">
        <is>
          <t>SÖDERHAMN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45799</v>
      </c>
      <c r="E455" s="1" t="n">
        <v>46273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46273</v>
      </c>
      <c r="F456" t="inlineStr">
        <is>
          <t>GÄVLEBORGS LÄN</t>
        </is>
      </c>
      <c r="G456" t="inlineStr">
        <is>
          <t>SÖDERHAMN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28340-2024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45477</v>
      </c>
      <c r="E457" s="1" t="n">
        <v>46273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46273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16.2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46273</v>
      </c>
      <c r="F459" t="inlineStr">
        <is>
          <t>GÄVLEBORGS LÄN</t>
        </is>
      </c>
      <c r="G459" t="inlineStr">
        <is>
          <t>SÖDERHAMN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46273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46273</v>
      </c>
      <c r="F461" t="inlineStr">
        <is>
          <t>GÄVLEBORGS LÄN</t>
        </is>
      </c>
      <c r="G461" t="inlineStr">
        <is>
          <t>SÖDERHAMN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46273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46273</v>
      </c>
      <c r="F463" t="inlineStr">
        <is>
          <t>GÄVLEBORGS LÄN</t>
        </is>
      </c>
      <c r="G463" t="inlineStr">
        <is>
          <t>SÖDERHAMN</t>
        </is>
      </c>
      <c r="H463" t="inlineStr">
        <is>
          <t>Övriga statliga verk och myndigheter</t>
        </is>
      </c>
      <c r="I463" t="n">
        <v>14.9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15024-2026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46273</v>
      </c>
      <c r="F464" t="inlineStr">
        <is>
          <t>GÄVLEBORGS LÄN</t>
        </is>
      </c>
      <c r="G464" t="inlineStr">
        <is>
          <t>SÖDERHAMN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46273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46260</v>
      </c>
      <c r="E466" s="1" t="n">
        <v>46273</v>
      </c>
      <c r="F466" t="inlineStr">
        <is>
          <t>GÄVLEBORGS LÄN</t>
        </is>
      </c>
      <c r="G466" t="inlineStr">
        <is>
          <t>SÖDERHAMN</t>
        </is>
      </c>
      <c r="H466" t="inlineStr">
        <is>
          <t>Övriga statliga verk och myndigheter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46273</v>
      </c>
      <c r="F467" t="inlineStr">
        <is>
          <t>GÄVLEBORGS LÄN</t>
        </is>
      </c>
      <c r="G467" t="inlineStr">
        <is>
          <t>SÖDERHAMN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46273</v>
      </c>
      <c r="F468" t="inlineStr">
        <is>
          <t>GÄVLEBORGS LÄN</t>
        </is>
      </c>
      <c r="G468" t="inlineStr">
        <is>
          <t>SÖDERHAMN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46219</v>
      </c>
      <c r="E469" s="1" t="n">
        <v>46273</v>
      </c>
      <c r="F469" t="inlineStr">
        <is>
          <t>GÄVLEBORGS LÄN</t>
        </is>
      </c>
      <c r="G469" t="inlineStr">
        <is>
          <t>SÖDERHAMN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15958-2026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46273</v>
      </c>
      <c r="F470" t="inlineStr">
        <is>
          <t>GÄVLEBORGS LÄN</t>
        </is>
      </c>
      <c r="G470" t="inlineStr">
        <is>
          <t>SÖDERHAMN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45757</v>
      </c>
      <c r="E471" s="1" t="n">
        <v>46273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46273</v>
      </c>
      <c r="F472" t="inlineStr">
        <is>
          <t>GÄVLEBORGS LÄN</t>
        </is>
      </c>
      <c r="G472" t="inlineStr">
        <is>
          <t>SÖDERHAMN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46273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46273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46273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31274-2026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46218</v>
      </c>
      <c r="E476" s="1" t="n">
        <v>46273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46273</v>
      </c>
      <c r="F477" t="inlineStr">
        <is>
          <t>GÄVLEBORGS LÄN</t>
        </is>
      </c>
      <c r="G477" t="inlineStr">
        <is>
          <t>SÖDERHAMN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46219</v>
      </c>
      <c r="E478" s="1" t="n">
        <v>46273</v>
      </c>
      <c r="F478" t="inlineStr">
        <is>
          <t>GÄVLEBORGS LÄN</t>
        </is>
      </c>
      <c r="G478" t="inlineStr">
        <is>
          <t>SÖDERHAMN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46273</v>
      </c>
      <c r="F479" t="inlineStr">
        <is>
          <t>GÄVLEBORGS LÄN</t>
        </is>
      </c>
      <c r="G479" t="inlineStr">
        <is>
          <t>SÖDERHAMN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16475-2026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46273</v>
      </c>
      <c r="F480" t="inlineStr">
        <is>
          <t>GÄVLEBORGS LÄN</t>
        </is>
      </c>
      <c r="G480" t="inlineStr">
        <is>
          <t>SÖDERHAMN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46117</v>
      </c>
      <c r="E481" s="1" t="n">
        <v>46273</v>
      </c>
      <c r="F481" t="inlineStr">
        <is>
          <t>GÄVLEBORGS LÄN</t>
        </is>
      </c>
      <c r="G481" t="inlineStr">
        <is>
          <t>SÖDERHAMN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46117</v>
      </c>
      <c r="E482" s="1" t="n">
        <v>46273</v>
      </c>
      <c r="F482" t="inlineStr">
        <is>
          <t>GÄVLEBORGS LÄN</t>
        </is>
      </c>
      <c r="G482" t="inlineStr">
        <is>
          <t>SÖDERHAMN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46117</v>
      </c>
      <c r="E483" s="1" t="n">
        <v>46273</v>
      </c>
      <c r="F483" t="inlineStr">
        <is>
          <t>GÄVLEBORGS LÄN</t>
        </is>
      </c>
      <c r="G483" t="inlineStr">
        <is>
          <t>SÖDERHAMN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46117</v>
      </c>
      <c r="E484" s="1" t="n">
        <v>46273</v>
      </c>
      <c r="F484" t="inlineStr">
        <is>
          <t>GÄVLEBORGS LÄN</t>
        </is>
      </c>
      <c r="G484" t="inlineStr">
        <is>
          <t>SÖDERHAMN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46273</v>
      </c>
      <c r="F485" t="inlineStr">
        <is>
          <t>GÄVLEBORGS LÄN</t>
        </is>
      </c>
      <c r="G485" t="inlineStr">
        <is>
          <t>SÖDERHAMN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45602</v>
      </c>
      <c r="E486" s="1" t="n">
        <v>46273</v>
      </c>
      <c r="F486" t="inlineStr">
        <is>
          <t>GÄVLEBORGS LÄN</t>
        </is>
      </c>
      <c r="G486" t="inlineStr">
        <is>
          <t>SÖDERHAMN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45652</v>
      </c>
      <c r="E487" s="1" t="n">
        <v>46273</v>
      </c>
      <c r="F487" t="inlineStr">
        <is>
          <t>GÄVLEBORGS LÄN</t>
        </is>
      </c>
      <c r="G487" t="inlineStr">
        <is>
          <t>SÖDERHAMN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46273</v>
      </c>
      <c r="F488" t="inlineStr">
        <is>
          <t>GÄVLEBORGS LÄN</t>
        </is>
      </c>
      <c r="G488" t="inlineStr">
        <is>
          <t>SÖDERHAMN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46268</v>
      </c>
      <c r="E489" s="1" t="n">
        <v>46273</v>
      </c>
      <c r="F489" t="inlineStr">
        <is>
          <t>GÄVLEBORGS LÄN</t>
        </is>
      </c>
      <c r="G489" t="inlineStr">
        <is>
          <t>SÖDERHAMN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45393</v>
      </c>
      <c r="E490" s="1" t="n">
        <v>46273</v>
      </c>
      <c r="F490" t="inlineStr">
        <is>
          <t>GÄVLEBORGS LÄN</t>
        </is>
      </c>
      <c r="G490" t="inlineStr">
        <is>
          <t>SÖDERHAMN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46273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59216-2021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44490</v>
      </c>
      <c r="E492" s="1" t="n">
        <v>46273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45510</v>
      </c>
      <c r="E493" s="1" t="n">
        <v>46273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46273</v>
      </c>
      <c r="F494" t="inlineStr">
        <is>
          <t>GÄVLEBORGS LÄN</t>
        </is>
      </c>
      <c r="G494" t="inlineStr">
        <is>
          <t>SÖDERHAMN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45461</v>
      </c>
      <c r="E495" s="1" t="n">
        <v>46273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45425</v>
      </c>
      <c r="E496" s="1" t="n">
        <v>46273</v>
      </c>
      <c r="F496" t="inlineStr">
        <is>
          <t>GÄVLEBORGS LÄN</t>
        </is>
      </c>
      <c r="G496" t="inlineStr">
        <is>
          <t>SÖDERHAMN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63632-2023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45275</v>
      </c>
      <c r="E497" s="1" t="n">
        <v>46273</v>
      </c>
      <c r="F497" t="inlineStr">
        <is>
          <t>GÄVLEBORGS LÄN</t>
        </is>
      </c>
      <c r="G497" t="inlineStr">
        <is>
          <t>SÖDERHAMN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46273</v>
      </c>
      <c r="F498" t="inlineStr">
        <is>
          <t>GÄVLEBORGS LÄN</t>
        </is>
      </c>
      <c r="G498" t="inlineStr">
        <is>
          <t>SÖDERHAMN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46273</v>
      </c>
      <c r="F499" t="inlineStr">
        <is>
          <t>GÄVLEBORGS LÄN</t>
        </is>
      </c>
      <c r="G499" t="inlineStr">
        <is>
          <t>SÖDERHAMN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14960-2024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45398</v>
      </c>
      <c r="E500" s="1" t="n">
        <v>46273</v>
      </c>
      <c r="F500" t="inlineStr">
        <is>
          <t>GÄVLEBORGS LÄN</t>
        </is>
      </c>
      <c r="G500" t="inlineStr">
        <is>
          <t>SÖDERHAMN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46273</v>
      </c>
      <c r="F501" t="inlineStr">
        <is>
          <t>GÄVLEBORGS LÄN</t>
        </is>
      </c>
      <c r="G501" t="inlineStr">
        <is>
          <t>SÖDERHAMN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46273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46273</v>
      </c>
      <c r="F503" t="inlineStr">
        <is>
          <t>GÄVLEBORGS LÄN</t>
        </is>
      </c>
      <c r="G503" t="inlineStr">
        <is>
          <t>SÖDERHAMN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46273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15877-2025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46273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46135</v>
      </c>
      <c r="E506" s="1" t="n">
        <v>46273</v>
      </c>
      <c r="F506" t="inlineStr">
        <is>
          <t>GÄVLEBORGS LÄN</t>
        </is>
      </c>
      <c r="G506" t="inlineStr">
        <is>
          <t>SÖDERHAMN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46227</v>
      </c>
      <c r="E507" s="1" t="n">
        <v>46273</v>
      </c>
      <c r="F507" t="inlineStr">
        <is>
          <t>GÄVLEBORGS LÄN</t>
        </is>
      </c>
      <c r="G507" t="inlineStr">
        <is>
          <t>SÖDERHAMN</t>
        </is>
      </c>
      <c r="I507" t="n">
        <v>11.5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46273</v>
      </c>
      <c r="F508" t="inlineStr">
        <is>
          <t>GÄVLEBORGS LÄN</t>
        </is>
      </c>
      <c r="G508" t="inlineStr">
        <is>
          <t>SÖDERHAMN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36204-2024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45534</v>
      </c>
      <c r="E509" s="1" t="n">
        <v>46273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45561</v>
      </c>
      <c r="E510" s="1" t="n">
        <v>46273</v>
      </c>
      <c r="F510" t="inlineStr">
        <is>
          <t>GÄVLEBORGS LÄN</t>
        </is>
      </c>
      <c r="G510" t="inlineStr">
        <is>
          <t>SÖDERHAMN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46273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46273</v>
      </c>
      <c r="F512" t="inlineStr">
        <is>
          <t>GÄVLEBORGS LÄN</t>
        </is>
      </c>
      <c r="G512" t="inlineStr">
        <is>
          <t>SÖDERHAMN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41648-2024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45560</v>
      </c>
      <c r="E513" s="1" t="n">
        <v>46273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42409-2025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45905</v>
      </c>
      <c r="E514" s="1" t="n">
        <v>46273</v>
      </c>
      <c r="F514" t="inlineStr">
        <is>
          <t>GÄVLEBORGS LÄN</t>
        </is>
      </c>
      <c r="G514" t="inlineStr">
        <is>
          <t>SÖDERHAMN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46273</v>
      </c>
      <c r="F515" t="inlineStr">
        <is>
          <t>GÄVLEBORGS LÄN</t>
        </is>
      </c>
      <c r="G515" t="inlineStr">
        <is>
          <t>SÖDERHAMN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46273</v>
      </c>
      <c r="F516" t="inlineStr">
        <is>
          <t>GÄVLEBORGS LÄN</t>
        </is>
      </c>
      <c r="G516" t="inlineStr">
        <is>
          <t>SÖDERHAMN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53503-2023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46273</v>
      </c>
      <c r="F517" t="inlineStr">
        <is>
          <t>GÄVLEBORGS LÄN</t>
        </is>
      </c>
      <c r="G517" t="inlineStr">
        <is>
          <t>SÖDERHAMN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16137-2022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44665</v>
      </c>
      <c r="E518" s="1" t="n">
        <v>46273</v>
      </c>
      <c r="F518" t="inlineStr">
        <is>
          <t>GÄVLEBORGS LÄN</t>
        </is>
      </c>
      <c r="G518" t="inlineStr">
        <is>
          <t>SÖDERHAMN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44651</v>
      </c>
      <c r="E519" s="1" t="n">
        <v>46273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45108</v>
      </c>
      <c r="E520" s="1" t="n">
        <v>46273</v>
      </c>
      <c r="F520" t="inlineStr">
        <is>
          <t>GÄVLEBORGS LÄN</t>
        </is>
      </c>
      <c r="G520" t="inlineStr">
        <is>
          <t>SÖDERHAMN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45041</v>
      </c>
      <c r="E521" s="1" t="n">
        <v>46273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44963</v>
      </c>
      <c r="E522" s="1" t="n">
        <v>46273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45764</v>
      </c>
      <c r="E523" s="1" t="n">
        <v>46273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45231</v>
      </c>
      <c r="E524" s="1" t="n">
        <v>46273</v>
      </c>
      <c r="F524" t="inlineStr">
        <is>
          <t>GÄVLEBORGS LÄN</t>
        </is>
      </c>
      <c r="G524" t="inlineStr">
        <is>
          <t>SÖDERHAMN</t>
        </is>
      </c>
      <c r="H524" t="inlineStr">
        <is>
          <t>Kommuner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46273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56502-2023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46273</v>
      </c>
      <c r="F526" t="inlineStr">
        <is>
          <t>GÄVLEBORGS LÄN</t>
        </is>
      </c>
      <c r="G526" t="inlineStr">
        <is>
          <t>SÖDERHAMN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46273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46273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46273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71645-2021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46273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63798-2023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45278</v>
      </c>
      <c r="E531" s="1" t="n">
        <v>46273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6853-2024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46273</v>
      </c>
      <c r="F532" t="inlineStr">
        <is>
          <t>GÄVLEBORGS LÄN</t>
        </is>
      </c>
      <c r="G532" t="inlineStr">
        <is>
          <t>SÖDERHAMN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58141-2024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46273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45747</v>
      </c>
      <c r="E534" s="1" t="n">
        <v>46273</v>
      </c>
      <c r="F534" t="inlineStr">
        <is>
          <t>GÄVLEBORGS LÄN</t>
        </is>
      </c>
      <c r="G534" t="inlineStr">
        <is>
          <t>SÖDERHAMN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54156-2022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46273</v>
      </c>
      <c r="F535" t="inlineStr">
        <is>
          <t>GÄVLEBORGS LÄN</t>
        </is>
      </c>
      <c r="G535" t="inlineStr">
        <is>
          <t>SÖDERHAMN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46273</v>
      </c>
      <c r="F536" t="inlineStr">
        <is>
          <t>GÄVLEBORGS LÄN</t>
        </is>
      </c>
      <c r="G536" t="inlineStr">
        <is>
          <t>SÖDERHAMN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63431-2021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44508</v>
      </c>
      <c r="E537" s="1" t="n">
        <v>46273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45527</v>
      </c>
      <c r="E538" s="1" t="n">
        <v>46273</v>
      </c>
      <c r="F538" t="inlineStr">
        <is>
          <t>GÄVLEBORGS LÄN</t>
        </is>
      </c>
      <c r="G538" t="inlineStr">
        <is>
          <t>SÖDERHAMN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45435</v>
      </c>
      <c r="E539" s="1" t="n">
        <v>46273</v>
      </c>
      <c r="F539" t="inlineStr">
        <is>
          <t>GÄVLEBORGS LÄN</t>
        </is>
      </c>
      <c r="G539" t="inlineStr">
        <is>
          <t>SÖDERHAMN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56933-2024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45628</v>
      </c>
      <c r="E540" s="1" t="n">
        <v>46273</v>
      </c>
      <c r="F540" t="inlineStr">
        <is>
          <t>GÄVLEBORGS LÄN</t>
        </is>
      </c>
      <c r="G540" t="inlineStr">
        <is>
          <t>SÖDERHAMN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45677</v>
      </c>
      <c r="E541" s="1" t="n">
        <v>46273</v>
      </c>
      <c r="F541" t="inlineStr">
        <is>
          <t>GÄVLEBORGS LÄN</t>
        </is>
      </c>
      <c r="G541" t="inlineStr">
        <is>
          <t>SÖDERHAMN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45673</v>
      </c>
      <c r="E542" s="1" t="n">
        <v>46273</v>
      </c>
      <c r="F542" t="inlineStr">
        <is>
          <t>GÄVLEBORGS LÄN</t>
        </is>
      </c>
      <c r="G542" t="inlineStr">
        <is>
          <t>SÖDERHAMN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46273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45771</v>
      </c>
      <c r="E544" s="1" t="n">
        <v>46273</v>
      </c>
      <c r="F544" t="inlineStr">
        <is>
          <t>GÄVLEBORGS LÄN</t>
        </is>
      </c>
      <c r="G544" t="inlineStr">
        <is>
          <t>SÖDERHAMN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27862-2023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45098</v>
      </c>
      <c r="E545" s="1" t="n">
        <v>46273</v>
      </c>
      <c r="F545" t="inlineStr">
        <is>
          <t>GÄVLEBORGS LÄN</t>
        </is>
      </c>
      <c r="G545" t="inlineStr">
        <is>
          <t>SÖDERHAMN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45062</v>
      </c>
      <c r="E546" s="1" t="n">
        <v>46273</v>
      </c>
      <c r="F546" t="inlineStr">
        <is>
          <t>GÄVLEBORGS LÄN</t>
        </is>
      </c>
      <c r="G546" t="inlineStr">
        <is>
          <t>SÖDERHAMN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41221-2022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44826</v>
      </c>
      <c r="E547" s="1" t="n">
        <v>46273</v>
      </c>
      <c r="F547" t="inlineStr">
        <is>
          <t>GÄVLEBORGS LÄN</t>
        </is>
      </c>
      <c r="G547" t="inlineStr">
        <is>
          <t>SÖDERHAMN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46273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46006-2024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45580</v>
      </c>
      <c r="E549" s="1" t="n">
        <v>46273</v>
      </c>
      <c r="F549" t="inlineStr">
        <is>
          <t>GÄVLEBORGS LÄN</t>
        </is>
      </c>
      <c r="G549" t="inlineStr">
        <is>
          <t>SÖDERHAMN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46273</v>
      </c>
      <c r="F550" t="inlineStr">
        <is>
          <t>GÄVLEBORGS LÄN</t>
        </is>
      </c>
      <c r="G550" t="inlineStr">
        <is>
          <t>SÖDERHAMN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50066-2023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46273</v>
      </c>
      <c r="F551" t="inlineStr">
        <is>
          <t>GÄVLEBORGS LÄN</t>
        </is>
      </c>
      <c r="G551" t="inlineStr">
        <is>
          <t>SÖDERHAMN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46273</v>
      </c>
      <c r="F552" t="inlineStr">
        <is>
          <t>GÄVLEBORGS LÄN</t>
        </is>
      </c>
      <c r="G552" t="inlineStr">
        <is>
          <t>SÖDERHAMN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15499-2025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45747</v>
      </c>
      <c r="E553" s="1" t="n">
        <v>46273</v>
      </c>
      <c r="F553" t="inlineStr">
        <is>
          <t>GÄVLEBORGS LÄN</t>
        </is>
      </c>
      <c r="G553" t="inlineStr">
        <is>
          <t>SÖDERHAMN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49281-2024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46273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45595</v>
      </c>
      <c r="E555" s="1" t="n">
        <v>46273</v>
      </c>
      <c r="F555" t="inlineStr">
        <is>
          <t>GÄVLEBORGS LÄN</t>
        </is>
      </c>
      <c r="G555" t="inlineStr">
        <is>
          <t>SÖDERHAMN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46273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46273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46273</v>
      </c>
      <c r="F558" t="inlineStr">
        <is>
          <t>GÄVLEBORGS LÄN</t>
        </is>
      </c>
      <c r="G558" t="inlineStr">
        <is>
          <t>SÖDERHAMN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16188-2025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45750</v>
      </c>
      <c r="E559" s="1" t="n">
        <v>46273</v>
      </c>
      <c r="F559" t="inlineStr">
        <is>
          <t>GÄVLEBORGS LÄN</t>
        </is>
      </c>
      <c r="G559" t="inlineStr">
        <is>
          <t>SÖDERHAMN</t>
        </is>
      </c>
      <c r="H559" t="inlineStr">
        <is>
          <t>Kommuner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50842-2024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45602</v>
      </c>
      <c r="E560" s="1" t="n">
        <v>46273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45622</v>
      </c>
      <c r="E561" s="1" t="n">
        <v>46273</v>
      </c>
      <c r="F561" t="inlineStr">
        <is>
          <t>GÄVLEBORGS LÄN</t>
        </is>
      </c>
      <c r="G561" t="inlineStr">
        <is>
          <t>SÖDERHAMN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51413-2023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45219</v>
      </c>
      <c r="E562" s="1" t="n">
        <v>46273</v>
      </c>
      <c r="F562" t="inlineStr">
        <is>
          <t>GÄVLEBORGS LÄN</t>
        </is>
      </c>
      <c r="G562" t="inlineStr">
        <is>
          <t>SÖDERHAMN</t>
        </is>
      </c>
      <c r="H562" t="inlineStr">
        <is>
          <t>Kommuner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15635-2025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45748</v>
      </c>
      <c r="E563" s="1" t="n">
        <v>46273</v>
      </c>
      <c r="F563" t="inlineStr">
        <is>
          <t>GÄVLEBORGS LÄN</t>
        </is>
      </c>
      <c r="G563" t="inlineStr">
        <is>
          <t>SÖDERHAMN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45069</v>
      </c>
      <c r="E564" s="1" t="n">
        <v>46273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45296</v>
      </c>
      <c r="E565" s="1" t="n">
        <v>46273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4497-2024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45327</v>
      </c>
      <c r="E566" s="1" t="n">
        <v>46273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7972-2025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45707</v>
      </c>
      <c r="E567" s="1" t="n">
        <v>46273</v>
      </c>
      <c r="F567" t="inlineStr">
        <is>
          <t>GÄVLEBORGS LÄN</t>
        </is>
      </c>
      <c r="G567" t="inlineStr">
        <is>
          <t>SÖDERHAMN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46273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53916-2024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46273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45265</v>
      </c>
      <c r="E570" s="1" t="n">
        <v>46273</v>
      </c>
      <c r="F570" t="inlineStr">
        <is>
          <t>GÄVLEBORGS LÄN</t>
        </is>
      </c>
      <c r="G570" t="inlineStr">
        <is>
          <t>SÖDERHAMN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46273</v>
      </c>
      <c r="F571" t="inlineStr">
        <is>
          <t>GÄVLEBORGS LÄN</t>
        </is>
      </c>
      <c r="G571" t="inlineStr">
        <is>
          <t>SÖDERHAMN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45420</v>
      </c>
      <c r="E572" s="1" t="n">
        <v>46273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47676-2024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45588</v>
      </c>
      <c r="E573" s="1" t="n">
        <v>46273</v>
      </c>
      <c r="F573" t="inlineStr">
        <is>
          <t>GÄVLEBORGS LÄN</t>
        </is>
      </c>
      <c r="G573" t="inlineStr">
        <is>
          <t>SÖDERHAMN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46273</v>
      </c>
      <c r="F574" t="inlineStr">
        <is>
          <t>GÄVLEBORGS LÄN</t>
        </is>
      </c>
      <c r="G574" t="inlineStr">
        <is>
          <t>SÖDERHAMN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36059-2023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46273</v>
      </c>
      <c r="F575" t="inlineStr">
        <is>
          <t>GÄVLEBORGS LÄN</t>
        </is>
      </c>
      <c r="G575" t="inlineStr">
        <is>
          <t>SÖDERHAMN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46273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45791</v>
      </c>
      <c r="E577" s="1" t="n">
        <v>46273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46273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34978-2024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46273</v>
      </c>
      <c r="F579" t="inlineStr">
        <is>
          <t>GÄVLEBORGS LÄN</t>
        </is>
      </c>
      <c r="G579" t="inlineStr">
        <is>
          <t>SÖDERHAMN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45442</v>
      </c>
      <c r="E580" s="1" t="n">
        <v>46273</v>
      </c>
      <c r="F580" t="inlineStr">
        <is>
          <t>GÄVLEBORGS LÄN</t>
        </is>
      </c>
      <c r="G580" t="inlineStr">
        <is>
          <t>SÖDERHAMN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46273</v>
      </c>
      <c r="F581" t="inlineStr">
        <is>
          <t>GÄVLEBORGS LÄN</t>
        </is>
      </c>
      <c r="G581" t="inlineStr">
        <is>
          <t>SÖDERHAMN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60292-2024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45643</v>
      </c>
      <c r="E582" s="1" t="n">
        <v>46273</v>
      </c>
      <c r="F582" t="inlineStr">
        <is>
          <t>GÄVLEBORGS LÄN</t>
        </is>
      </c>
      <c r="G582" t="inlineStr">
        <is>
          <t>SÖDERHAMN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24610-2025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45798</v>
      </c>
      <c r="E583" s="1" t="n">
        <v>46273</v>
      </c>
      <c r="F583" t="inlineStr">
        <is>
          <t>GÄVLEBORGS LÄN</t>
        </is>
      </c>
      <c r="G583" t="inlineStr">
        <is>
          <t>SÖDERHAMN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31676-2022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44776</v>
      </c>
      <c r="E584" s="1" t="n">
        <v>46273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45467</v>
      </c>
      <c r="E585" s="1" t="n">
        <v>46273</v>
      </c>
      <c r="F585" t="inlineStr">
        <is>
          <t>GÄVLEBORGS LÄN</t>
        </is>
      </c>
      <c r="G585" t="inlineStr">
        <is>
          <t>SÖDERHAMN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46273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19188-2024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45428</v>
      </c>
      <c r="E587" s="1" t="n">
        <v>46273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45805</v>
      </c>
      <c r="E588" s="1" t="n">
        <v>46273</v>
      </c>
      <c r="F588" t="inlineStr">
        <is>
          <t>GÄVLEBORGS LÄN</t>
        </is>
      </c>
      <c r="G588" t="inlineStr">
        <is>
          <t>SÖDERHAMN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45805</v>
      </c>
      <c r="E589" s="1" t="n">
        <v>46273</v>
      </c>
      <c r="F589" t="inlineStr">
        <is>
          <t>GÄVLEBORGS LÄN</t>
        </is>
      </c>
      <c r="G589" t="inlineStr">
        <is>
          <t>SÖDERHAMN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54799-2022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44883</v>
      </c>
      <c r="E590" s="1" t="n">
        <v>46273</v>
      </c>
      <c r="F590" t="inlineStr">
        <is>
          <t>GÄVLEBORGS LÄN</t>
        </is>
      </c>
      <c r="G590" t="inlineStr">
        <is>
          <t>SÖDERHAMN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62903-2023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45272</v>
      </c>
      <c r="E591" s="1" t="n">
        <v>46273</v>
      </c>
      <c r="F591" t="inlineStr">
        <is>
          <t>GÄVLEBORGS LÄN</t>
        </is>
      </c>
      <c r="G591" t="inlineStr">
        <is>
          <t>SÖDERHAMN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45810</v>
      </c>
      <c r="E592" s="1" t="n">
        <v>46273</v>
      </c>
      <c r="F592" t="inlineStr">
        <is>
          <t>GÄVLEBORGS LÄN</t>
        </is>
      </c>
      <c r="G592" t="inlineStr">
        <is>
          <t>SÖDERHAMN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45762</v>
      </c>
      <c r="E593" s="1" t="n">
        <v>46273</v>
      </c>
      <c r="F593" t="inlineStr">
        <is>
          <t>GÄVLEBORGS LÄN</t>
        </is>
      </c>
      <c r="G593" t="inlineStr">
        <is>
          <t>SÖDERHAMN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46273</v>
      </c>
      <c r="F594" t="inlineStr">
        <is>
          <t>GÄVLEBORGS LÄN</t>
        </is>
      </c>
      <c r="G594" t="inlineStr">
        <is>
          <t>SÖDERHAMN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45824</v>
      </c>
      <c r="E595" s="1" t="n">
        <v>46273</v>
      </c>
      <c r="F595" t="inlineStr">
        <is>
          <t>GÄVLEBORGS LÄN</t>
        </is>
      </c>
      <c r="G595" t="inlineStr">
        <is>
          <t>SÖDERHAMN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46273</v>
      </c>
      <c r="F596" t="inlineStr">
        <is>
          <t>GÄVLEBORGS LÄN</t>
        </is>
      </c>
      <c r="G596" t="inlineStr">
        <is>
          <t>SÖDERHAMN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29835-2025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46273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46273</v>
      </c>
      <c r="F598" t="inlineStr">
        <is>
          <t>GÄVLEBORGS LÄN</t>
        </is>
      </c>
      <c r="G598" t="inlineStr">
        <is>
          <t>SÖDERHAMN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50268-2024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46273</v>
      </c>
      <c r="F599" t="inlineStr">
        <is>
          <t>GÄVLEBORGS LÄN</t>
        </is>
      </c>
      <c r="G599" t="inlineStr">
        <is>
          <t>SÖDERHAMN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20717-2024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45436</v>
      </c>
      <c r="E600" s="1" t="n">
        <v>46273</v>
      </c>
      <c r="F600" t="inlineStr">
        <is>
          <t>GÄVLEBORGS LÄN</t>
        </is>
      </c>
      <c r="G600" t="inlineStr">
        <is>
          <t>SÖDERHAMN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45817</v>
      </c>
      <c r="E601" s="1" t="n">
        <v>46273</v>
      </c>
      <c r="F601" t="inlineStr">
        <is>
          <t>GÄVLEBORGS LÄN</t>
        </is>
      </c>
      <c r="G601" t="inlineStr">
        <is>
          <t>SÖDERHAMN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46273</v>
      </c>
      <c r="F602" t="inlineStr">
        <is>
          <t>GÄVLEBORGS LÄN</t>
        </is>
      </c>
      <c r="G602" t="inlineStr">
        <is>
          <t>SÖDERHAMN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45847</v>
      </c>
      <c r="E603" s="1" t="n">
        <v>46273</v>
      </c>
      <c r="F603" t="inlineStr">
        <is>
          <t>GÄVLEBORGS LÄN</t>
        </is>
      </c>
      <c r="G603" t="inlineStr">
        <is>
          <t>SÖDERHAMN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46273</v>
      </c>
      <c r="F604" t="inlineStr">
        <is>
          <t>GÄVLEBORGS LÄN</t>
        </is>
      </c>
      <c r="G604" t="inlineStr">
        <is>
          <t>SÖDERHAMN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45863</v>
      </c>
      <c r="E605" s="1" t="n">
        <v>46273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27028-2025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46273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46273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37541-2025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45879</v>
      </c>
      <c r="E608" s="1" t="n">
        <v>46273</v>
      </c>
      <c r="F608" t="inlineStr">
        <is>
          <t>GÄVLEBORGS LÄN</t>
        </is>
      </c>
      <c r="G608" t="inlineStr">
        <is>
          <t>SÖDERHAMN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45879</v>
      </c>
      <c r="E609" s="1" t="n">
        <v>46273</v>
      </c>
      <c r="F609" t="inlineStr">
        <is>
          <t>GÄVLEBORGS LÄN</t>
        </is>
      </c>
      <c r="G609" t="inlineStr">
        <is>
          <t>SÖDERHAMN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45821</v>
      </c>
      <c r="E610" s="1" t="n">
        <v>46273</v>
      </c>
      <c r="F610" t="inlineStr">
        <is>
          <t>GÄVLEBORGS LÄN</t>
        </is>
      </c>
      <c r="G610" t="inlineStr">
        <is>
          <t>SÖDERHAMN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46273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46273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46273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15-2024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45293</v>
      </c>
      <c r="E614" s="1" t="n">
        <v>46273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17.7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46273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2026-09-08T02:08:28Z</dcterms:created>
  <dcterms:modified xmlns:dcterms="http://purl.org/dc/terms/" xmlns:xsi="http://www.w3.org/2001/XMLSchema-instance" xsi:type="dcterms:W3CDTF">2026-09-08T02:08:28Z</dcterms:modified>
</cp:coreProperties>
</file>