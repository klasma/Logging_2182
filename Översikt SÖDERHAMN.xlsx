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45730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45730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45730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45730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45730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45730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45730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45730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45730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45730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45730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45730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45730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45730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45730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45730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45730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45730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27148-2023</t>
        </is>
      </c>
      <c r="B20" s="1" t="n">
        <v>45096</v>
      </c>
      <c r="C20" s="1" t="n">
        <v>45730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Gulskölding</t>
        </is>
      </c>
      <c r="S20">
        <f>HYPERLINK("https://klasma.github.io/Logging_2182/artfynd/A 27148-2023 artfynd.xlsx", "A 27148-2023")</f>
        <v/>
      </c>
      <c r="T20">
        <f>HYPERLINK("https://klasma.github.io/Logging_2182/kartor/A 27148-2023 karta.png", "A 27148-2023")</f>
        <v/>
      </c>
      <c r="V20">
        <f>HYPERLINK("https://klasma.github.io/Logging_2182/klagomål/A 27148-2023 FSC-klagomål.docx", "A 27148-2023")</f>
        <v/>
      </c>
      <c r="W20">
        <f>HYPERLINK("https://klasma.github.io/Logging_2182/klagomålsmail/A 27148-2023 FSC-klagomål mail.docx", "A 27148-2023")</f>
        <v/>
      </c>
      <c r="X20">
        <f>HYPERLINK("https://klasma.github.io/Logging_2182/tillsyn/A 27148-2023 tillsynsbegäran.docx", "A 27148-2023")</f>
        <v/>
      </c>
      <c r="Y20">
        <f>HYPERLINK("https://klasma.github.io/Logging_2182/tillsynsmail/A 27148-2023 tillsynsbegäran mail.docx", "A 27148-2023")</f>
        <v/>
      </c>
    </row>
    <row r="21" ht="15" customHeight="1">
      <c r="A21" t="inlineStr">
        <is>
          <t>A 49122-2023</t>
        </is>
      </c>
      <c r="B21" s="1" t="n">
        <v>45205</v>
      </c>
      <c r="C21" s="1" t="n">
        <v>45730</v>
      </c>
      <c r="D21" t="inlineStr">
        <is>
          <t>GÄVLEBORGS LÄN</t>
        </is>
      </c>
      <c r="E21" t="inlineStr">
        <is>
          <t>SÖDERHAMN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49122-2023 artfynd.xlsx", "A 49122-2023")</f>
        <v/>
      </c>
      <c r="T21">
        <f>HYPERLINK("https://klasma.github.io/Logging_2182/kartor/A 49122-2023 karta.png", "A 49122-2023")</f>
        <v/>
      </c>
      <c r="V21">
        <f>HYPERLINK("https://klasma.github.io/Logging_2182/klagomål/A 49122-2023 FSC-klagomål.docx", "A 49122-2023")</f>
        <v/>
      </c>
      <c r="W21">
        <f>HYPERLINK("https://klasma.github.io/Logging_2182/klagomålsmail/A 49122-2023 FSC-klagomål mail.docx", "A 49122-2023")</f>
        <v/>
      </c>
      <c r="X21">
        <f>HYPERLINK("https://klasma.github.io/Logging_2182/tillsyn/A 49122-2023 tillsynsbegäran.docx", "A 49122-2023")</f>
        <v/>
      </c>
      <c r="Y21">
        <f>HYPERLINK("https://klasma.github.io/Logging_2182/tillsynsmail/A 49122-2023 tillsynsbegäran mail.docx", "A 49122-2023")</f>
        <v/>
      </c>
    </row>
    <row r="22" ht="15" customHeight="1">
      <c r="A22" t="inlineStr">
        <is>
          <t>A 13048-2024</t>
        </is>
      </c>
      <c r="B22" s="1" t="n">
        <v>45385</v>
      </c>
      <c r="C22" s="1" t="n">
        <v>45730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13048-2024 artfynd.xlsx", "A 13048-2024")</f>
        <v/>
      </c>
      <c r="T22">
        <f>HYPERLINK("https://klasma.github.io/Logging_2182/kartor/A 13048-2024 karta.png", "A 13048-2024")</f>
        <v/>
      </c>
      <c r="V22">
        <f>HYPERLINK("https://klasma.github.io/Logging_2182/klagomål/A 13048-2024 FSC-klagomål.docx", "A 13048-2024")</f>
        <v/>
      </c>
      <c r="W22">
        <f>HYPERLINK("https://klasma.github.io/Logging_2182/klagomålsmail/A 13048-2024 FSC-klagomål mail.docx", "A 13048-2024")</f>
        <v/>
      </c>
      <c r="X22">
        <f>HYPERLINK("https://klasma.github.io/Logging_2182/tillsyn/A 13048-2024 tillsynsbegäran.docx", "A 13048-2024")</f>
        <v/>
      </c>
      <c r="Y22">
        <f>HYPERLINK("https://klasma.github.io/Logging_2182/tillsynsmail/A 13048-2024 tillsynsbegäran mail.docx", "A 13048-2024")</f>
        <v/>
      </c>
    </row>
    <row r="23" ht="15" customHeight="1">
      <c r="A23" t="inlineStr">
        <is>
          <t>A 53562-2024</t>
        </is>
      </c>
      <c r="B23" s="1" t="n">
        <v>45614</v>
      </c>
      <c r="C23" s="1" t="n">
        <v>45730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HYPERLINK("https://klasma.github.io/Logging_2182/artfynd/A 53562-2024 artfynd.xlsx", "A 53562-2024")</f>
        <v/>
      </c>
      <c r="T23">
        <f>HYPERLINK("https://klasma.github.io/Logging_2182/kartor/A 53562-2024 karta.png", "A 53562-2024")</f>
        <v/>
      </c>
      <c r="V23">
        <f>HYPERLINK("https://klasma.github.io/Logging_2182/klagomål/A 53562-2024 FSC-klagomål.docx", "A 53562-2024")</f>
        <v/>
      </c>
      <c r="W23">
        <f>HYPERLINK("https://klasma.github.io/Logging_2182/klagomålsmail/A 53562-2024 FSC-klagomål mail.docx", "A 53562-2024")</f>
        <v/>
      </c>
      <c r="X23">
        <f>HYPERLINK("https://klasma.github.io/Logging_2182/tillsyn/A 53562-2024 tillsynsbegäran.docx", "A 53562-2024")</f>
        <v/>
      </c>
      <c r="Y23">
        <f>HYPERLINK("https://klasma.github.io/Logging_2182/tillsynsmail/A 53562-2024 tillsynsbegäran mail.docx", "A 53562-2024")</f>
        <v/>
      </c>
      <c r="Z23">
        <f>HYPERLINK("https://klasma.github.io/Logging_2182/fåglar/A 53562-2024 prioriterade fågelarter.docx", "A 53562-2024")</f>
        <v/>
      </c>
    </row>
    <row r="24" ht="15" customHeight="1">
      <c r="A24" t="inlineStr">
        <is>
          <t>A 18347-2019</t>
        </is>
      </c>
      <c r="B24" s="1" t="n">
        <v>43559</v>
      </c>
      <c r="C24" s="1" t="n">
        <v>45730</v>
      </c>
      <c r="D24" t="inlineStr">
        <is>
          <t>GÄVLEBORGS LÄN</t>
        </is>
      </c>
      <c r="E24" t="inlineStr">
        <is>
          <t>SÖDERHAMN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19146-2019</t>
        </is>
      </c>
      <c r="B25" s="1" t="n">
        <v>43564</v>
      </c>
      <c r="C25" s="1" t="n">
        <v>45730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20043-2019</t>
        </is>
      </c>
      <c r="B26" s="1" t="n">
        <v>43570</v>
      </c>
      <c r="C26" s="1" t="n">
        <v>45730</v>
      </c>
      <c r="D26" t="inlineStr">
        <is>
          <t>GÄVLEBORGS LÄN</t>
        </is>
      </c>
      <c r="E26" t="inlineStr">
        <is>
          <t>SÖDERHAMN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20039-2019</t>
        </is>
      </c>
      <c r="B27" s="1" t="n">
        <v>43570</v>
      </c>
      <c r="C27" s="1" t="n">
        <v>45730</v>
      </c>
      <c r="D27" t="inlineStr">
        <is>
          <t>GÄVLEBORGS LÄN</t>
        </is>
      </c>
      <c r="E27" t="inlineStr">
        <is>
          <t>SÖDERHAMN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23268-2019</t>
        </is>
      </c>
      <c r="B28" s="1" t="n">
        <v>43592</v>
      </c>
      <c r="C28" s="1" t="n">
        <v>45730</v>
      </c>
      <c r="D28" t="inlineStr">
        <is>
          <t>GÄVLEBORGS LÄN</t>
        </is>
      </c>
      <c r="E28" t="inlineStr">
        <is>
          <t>SÖDERHAMN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25431-2019</t>
        </is>
      </c>
      <c r="B29" s="1" t="n">
        <v>43606</v>
      </c>
      <c r="C29" s="1" t="n">
        <v>45730</v>
      </c>
      <c r="D29" t="inlineStr">
        <is>
          <t>GÄVLEBORGS LÄN</t>
        </is>
      </c>
      <c r="E29" t="inlineStr">
        <is>
          <t>SÖDERHAMN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25633-2019</t>
        </is>
      </c>
      <c r="B30" s="1" t="n">
        <v>43607</v>
      </c>
      <c r="C30" s="1" t="n">
        <v>45730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26894-2019</t>
        </is>
      </c>
      <c r="B31" s="1" t="n">
        <v>43613</v>
      </c>
      <c r="C31" s="1" t="n">
        <v>45730</v>
      </c>
      <c r="D31" t="inlineStr">
        <is>
          <t>GÄVLEBORGS LÄN</t>
        </is>
      </c>
      <c r="E31" t="inlineStr">
        <is>
          <t>SÖDERHAMN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28142-2019</t>
        </is>
      </c>
      <c r="B32" s="1" t="n">
        <v>43621</v>
      </c>
      <c r="C32" s="1" t="n">
        <v>45730</v>
      </c>
      <c r="D32" t="inlineStr">
        <is>
          <t>GÄVLEBORGS LÄN</t>
        </is>
      </c>
      <c r="E32" t="inlineStr">
        <is>
          <t>SÖDERHAMN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28390-2019</t>
        </is>
      </c>
      <c r="B33" s="1" t="n">
        <v>43626</v>
      </c>
      <c r="C33" s="1" t="n">
        <v>45730</v>
      </c>
      <c r="D33" t="inlineStr">
        <is>
          <t>GÄVLEBORGS LÄN</t>
        </is>
      </c>
      <c r="E33" t="inlineStr">
        <is>
          <t>SÖDERHAMN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29688-2019</t>
        </is>
      </c>
      <c r="B34" s="1" t="n">
        <v>43630</v>
      </c>
      <c r="C34" s="1" t="n">
        <v>45730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32084-2019</t>
        </is>
      </c>
      <c r="B35" s="1" t="n">
        <v>43643</v>
      </c>
      <c r="C35" s="1" t="n">
        <v>45730</v>
      </c>
      <c r="D35" t="inlineStr">
        <is>
          <t>GÄVLEBORGS LÄN</t>
        </is>
      </c>
      <c r="E35" t="inlineStr">
        <is>
          <t>SÖDERHAMN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34418-2019</t>
        </is>
      </c>
      <c r="B36" s="1" t="n">
        <v>43656</v>
      </c>
      <c r="C36" s="1" t="n">
        <v>45730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34438-2019</t>
        </is>
      </c>
      <c r="B37" s="1" t="n">
        <v>43656</v>
      </c>
      <c r="C37" s="1" t="n">
        <v>45730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36239-2019</t>
        </is>
      </c>
      <c r="B38" s="1" t="n">
        <v>43669</v>
      </c>
      <c r="C38" s="1" t="n">
        <v>45730</v>
      </c>
      <c r="D38" t="inlineStr">
        <is>
          <t>GÄVLEBORGS LÄN</t>
        </is>
      </c>
      <c r="E38" t="inlineStr">
        <is>
          <t>SÖDERHAMN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37473-2019</t>
        </is>
      </c>
      <c r="B39" s="1" t="n">
        <v>43679</v>
      </c>
      <c r="C39" s="1" t="n">
        <v>45730</v>
      </c>
      <c r="D39" t="inlineStr">
        <is>
          <t>GÄVLEBORGS LÄN</t>
        </is>
      </c>
      <c r="E39" t="inlineStr">
        <is>
          <t>SÖDERHAMN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37852-2019</t>
        </is>
      </c>
      <c r="B40" s="1" t="n">
        <v>43682</v>
      </c>
      <c r="C40" s="1" t="n">
        <v>45730</v>
      </c>
      <c r="D40" t="inlineStr">
        <is>
          <t>GÄVLEBORGS LÄN</t>
        </is>
      </c>
      <c r="E40" t="inlineStr">
        <is>
          <t>SÖDERHAMN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39365-2019</t>
        </is>
      </c>
      <c r="B41" s="1" t="n">
        <v>43690</v>
      </c>
      <c r="C41" s="1" t="n">
        <v>45730</v>
      </c>
      <c r="D41" t="inlineStr">
        <is>
          <t>GÄVLEBORGS LÄN</t>
        </is>
      </c>
      <c r="E41" t="inlineStr">
        <is>
          <t>SÖDERHAMN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40433-2019</t>
        </is>
      </c>
      <c r="B42" s="1" t="n">
        <v>43696</v>
      </c>
      <c r="C42" s="1" t="n">
        <v>45730</v>
      </c>
      <c r="D42" t="inlineStr">
        <is>
          <t>GÄVLEBORGS LÄN</t>
        </is>
      </c>
      <c r="E42" t="inlineStr">
        <is>
          <t>SÖDERHAMN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44150-2019</t>
        </is>
      </c>
      <c r="B43" s="1" t="n">
        <v>43710</v>
      </c>
      <c r="C43" s="1" t="n">
        <v>45730</v>
      </c>
      <c r="D43" t="inlineStr">
        <is>
          <t>GÄVLEBORGS LÄN</t>
        </is>
      </c>
      <c r="E43" t="inlineStr">
        <is>
          <t>SÖDERHAMN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44439-2019</t>
        </is>
      </c>
      <c r="B44" s="1" t="n">
        <v>43711</v>
      </c>
      <c r="C44" s="1" t="n">
        <v>45730</v>
      </c>
      <c r="D44" t="inlineStr">
        <is>
          <t>GÄVLEBORGS LÄN</t>
        </is>
      </c>
      <c r="E44" t="inlineStr">
        <is>
          <t>SÖDERHAMN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47301-2019</t>
        </is>
      </c>
      <c r="B45" s="1" t="n">
        <v>43721</v>
      </c>
      <c r="C45" s="1" t="n">
        <v>45730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48100-2019</t>
        </is>
      </c>
      <c r="B46" s="1" t="n">
        <v>43725</v>
      </c>
      <c r="C46" s="1" t="n">
        <v>45730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49477-2019</t>
        </is>
      </c>
      <c r="B47" s="1" t="n">
        <v>43732</v>
      </c>
      <c r="C47" s="1" t="n">
        <v>45730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49481-2019</t>
        </is>
      </c>
      <c r="B48" s="1" t="n">
        <v>43732</v>
      </c>
      <c r="C48" s="1" t="n">
        <v>45730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49547-2019</t>
        </is>
      </c>
      <c r="B49" s="1" t="n">
        <v>43732</v>
      </c>
      <c r="C49" s="1" t="n">
        <v>45730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50201-2019</t>
        </is>
      </c>
      <c r="B50" s="1" t="n">
        <v>43734</v>
      </c>
      <c r="C50" s="1" t="n">
        <v>45730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53589-2019</t>
        </is>
      </c>
      <c r="B51" s="1" t="n">
        <v>43746</v>
      </c>
      <c r="C51" s="1" t="n">
        <v>45730</v>
      </c>
      <c r="D51" t="inlineStr">
        <is>
          <t>GÄVLEBORGS LÄN</t>
        </is>
      </c>
      <c r="E51" t="inlineStr">
        <is>
          <t>SÖDERHAMN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52976-2019</t>
        </is>
      </c>
      <c r="B52" s="1" t="n">
        <v>43747</v>
      </c>
      <c r="C52" s="1" t="n">
        <v>45730</v>
      </c>
      <c r="D52" t="inlineStr">
        <is>
          <t>GÄVLEBORGS LÄN</t>
        </is>
      </c>
      <c r="E52" t="inlineStr">
        <is>
          <t>SÖDERHAMN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53386-2019</t>
        </is>
      </c>
      <c r="B53" s="1" t="n">
        <v>43748</v>
      </c>
      <c r="C53" s="1" t="n">
        <v>45730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53409-2019</t>
        </is>
      </c>
      <c r="B54" s="1" t="n">
        <v>43748</v>
      </c>
      <c r="C54" s="1" t="n">
        <v>45730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55789-2019</t>
        </is>
      </c>
      <c r="B55" s="1" t="n">
        <v>43759</v>
      </c>
      <c r="C55" s="1" t="n">
        <v>45730</v>
      </c>
      <c r="D55" t="inlineStr">
        <is>
          <t>GÄVLEBORGS LÄN</t>
        </is>
      </c>
      <c r="E55" t="inlineStr">
        <is>
          <t>SÖDERHAMN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55933-2019</t>
        </is>
      </c>
      <c r="B56" s="1" t="n">
        <v>43761</v>
      </c>
      <c r="C56" s="1" t="n">
        <v>45730</v>
      </c>
      <c r="D56" t="inlineStr">
        <is>
          <t>GÄVLEBORGS LÄN</t>
        </is>
      </c>
      <c r="E56" t="inlineStr">
        <is>
          <t>SÖDERHAMN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55949-2019</t>
        </is>
      </c>
      <c r="B57" s="1" t="n">
        <v>43761</v>
      </c>
      <c r="C57" s="1" t="n">
        <v>45730</v>
      </c>
      <c r="D57" t="inlineStr">
        <is>
          <t>GÄVLEBORGS LÄN</t>
        </is>
      </c>
      <c r="E57" t="inlineStr">
        <is>
          <t>SÖDERHAMN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55932-2019</t>
        </is>
      </c>
      <c r="B58" s="1" t="n">
        <v>43761</v>
      </c>
      <c r="C58" s="1" t="n">
        <v>45730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56974-2019</t>
        </is>
      </c>
      <c r="B59" s="1" t="n">
        <v>43766</v>
      </c>
      <c r="C59" s="1" t="n">
        <v>45730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60966-2019</t>
        </is>
      </c>
      <c r="B60" s="1" t="n">
        <v>43782</v>
      </c>
      <c r="C60" s="1" t="n">
        <v>45730</v>
      </c>
      <c r="D60" t="inlineStr">
        <is>
          <t>GÄVLEBORGS LÄN</t>
        </is>
      </c>
      <c r="E60" t="inlineStr">
        <is>
          <t>SÖDERHAMN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62448-2019</t>
        </is>
      </c>
      <c r="B61" s="1" t="n">
        <v>43783</v>
      </c>
      <c r="C61" s="1" t="n">
        <v>45730</v>
      </c>
      <c r="D61" t="inlineStr">
        <is>
          <t>GÄVLEBORGS LÄN</t>
        </is>
      </c>
      <c r="E61" t="inlineStr">
        <is>
          <t>SÖDERHAMN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61274-2019</t>
        </is>
      </c>
      <c r="B62" s="1" t="n">
        <v>43783</v>
      </c>
      <c r="C62" s="1" t="n">
        <v>45730</v>
      </c>
      <c r="D62" t="inlineStr">
        <is>
          <t>GÄVLEBORGS LÄN</t>
        </is>
      </c>
      <c r="E62" t="inlineStr">
        <is>
          <t>SÖDERHAMN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64750-2019</t>
        </is>
      </c>
      <c r="B63" s="1" t="n">
        <v>43801</v>
      </c>
      <c r="C63" s="1" t="n">
        <v>45730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65192-2019</t>
        </is>
      </c>
      <c r="B64" s="1" t="n">
        <v>43802</v>
      </c>
      <c r="C64" s="1" t="n">
        <v>45730</v>
      </c>
      <c r="D64" t="inlineStr">
        <is>
          <t>GÄVLEBORGS LÄN</t>
        </is>
      </c>
      <c r="E64" t="inlineStr">
        <is>
          <t>SÖDERHAMN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65614-2019</t>
        </is>
      </c>
      <c r="B65" s="1" t="n">
        <v>43804</v>
      </c>
      <c r="C65" s="1" t="n">
        <v>45730</v>
      </c>
      <c r="D65" t="inlineStr">
        <is>
          <t>GÄVLEBORGS LÄN</t>
        </is>
      </c>
      <c r="E65" t="inlineStr">
        <is>
          <t>SÖDERHAMN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65714-2019</t>
        </is>
      </c>
      <c r="B66" s="1" t="n">
        <v>43804</v>
      </c>
      <c r="C66" s="1" t="n">
        <v>45730</v>
      </c>
      <c r="D66" t="inlineStr">
        <is>
          <t>GÄVLEBORGS LÄN</t>
        </is>
      </c>
      <c r="E66" t="inlineStr">
        <is>
          <t>SÖDERHAMN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67776-2019</t>
        </is>
      </c>
      <c r="B67" s="1" t="n">
        <v>43815</v>
      </c>
      <c r="C67" s="1" t="n">
        <v>45730</v>
      </c>
      <c r="D67" t="inlineStr">
        <is>
          <t>GÄVLEBORGS LÄN</t>
        </is>
      </c>
      <c r="E67" t="inlineStr">
        <is>
          <t>SÖDERHAMN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67812-2019</t>
        </is>
      </c>
      <c r="B68" s="1" t="n">
        <v>43815</v>
      </c>
      <c r="C68" s="1" t="n">
        <v>45730</v>
      </c>
      <c r="D68" t="inlineStr">
        <is>
          <t>GÄVLEBORGS LÄN</t>
        </is>
      </c>
      <c r="E68" t="inlineStr">
        <is>
          <t>SÖDERHAMN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67775-2019</t>
        </is>
      </c>
      <c r="B69" s="1" t="n">
        <v>43815</v>
      </c>
      <c r="C69" s="1" t="n">
        <v>45730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68348-2019</t>
        </is>
      </c>
      <c r="B70" s="1" t="n">
        <v>43818</v>
      </c>
      <c r="C70" s="1" t="n">
        <v>45730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1926-2020</t>
        </is>
      </c>
      <c r="B71" s="1" t="n">
        <v>43845</v>
      </c>
      <c r="C71" s="1" t="n">
        <v>45730</v>
      </c>
      <c r="D71" t="inlineStr">
        <is>
          <t>GÄVLEBORGS LÄN</t>
        </is>
      </c>
      <c r="E71" t="inlineStr">
        <is>
          <t>SÖDERHAMN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2979-2020</t>
        </is>
      </c>
      <c r="B72" s="1" t="n">
        <v>43850</v>
      </c>
      <c r="C72" s="1" t="n">
        <v>45730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4185-2020</t>
        </is>
      </c>
      <c r="B73" s="1" t="n">
        <v>43857</v>
      </c>
      <c r="C73" s="1" t="n">
        <v>45730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5289-2020</t>
        </is>
      </c>
      <c r="B74" s="1" t="n">
        <v>43860</v>
      </c>
      <c r="C74" s="1" t="n">
        <v>45730</v>
      </c>
      <c r="D74" t="inlineStr">
        <is>
          <t>GÄVLEBORGS LÄN</t>
        </is>
      </c>
      <c r="E74" t="inlineStr">
        <is>
          <t>SÖDERHAMN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7387-2020</t>
        </is>
      </c>
      <c r="B75" s="1" t="n">
        <v>43871</v>
      </c>
      <c r="C75" s="1" t="n">
        <v>45730</v>
      </c>
      <c r="D75" t="inlineStr">
        <is>
          <t>GÄVLEBORGS LÄN</t>
        </is>
      </c>
      <c r="E75" t="inlineStr">
        <is>
          <t>SÖDERHAMN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7389-2020</t>
        </is>
      </c>
      <c r="B76" s="1" t="n">
        <v>43871</v>
      </c>
      <c r="C76" s="1" t="n">
        <v>45730</v>
      </c>
      <c r="D76" t="inlineStr">
        <is>
          <t>GÄVLEBORGS LÄN</t>
        </is>
      </c>
      <c r="E76" t="inlineStr">
        <is>
          <t>SÖDERHAMN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7636-2020</t>
        </is>
      </c>
      <c r="B77" s="1" t="n">
        <v>43872</v>
      </c>
      <c r="C77" s="1" t="n">
        <v>45730</v>
      </c>
      <c r="D77" t="inlineStr">
        <is>
          <t>GÄVLEBORGS LÄN</t>
        </is>
      </c>
      <c r="E77" t="inlineStr">
        <is>
          <t>SÖDERHAMN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10952-2020</t>
        </is>
      </c>
      <c r="B78" s="1" t="n">
        <v>43885</v>
      </c>
      <c r="C78" s="1" t="n">
        <v>45730</v>
      </c>
      <c r="D78" t="inlineStr">
        <is>
          <t>GÄVLEBORGS LÄN</t>
        </is>
      </c>
      <c r="E78" t="inlineStr">
        <is>
          <t>SÖDERHAMN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11036-2020</t>
        </is>
      </c>
      <c r="B79" s="1" t="n">
        <v>43889</v>
      </c>
      <c r="C79" s="1" t="n">
        <v>45730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13422-2020</t>
        </is>
      </c>
      <c r="B80" s="1" t="n">
        <v>43894</v>
      </c>
      <c r="C80" s="1" t="n">
        <v>45730</v>
      </c>
      <c r="D80" t="inlineStr">
        <is>
          <t>GÄVLEBORGS LÄN</t>
        </is>
      </c>
      <c r="E80" t="inlineStr">
        <is>
          <t>SÖDERHAMN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12217-2020</t>
        </is>
      </c>
      <c r="B81" s="1" t="n">
        <v>43895</v>
      </c>
      <c r="C81" s="1" t="n">
        <v>45730</v>
      </c>
      <c r="D81" t="inlineStr">
        <is>
          <t>GÄVLEBORGS LÄN</t>
        </is>
      </c>
      <c r="E81" t="inlineStr">
        <is>
          <t>SÖDERHAMN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12224-2020</t>
        </is>
      </c>
      <c r="B82" s="1" t="n">
        <v>43895</v>
      </c>
      <c r="C82" s="1" t="n">
        <v>45730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13034-2020</t>
        </is>
      </c>
      <c r="B83" s="1" t="n">
        <v>43900</v>
      </c>
      <c r="C83" s="1" t="n">
        <v>45730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13032-2020</t>
        </is>
      </c>
      <c r="B84" s="1" t="n">
        <v>43900</v>
      </c>
      <c r="C84" s="1" t="n">
        <v>45730</v>
      </c>
      <c r="D84" t="inlineStr">
        <is>
          <t>GÄVLEBORGS LÄN</t>
        </is>
      </c>
      <c r="E84" t="inlineStr">
        <is>
          <t>SÖDERHAMN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14321-2020</t>
        </is>
      </c>
      <c r="B85" s="1" t="n">
        <v>43907</v>
      </c>
      <c r="C85" s="1" t="n">
        <v>45730</v>
      </c>
      <c r="D85" t="inlineStr">
        <is>
          <t>GÄVLEBORGS LÄN</t>
        </is>
      </c>
      <c r="E85" t="inlineStr">
        <is>
          <t>SÖDERHAMN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14449-2020</t>
        </is>
      </c>
      <c r="B86" s="1" t="n">
        <v>43908</v>
      </c>
      <c r="C86" s="1" t="n">
        <v>45730</v>
      </c>
      <c r="D86" t="inlineStr">
        <is>
          <t>GÄVLEBORGS LÄN</t>
        </is>
      </c>
      <c r="E86" t="inlineStr">
        <is>
          <t>SÖDERHAMN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14992-2020</t>
        </is>
      </c>
      <c r="B87" s="1" t="n">
        <v>43910</v>
      </c>
      <c r="C87" s="1" t="n">
        <v>45730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16372-2020</t>
        </is>
      </c>
      <c r="B88" s="1" t="n">
        <v>43917</v>
      </c>
      <c r="C88" s="1" t="n">
        <v>45730</v>
      </c>
      <c r="D88" t="inlineStr">
        <is>
          <t>GÄVLEBORGS LÄN</t>
        </is>
      </c>
      <c r="E88" t="inlineStr">
        <is>
          <t>SÖDERHAMN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18914-2020</t>
        </is>
      </c>
      <c r="B89" s="1" t="n">
        <v>43935</v>
      </c>
      <c r="C89" s="1" t="n">
        <v>45730</v>
      </c>
      <c r="D89" t="inlineStr">
        <is>
          <t>GÄVLEBORGS LÄN</t>
        </is>
      </c>
      <c r="E89" t="inlineStr">
        <is>
          <t>SÖDERHAMN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19417-2020</t>
        </is>
      </c>
      <c r="B90" s="1" t="n">
        <v>43938</v>
      </c>
      <c r="C90" s="1" t="n">
        <v>45730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19403-2020</t>
        </is>
      </c>
      <c r="B91" s="1" t="n">
        <v>43938</v>
      </c>
      <c r="C91" s="1" t="n">
        <v>45730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19920-2020</t>
        </is>
      </c>
      <c r="B92" s="1" t="n">
        <v>43943</v>
      </c>
      <c r="C92" s="1" t="n">
        <v>45730</v>
      </c>
      <c r="D92" t="inlineStr">
        <is>
          <t>GÄVLEBORGS LÄN</t>
        </is>
      </c>
      <c r="E92" t="inlineStr">
        <is>
          <t>SÖDERHAMN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21349-2020</t>
        </is>
      </c>
      <c r="B93" s="1" t="n">
        <v>43955</v>
      </c>
      <c r="C93" s="1" t="n">
        <v>45730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23171-2020</t>
        </is>
      </c>
      <c r="B94" s="1" t="n">
        <v>43966</v>
      </c>
      <c r="C94" s="1" t="n">
        <v>45730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23682-2020</t>
        </is>
      </c>
      <c r="B95" s="1" t="n">
        <v>43970</v>
      </c>
      <c r="C95" s="1" t="n">
        <v>45730</v>
      </c>
      <c r="D95" t="inlineStr">
        <is>
          <t>GÄVLEBORGS LÄN</t>
        </is>
      </c>
      <c r="E95" t="inlineStr">
        <is>
          <t>SÖDERHAMN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24901-2020</t>
        </is>
      </c>
      <c r="B96" s="1" t="n">
        <v>43979</v>
      </c>
      <c r="C96" s="1" t="n">
        <v>45730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25896-2020</t>
        </is>
      </c>
      <c r="B97" s="1" t="n">
        <v>43984</v>
      </c>
      <c r="C97" s="1" t="n">
        <v>45730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27100-2020</t>
        </is>
      </c>
      <c r="B98" s="1" t="n">
        <v>43991</v>
      </c>
      <c r="C98" s="1" t="n">
        <v>45730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29575-2020</t>
        </is>
      </c>
      <c r="B99" s="1" t="n">
        <v>44000</v>
      </c>
      <c r="C99" s="1" t="n">
        <v>45730</v>
      </c>
      <c r="D99" t="inlineStr">
        <is>
          <t>GÄVLEBORGS LÄN</t>
        </is>
      </c>
      <c r="E99" t="inlineStr">
        <is>
          <t>SÖDERHAMN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29125-2020</t>
        </is>
      </c>
      <c r="B100" s="1" t="n">
        <v>44004</v>
      </c>
      <c r="C100" s="1" t="n">
        <v>45730</v>
      </c>
      <c r="D100" t="inlineStr">
        <is>
          <t>GÄVLEBORGS LÄN</t>
        </is>
      </c>
      <c r="E100" t="inlineStr">
        <is>
          <t>SÖDERHAMN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30281-2020</t>
        </is>
      </c>
      <c r="B101" s="1" t="n">
        <v>44007</v>
      </c>
      <c r="C101" s="1" t="n">
        <v>45730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30558-2020</t>
        </is>
      </c>
      <c r="B102" s="1" t="n">
        <v>44008</v>
      </c>
      <c r="C102" s="1" t="n">
        <v>45730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30569-2020</t>
        </is>
      </c>
      <c r="B103" s="1" t="n">
        <v>44008</v>
      </c>
      <c r="C103" s="1" t="n">
        <v>45730</v>
      </c>
      <c r="D103" t="inlineStr">
        <is>
          <t>GÄVLEBORGS LÄN</t>
        </is>
      </c>
      <c r="E103" t="inlineStr">
        <is>
          <t>SÖDERHAMN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30584-2020</t>
        </is>
      </c>
      <c r="B104" s="1" t="n">
        <v>44008</v>
      </c>
      <c r="C104" s="1" t="n">
        <v>45730</v>
      </c>
      <c r="D104" t="inlineStr">
        <is>
          <t>GÄVLEBORGS LÄN</t>
        </is>
      </c>
      <c r="E104" t="inlineStr">
        <is>
          <t>SÖDERHAMN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30516-2020</t>
        </is>
      </c>
      <c r="B105" s="1" t="n">
        <v>44008</v>
      </c>
      <c r="C105" s="1" t="n">
        <v>45730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30678-2020</t>
        </is>
      </c>
      <c r="B106" s="1" t="n">
        <v>44008</v>
      </c>
      <c r="C106" s="1" t="n">
        <v>45730</v>
      </c>
      <c r="D106" t="inlineStr">
        <is>
          <t>GÄVLEBORGS LÄN</t>
        </is>
      </c>
      <c r="E106" t="inlineStr">
        <is>
          <t>SÖDERHAMN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30556-2020</t>
        </is>
      </c>
      <c r="B107" s="1" t="n">
        <v>44008</v>
      </c>
      <c r="C107" s="1" t="n">
        <v>45730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30899-2020</t>
        </is>
      </c>
      <c r="B108" s="1" t="n">
        <v>44011</v>
      </c>
      <c r="C108" s="1" t="n">
        <v>45730</v>
      </c>
      <c r="D108" t="inlineStr">
        <is>
          <t>GÄVLEBORGS LÄN</t>
        </is>
      </c>
      <c r="E108" t="inlineStr">
        <is>
          <t>SÖDERHAMN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33762-2020</t>
        </is>
      </c>
      <c r="B109" s="1" t="n">
        <v>44026</v>
      </c>
      <c r="C109" s="1" t="n">
        <v>45730</v>
      </c>
      <c r="D109" t="inlineStr">
        <is>
          <t>GÄVLEBORGS LÄN</t>
        </is>
      </c>
      <c r="E109" t="inlineStr">
        <is>
          <t>SÖDERHAMN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33769-2020</t>
        </is>
      </c>
      <c r="B110" s="1" t="n">
        <v>44026</v>
      </c>
      <c r="C110" s="1" t="n">
        <v>45730</v>
      </c>
      <c r="D110" t="inlineStr">
        <is>
          <t>GÄVLEBORGS LÄN</t>
        </is>
      </c>
      <c r="E110" t="inlineStr">
        <is>
          <t>SÖDERHAMN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33765-2020</t>
        </is>
      </c>
      <c r="B111" s="1" t="n">
        <v>44026</v>
      </c>
      <c r="C111" s="1" t="n">
        <v>45730</v>
      </c>
      <c r="D111" t="inlineStr">
        <is>
          <t>GÄVLEBORGS LÄN</t>
        </is>
      </c>
      <c r="E111" t="inlineStr">
        <is>
          <t>SÖDERHAMN</t>
        </is>
      </c>
      <c r="G111" t="n">
        <v>15.4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34822-2020</t>
        </is>
      </c>
      <c r="B112" s="1" t="n">
        <v>44036</v>
      </c>
      <c r="C112" s="1" t="n">
        <v>45730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35251-2020</t>
        </is>
      </c>
      <c r="B113" s="1" t="n">
        <v>44041</v>
      </c>
      <c r="C113" s="1" t="n">
        <v>45730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35227-2020</t>
        </is>
      </c>
      <c r="B114" s="1" t="n">
        <v>44041</v>
      </c>
      <c r="C114" s="1" t="n">
        <v>45730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36709-2020</t>
        </is>
      </c>
      <c r="B115" s="1" t="n">
        <v>44053</v>
      </c>
      <c r="C115" s="1" t="n">
        <v>45730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37546-2020</t>
        </is>
      </c>
      <c r="B116" s="1" t="n">
        <v>44056</v>
      </c>
      <c r="C116" s="1" t="n">
        <v>45730</v>
      </c>
      <c r="D116" t="inlineStr">
        <is>
          <t>GÄVLEBORGS LÄN</t>
        </is>
      </c>
      <c r="E116" t="inlineStr">
        <is>
          <t>SÖDERHAMN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37684-2020</t>
        </is>
      </c>
      <c r="B117" s="1" t="n">
        <v>44056</v>
      </c>
      <c r="C117" s="1" t="n">
        <v>45730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38260-2020</t>
        </is>
      </c>
      <c r="B118" s="1" t="n">
        <v>44060</v>
      </c>
      <c r="C118" s="1" t="n">
        <v>45730</v>
      </c>
      <c r="D118" t="inlineStr">
        <is>
          <t>GÄVLEBORGS LÄN</t>
        </is>
      </c>
      <c r="E118" t="inlineStr">
        <is>
          <t>SÖDERHAMN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39210-2020</t>
        </is>
      </c>
      <c r="B119" s="1" t="n">
        <v>44063</v>
      </c>
      <c r="C119" s="1" t="n">
        <v>45730</v>
      </c>
      <c r="D119" t="inlineStr">
        <is>
          <t>GÄVLEBORGS LÄN</t>
        </is>
      </c>
      <c r="E119" t="inlineStr">
        <is>
          <t>SÖDERHAMN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43625-2020</t>
        </is>
      </c>
      <c r="B120" s="1" t="n">
        <v>44082</v>
      </c>
      <c r="C120" s="1" t="n">
        <v>45730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46495-2020</t>
        </is>
      </c>
      <c r="B121" s="1" t="n">
        <v>44095</v>
      </c>
      <c r="C121" s="1" t="n">
        <v>45730</v>
      </c>
      <c r="D121" t="inlineStr">
        <is>
          <t>GÄVLEBORGS LÄN</t>
        </is>
      </c>
      <c r="E121" t="inlineStr">
        <is>
          <t>SÖDERHAMN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47157-2020</t>
        </is>
      </c>
      <c r="B122" s="1" t="n">
        <v>44097</v>
      </c>
      <c r="C122" s="1" t="n">
        <v>45730</v>
      </c>
      <c r="D122" t="inlineStr">
        <is>
          <t>GÄVLEBORGS LÄN</t>
        </is>
      </c>
      <c r="E122" t="inlineStr">
        <is>
          <t>SÖDERHAMN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48875-2020</t>
        </is>
      </c>
      <c r="B123" s="1" t="n">
        <v>44104</v>
      </c>
      <c r="C123" s="1" t="n">
        <v>45730</v>
      </c>
      <c r="D123" t="inlineStr">
        <is>
          <t>GÄVLEBORGS LÄN</t>
        </is>
      </c>
      <c r="E123" t="inlineStr">
        <is>
          <t>SÖDERHAMN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49481-2020</t>
        </is>
      </c>
      <c r="B124" s="1" t="n">
        <v>44105</v>
      </c>
      <c r="C124" s="1" t="n">
        <v>45730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52438-2020</t>
        </is>
      </c>
      <c r="B125" s="1" t="n">
        <v>44118</v>
      </c>
      <c r="C125" s="1" t="n">
        <v>45730</v>
      </c>
      <c r="D125" t="inlineStr">
        <is>
          <t>GÄVLEBORGS LÄN</t>
        </is>
      </c>
      <c r="E125" t="inlineStr">
        <is>
          <t>SÖDERHAMN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52427-2020</t>
        </is>
      </c>
      <c r="B126" s="1" t="n">
        <v>44118</v>
      </c>
      <c r="C126" s="1" t="n">
        <v>45730</v>
      </c>
      <c r="D126" t="inlineStr">
        <is>
          <t>GÄVLEBORGS LÄN</t>
        </is>
      </c>
      <c r="E126" t="inlineStr">
        <is>
          <t>SÖDERHAMN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52435-2020</t>
        </is>
      </c>
      <c r="B127" s="1" t="n">
        <v>44118</v>
      </c>
      <c r="C127" s="1" t="n">
        <v>45730</v>
      </c>
      <c r="D127" t="inlineStr">
        <is>
          <t>GÄVLEBORGS LÄN</t>
        </is>
      </c>
      <c r="E127" t="inlineStr">
        <is>
          <t>SÖDERHAMN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52886-2020</t>
        </is>
      </c>
      <c r="B128" s="1" t="n">
        <v>44119</v>
      </c>
      <c r="C128" s="1" t="n">
        <v>45730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54967-2020</t>
        </is>
      </c>
      <c r="B129" s="1" t="n">
        <v>44123</v>
      </c>
      <c r="C129" s="1" t="n">
        <v>45730</v>
      </c>
      <c r="D129" t="inlineStr">
        <is>
          <t>GÄVLEBORGS LÄN</t>
        </is>
      </c>
      <c r="E129" t="inlineStr">
        <is>
          <t>SÖDERHAMN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55262-2020</t>
        </is>
      </c>
      <c r="B130" s="1" t="n">
        <v>44130</v>
      </c>
      <c r="C130" s="1" t="n">
        <v>45730</v>
      </c>
      <c r="D130" t="inlineStr">
        <is>
          <t>GÄVLEBORGS LÄN</t>
        </is>
      </c>
      <c r="E130" t="inlineStr">
        <is>
          <t>SÖDERHAMN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55269-2020</t>
        </is>
      </c>
      <c r="B131" s="1" t="n">
        <v>44130</v>
      </c>
      <c r="C131" s="1" t="n">
        <v>45730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55299-2020</t>
        </is>
      </c>
      <c r="B132" s="1" t="n">
        <v>44130</v>
      </c>
      <c r="C132" s="1" t="n">
        <v>45730</v>
      </c>
      <c r="D132" t="inlineStr">
        <is>
          <t>GÄVLEBORGS LÄN</t>
        </is>
      </c>
      <c r="E132" t="inlineStr">
        <is>
          <t>SÖDERHAMN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56468-2020</t>
        </is>
      </c>
      <c r="B133" s="1" t="n">
        <v>44133</v>
      </c>
      <c r="C133" s="1" t="n">
        <v>45730</v>
      </c>
      <c r="D133" t="inlineStr">
        <is>
          <t>GÄVLEBORGS LÄN</t>
        </is>
      </c>
      <c r="E133" t="inlineStr">
        <is>
          <t>SÖDERHAMN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57205-2020</t>
        </is>
      </c>
      <c r="B134" s="1" t="n">
        <v>44139</v>
      </c>
      <c r="C134" s="1" t="n">
        <v>45730</v>
      </c>
      <c r="D134" t="inlineStr">
        <is>
          <t>GÄVLEBORGS LÄN</t>
        </is>
      </c>
      <c r="E134" t="inlineStr">
        <is>
          <t>SÖDERHAMN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59235-2020</t>
        </is>
      </c>
      <c r="B135" s="1" t="n">
        <v>44147</v>
      </c>
      <c r="C135" s="1" t="n">
        <v>45730</v>
      </c>
      <c r="D135" t="inlineStr">
        <is>
          <t>GÄVLEBORGS LÄN</t>
        </is>
      </c>
      <c r="E135" t="inlineStr">
        <is>
          <t>SÖDERHAMN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59270-2020</t>
        </is>
      </c>
      <c r="B136" s="1" t="n">
        <v>44147</v>
      </c>
      <c r="C136" s="1" t="n">
        <v>45730</v>
      </c>
      <c r="D136" t="inlineStr">
        <is>
          <t>GÄVLEBORGS LÄN</t>
        </is>
      </c>
      <c r="E136" t="inlineStr">
        <is>
          <t>SÖDERHAMN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59271-2020</t>
        </is>
      </c>
      <c r="B137" s="1" t="n">
        <v>44147</v>
      </c>
      <c r="C137" s="1" t="n">
        <v>45730</v>
      </c>
      <c r="D137" t="inlineStr">
        <is>
          <t>GÄVLEBORGS LÄN</t>
        </is>
      </c>
      <c r="E137" t="inlineStr">
        <is>
          <t>SÖDERHAMN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59581-2020</t>
        </is>
      </c>
      <c r="B138" s="1" t="n">
        <v>44148</v>
      </c>
      <c r="C138" s="1" t="n">
        <v>45730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61313-2020</t>
        </is>
      </c>
      <c r="B139" s="1" t="n">
        <v>44155</v>
      </c>
      <c r="C139" s="1" t="n">
        <v>45730</v>
      </c>
      <c r="D139" t="inlineStr">
        <is>
          <t>GÄVLEBORGS LÄN</t>
        </is>
      </c>
      <c r="E139" t="inlineStr">
        <is>
          <t>SÖDERHAMN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62044-2020</t>
        </is>
      </c>
      <c r="B140" s="1" t="n">
        <v>44158</v>
      </c>
      <c r="C140" s="1" t="n">
        <v>45730</v>
      </c>
      <c r="D140" t="inlineStr">
        <is>
          <t>GÄVLEBORGS LÄN</t>
        </is>
      </c>
      <c r="E140" t="inlineStr">
        <is>
          <t>SÖDERHAMN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62146-2020</t>
        </is>
      </c>
      <c r="B141" s="1" t="n">
        <v>44159</v>
      </c>
      <c r="C141" s="1" t="n">
        <v>45730</v>
      </c>
      <c r="D141" t="inlineStr">
        <is>
          <t>GÄVLEBORGS LÄN</t>
        </is>
      </c>
      <c r="E141" t="inlineStr">
        <is>
          <t>SÖDERHAMN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65221-2020</t>
        </is>
      </c>
      <c r="B142" s="1" t="n">
        <v>44172</v>
      </c>
      <c r="C142" s="1" t="n">
        <v>45730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66101-2020</t>
        </is>
      </c>
      <c r="B143" s="1" t="n">
        <v>44175</v>
      </c>
      <c r="C143" s="1" t="n">
        <v>45730</v>
      </c>
      <c r="D143" t="inlineStr">
        <is>
          <t>GÄVLEBORGS LÄN</t>
        </is>
      </c>
      <c r="E143" t="inlineStr">
        <is>
          <t>SÖDERHAMN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66458-2020</t>
        </is>
      </c>
      <c r="B144" s="1" t="n">
        <v>44176</v>
      </c>
      <c r="C144" s="1" t="n">
        <v>45730</v>
      </c>
      <c r="D144" t="inlineStr">
        <is>
          <t>GÄVLEBORGS LÄN</t>
        </is>
      </c>
      <c r="E144" t="inlineStr">
        <is>
          <t>SÖDERHAMN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66800-2020</t>
        </is>
      </c>
      <c r="B145" s="1" t="n">
        <v>44179</v>
      </c>
      <c r="C145" s="1" t="n">
        <v>45730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68781-2020</t>
        </is>
      </c>
      <c r="B146" s="1" t="n">
        <v>44187</v>
      </c>
      <c r="C146" s="1" t="n">
        <v>45730</v>
      </c>
      <c r="D146" t="inlineStr">
        <is>
          <t>GÄVLEBORGS LÄN</t>
        </is>
      </c>
      <c r="E146" t="inlineStr">
        <is>
          <t>SÖDERHAMN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69262-2020</t>
        </is>
      </c>
      <c r="B147" s="1" t="n">
        <v>44192</v>
      </c>
      <c r="C147" s="1" t="n">
        <v>45730</v>
      </c>
      <c r="D147" t="inlineStr">
        <is>
          <t>GÄVLEBORGS LÄN</t>
        </is>
      </c>
      <c r="E147" t="inlineStr">
        <is>
          <t>SÖDERHAMN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237-2021</t>
        </is>
      </c>
      <c r="B148" s="1" t="n">
        <v>44200</v>
      </c>
      <c r="C148" s="1" t="n">
        <v>45730</v>
      </c>
      <c r="D148" t="inlineStr">
        <is>
          <t>GÄVLEBORGS LÄN</t>
        </is>
      </c>
      <c r="E148" t="inlineStr">
        <is>
          <t>SÖDERHAMN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399-2021</t>
        </is>
      </c>
      <c r="B149" s="1" t="n">
        <v>44201</v>
      </c>
      <c r="C149" s="1" t="n">
        <v>45730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580-2021</t>
        </is>
      </c>
      <c r="B150" s="1" t="n">
        <v>44201</v>
      </c>
      <c r="C150" s="1" t="n">
        <v>45730</v>
      </c>
      <c r="D150" t="inlineStr">
        <is>
          <t>GÄVLEBORGS LÄN</t>
        </is>
      </c>
      <c r="E150" t="inlineStr">
        <is>
          <t>SÖDERHAMN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1509-2021</t>
        </is>
      </c>
      <c r="B151" s="1" t="n">
        <v>44209</v>
      </c>
      <c r="C151" s="1" t="n">
        <v>45730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1537-2021</t>
        </is>
      </c>
      <c r="B152" s="1" t="n">
        <v>44209</v>
      </c>
      <c r="C152" s="1" t="n">
        <v>45730</v>
      </c>
      <c r="D152" t="inlineStr">
        <is>
          <t>GÄVLEBORGS LÄN</t>
        </is>
      </c>
      <c r="E152" t="inlineStr">
        <is>
          <t>SÖDERHAMN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2450-2021</t>
        </is>
      </c>
      <c r="B153" s="1" t="n">
        <v>44214</v>
      </c>
      <c r="C153" s="1" t="n">
        <v>45730</v>
      </c>
      <c r="D153" t="inlineStr">
        <is>
          <t>GÄVLEBORGS LÄN</t>
        </is>
      </c>
      <c r="E153" t="inlineStr">
        <is>
          <t>SÖDERHAMN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3121-2021</t>
        </is>
      </c>
      <c r="B154" s="1" t="n">
        <v>44217</v>
      </c>
      <c r="C154" s="1" t="n">
        <v>45730</v>
      </c>
      <c r="D154" t="inlineStr">
        <is>
          <t>GÄVLEBORGS LÄN</t>
        </is>
      </c>
      <c r="E154" t="inlineStr">
        <is>
          <t>SÖDERHAMN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3136-2021</t>
        </is>
      </c>
      <c r="B155" s="1" t="n">
        <v>44217</v>
      </c>
      <c r="C155" s="1" t="n">
        <v>45730</v>
      </c>
      <c r="D155" t="inlineStr">
        <is>
          <t>GÄVLEBORGS LÄN</t>
        </is>
      </c>
      <c r="E155" t="inlineStr">
        <is>
          <t>SÖDERHAMN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3427-2021</t>
        </is>
      </c>
      <c r="B156" s="1" t="n">
        <v>44218</v>
      </c>
      <c r="C156" s="1" t="n">
        <v>45730</v>
      </c>
      <c r="D156" t="inlineStr">
        <is>
          <t>GÄVLEBORGS LÄN</t>
        </is>
      </c>
      <c r="E156" t="inlineStr">
        <is>
          <t>SÖDERHAMN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3401-2021</t>
        </is>
      </c>
      <c r="B157" s="1" t="n">
        <v>44218</v>
      </c>
      <c r="C157" s="1" t="n">
        <v>45730</v>
      </c>
      <c r="D157" t="inlineStr">
        <is>
          <t>GÄVLEBORGS LÄN</t>
        </is>
      </c>
      <c r="E157" t="inlineStr">
        <is>
          <t>SÖDERHAMN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3418-2021</t>
        </is>
      </c>
      <c r="B158" s="1" t="n">
        <v>44218</v>
      </c>
      <c r="C158" s="1" t="n">
        <v>45730</v>
      </c>
      <c r="D158" t="inlineStr">
        <is>
          <t>GÄVLEBORGS LÄN</t>
        </is>
      </c>
      <c r="E158" t="inlineStr">
        <is>
          <t>SÖDERHAMN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4040-2021</t>
        </is>
      </c>
      <c r="B159" s="1" t="n">
        <v>44218</v>
      </c>
      <c r="C159" s="1" t="n">
        <v>45730</v>
      </c>
      <c r="D159" t="inlineStr">
        <is>
          <t>GÄVLEBORGS LÄN</t>
        </is>
      </c>
      <c r="E159" t="inlineStr">
        <is>
          <t>SÖDERHAMN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4042-2021</t>
        </is>
      </c>
      <c r="B160" s="1" t="n">
        <v>44218</v>
      </c>
      <c r="C160" s="1" t="n">
        <v>45730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4045-2021</t>
        </is>
      </c>
      <c r="B161" s="1" t="n">
        <v>44218</v>
      </c>
      <c r="C161" s="1" t="n">
        <v>45730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4035-2021</t>
        </is>
      </c>
      <c r="B162" s="1" t="n">
        <v>44218</v>
      </c>
      <c r="C162" s="1" t="n">
        <v>45730</v>
      </c>
      <c r="D162" t="inlineStr">
        <is>
          <t>GÄVLEBORGS LÄN</t>
        </is>
      </c>
      <c r="E162" t="inlineStr">
        <is>
          <t>SÖDERHAMN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4047-2021</t>
        </is>
      </c>
      <c r="B163" s="1" t="n">
        <v>44218</v>
      </c>
      <c r="C163" s="1" t="n">
        <v>45730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5035-2021</t>
        </is>
      </c>
      <c r="B164" s="1" t="n">
        <v>44228</v>
      </c>
      <c r="C164" s="1" t="n">
        <v>45730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5219-2021</t>
        </is>
      </c>
      <c r="B165" s="1" t="n">
        <v>44229</v>
      </c>
      <c r="C165" s="1" t="n">
        <v>45730</v>
      </c>
      <c r="D165" t="inlineStr">
        <is>
          <t>GÄVLEBORGS LÄN</t>
        </is>
      </c>
      <c r="E165" t="inlineStr">
        <is>
          <t>SÖDERHAMN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5924-2021</t>
        </is>
      </c>
      <c r="B166" s="1" t="n">
        <v>44231</v>
      </c>
      <c r="C166" s="1" t="n">
        <v>45730</v>
      </c>
      <c r="D166" t="inlineStr">
        <is>
          <t>GÄVLEBORGS LÄN</t>
        </is>
      </c>
      <c r="E166" t="inlineStr">
        <is>
          <t>SÖDERHAMN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6816-2021</t>
        </is>
      </c>
      <c r="B167" s="1" t="n">
        <v>44237</v>
      </c>
      <c r="C167" s="1" t="n">
        <v>45730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7356-2021</t>
        </is>
      </c>
      <c r="B168" s="1" t="n">
        <v>44239</v>
      </c>
      <c r="C168" s="1" t="n">
        <v>45730</v>
      </c>
      <c r="D168" t="inlineStr">
        <is>
          <t>GÄVLEBORGS LÄN</t>
        </is>
      </c>
      <c r="E168" t="inlineStr">
        <is>
          <t>SÖDERHAMN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10781-2021</t>
        </is>
      </c>
      <c r="B169" s="1" t="n">
        <v>44259</v>
      </c>
      <c r="C169" s="1" t="n">
        <v>45730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11586-2021</t>
        </is>
      </c>
      <c r="B170" s="1" t="n">
        <v>44264</v>
      </c>
      <c r="C170" s="1" t="n">
        <v>45730</v>
      </c>
      <c r="D170" t="inlineStr">
        <is>
          <t>GÄVLEBORGS LÄN</t>
        </is>
      </c>
      <c r="E170" t="inlineStr">
        <is>
          <t>SÖDERHAMN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11821-2021</t>
        </is>
      </c>
      <c r="B171" s="1" t="n">
        <v>44265</v>
      </c>
      <c r="C171" s="1" t="n">
        <v>45730</v>
      </c>
      <c r="D171" t="inlineStr">
        <is>
          <t>GÄVLEBORGS LÄN</t>
        </is>
      </c>
      <c r="E171" t="inlineStr">
        <is>
          <t>SÖDERHAMN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11826-2021</t>
        </is>
      </c>
      <c r="B172" s="1" t="n">
        <v>44265</v>
      </c>
      <c r="C172" s="1" t="n">
        <v>45730</v>
      </c>
      <c r="D172" t="inlineStr">
        <is>
          <t>GÄVLEBORGS LÄN</t>
        </is>
      </c>
      <c r="E172" t="inlineStr">
        <is>
          <t>SÖDERHAMN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12265-2021</t>
        </is>
      </c>
      <c r="B173" s="1" t="n">
        <v>44266</v>
      </c>
      <c r="C173" s="1" t="n">
        <v>45730</v>
      </c>
      <c r="D173" t="inlineStr">
        <is>
          <t>GÄVLEBORGS LÄN</t>
        </is>
      </c>
      <c r="E173" t="inlineStr">
        <is>
          <t>SÖDERHAMN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12358-2021</t>
        </is>
      </c>
      <c r="B174" s="1" t="n">
        <v>44267</v>
      </c>
      <c r="C174" s="1" t="n">
        <v>45730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12469-2021</t>
        </is>
      </c>
      <c r="B175" s="1" t="n">
        <v>44267</v>
      </c>
      <c r="C175" s="1" t="n">
        <v>45730</v>
      </c>
      <c r="D175" t="inlineStr">
        <is>
          <t>GÄVLEBORGS LÄN</t>
        </is>
      </c>
      <c r="E175" t="inlineStr">
        <is>
          <t>SÖDERHAMN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13581-2021</t>
        </is>
      </c>
      <c r="B176" s="1" t="n">
        <v>44274</v>
      </c>
      <c r="C176" s="1" t="n">
        <v>45730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13582-2021</t>
        </is>
      </c>
      <c r="B177" s="1" t="n">
        <v>44274</v>
      </c>
      <c r="C177" s="1" t="n">
        <v>45730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15929-2021</t>
        </is>
      </c>
      <c r="B178" s="1" t="n">
        <v>44287</v>
      </c>
      <c r="C178" s="1" t="n">
        <v>45730</v>
      </c>
      <c r="D178" t="inlineStr">
        <is>
          <t>GÄVLEBORGS LÄN</t>
        </is>
      </c>
      <c r="E178" t="inlineStr">
        <is>
          <t>SÖDERHAMN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16307-2021</t>
        </is>
      </c>
      <c r="B179" s="1" t="n">
        <v>44292</v>
      </c>
      <c r="C179" s="1" t="n">
        <v>45730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16312-2021</t>
        </is>
      </c>
      <c r="B180" s="1" t="n">
        <v>44292</v>
      </c>
      <c r="C180" s="1" t="n">
        <v>45730</v>
      </c>
      <c r="D180" t="inlineStr">
        <is>
          <t>GÄVLEBORGS LÄN</t>
        </is>
      </c>
      <c r="E180" t="inlineStr">
        <is>
          <t>SÖDERHAMN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16305-2021</t>
        </is>
      </c>
      <c r="B181" s="1" t="n">
        <v>44292</v>
      </c>
      <c r="C181" s="1" t="n">
        <v>45730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16532-2021</t>
        </is>
      </c>
      <c r="B182" s="1" t="n">
        <v>44293</v>
      </c>
      <c r="C182" s="1" t="n">
        <v>45730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17172-2021</t>
        </is>
      </c>
      <c r="B183" s="1" t="n">
        <v>44298</v>
      </c>
      <c r="C183" s="1" t="n">
        <v>45730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18112-2021</t>
        </is>
      </c>
      <c r="B184" s="1" t="n">
        <v>44302</v>
      </c>
      <c r="C184" s="1" t="n">
        <v>45730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21659-2021</t>
        </is>
      </c>
      <c r="B185" s="1" t="n">
        <v>44322</v>
      </c>
      <c r="C185" s="1" t="n">
        <v>45730</v>
      </c>
      <c r="D185" t="inlineStr">
        <is>
          <t>GÄVLEBORGS LÄN</t>
        </is>
      </c>
      <c r="E185" t="inlineStr">
        <is>
          <t>SÖDERHAMN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22354-2021</t>
        </is>
      </c>
      <c r="B186" s="1" t="n">
        <v>44326</v>
      </c>
      <c r="C186" s="1" t="n">
        <v>45730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22262-2021</t>
        </is>
      </c>
      <c r="B187" s="1" t="n">
        <v>44326</v>
      </c>
      <c r="C187" s="1" t="n">
        <v>45730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22440-2021</t>
        </is>
      </c>
      <c r="B188" s="1" t="n">
        <v>44326</v>
      </c>
      <c r="C188" s="1" t="n">
        <v>45730</v>
      </c>
      <c r="D188" t="inlineStr">
        <is>
          <t>GÄVLEBORGS LÄN</t>
        </is>
      </c>
      <c r="E188" t="inlineStr">
        <is>
          <t>SÖDERHAMN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23125-2021</t>
        </is>
      </c>
      <c r="B189" s="1" t="n">
        <v>44330</v>
      </c>
      <c r="C189" s="1" t="n">
        <v>45730</v>
      </c>
      <c r="D189" t="inlineStr">
        <is>
          <t>GÄVLEBORGS LÄN</t>
        </is>
      </c>
      <c r="E189" t="inlineStr">
        <is>
          <t>SÖDERHAMN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23357-2021</t>
        </is>
      </c>
      <c r="B190" s="1" t="n">
        <v>44333</v>
      </c>
      <c r="C190" s="1" t="n">
        <v>45730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23360-2021</t>
        </is>
      </c>
      <c r="B191" s="1" t="n">
        <v>44333</v>
      </c>
      <c r="C191" s="1" t="n">
        <v>45730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24153-2021</t>
        </is>
      </c>
      <c r="B192" s="1" t="n">
        <v>44336</v>
      </c>
      <c r="C192" s="1" t="n">
        <v>45730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24161-2021</t>
        </is>
      </c>
      <c r="B193" s="1" t="n">
        <v>44336</v>
      </c>
      <c r="C193" s="1" t="n">
        <v>45730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24597-2021</t>
        </is>
      </c>
      <c r="B194" s="1" t="n">
        <v>44340</v>
      </c>
      <c r="C194" s="1" t="n">
        <v>45730</v>
      </c>
      <c r="D194" t="inlineStr">
        <is>
          <t>GÄVLEBORGS LÄN</t>
        </is>
      </c>
      <c r="E194" t="inlineStr">
        <is>
          <t>SÖDERHAMN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26531-2021</t>
        </is>
      </c>
      <c r="B195" s="1" t="n">
        <v>44348</v>
      </c>
      <c r="C195" s="1" t="n">
        <v>45730</v>
      </c>
      <c r="D195" t="inlineStr">
        <is>
          <t>GÄVLEBORGS LÄN</t>
        </is>
      </c>
      <c r="E195" t="inlineStr">
        <is>
          <t>SÖDERHAMN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26539-2021</t>
        </is>
      </c>
      <c r="B196" s="1" t="n">
        <v>44348</v>
      </c>
      <c r="C196" s="1" t="n">
        <v>45730</v>
      </c>
      <c r="D196" t="inlineStr">
        <is>
          <t>GÄVLEBORGS LÄN</t>
        </is>
      </c>
      <c r="E196" t="inlineStr">
        <is>
          <t>SÖDERHAMN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26533-2021</t>
        </is>
      </c>
      <c r="B197" s="1" t="n">
        <v>44348</v>
      </c>
      <c r="C197" s="1" t="n">
        <v>45730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31927-2021</t>
        </is>
      </c>
      <c r="B198" s="1" t="n">
        <v>44370</v>
      </c>
      <c r="C198" s="1" t="n">
        <v>45730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35172-2021</t>
        </is>
      </c>
      <c r="B199" s="1" t="n">
        <v>44384</v>
      </c>
      <c r="C199" s="1" t="n">
        <v>45730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35251-2021</t>
        </is>
      </c>
      <c r="B200" s="1" t="n">
        <v>44384</v>
      </c>
      <c r="C200" s="1" t="n">
        <v>45730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36680-2021</t>
        </is>
      </c>
      <c r="B201" s="1" t="n">
        <v>44392</v>
      </c>
      <c r="C201" s="1" t="n">
        <v>45730</v>
      </c>
      <c r="D201" t="inlineStr">
        <is>
          <t>GÄVLEBORGS LÄN</t>
        </is>
      </c>
      <c r="E201" t="inlineStr">
        <is>
          <t>SÖDERHAMN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39913-2021</t>
        </is>
      </c>
      <c r="B202" s="1" t="n">
        <v>44417</v>
      </c>
      <c r="C202" s="1" t="n">
        <v>45730</v>
      </c>
      <c r="D202" t="inlineStr">
        <is>
          <t>GÄVLEBORGS LÄN</t>
        </is>
      </c>
      <c r="E202" t="inlineStr">
        <is>
          <t>SÖDERHAMN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39915-2021</t>
        </is>
      </c>
      <c r="B203" s="1" t="n">
        <v>44417</v>
      </c>
      <c r="C203" s="1" t="n">
        <v>45730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40273-2021</t>
        </is>
      </c>
      <c r="B204" s="1" t="n">
        <v>44419</v>
      </c>
      <c r="C204" s="1" t="n">
        <v>45730</v>
      </c>
      <c r="D204" t="inlineStr">
        <is>
          <t>GÄVLEBORGS LÄN</t>
        </is>
      </c>
      <c r="E204" t="inlineStr">
        <is>
          <t>SÖDERHAMN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40736-2021</t>
        </is>
      </c>
      <c r="B205" s="1" t="n">
        <v>44420</v>
      </c>
      <c r="C205" s="1" t="n">
        <v>45730</v>
      </c>
      <c r="D205" t="inlineStr">
        <is>
          <t>GÄVLEBORGS LÄN</t>
        </is>
      </c>
      <c r="E205" t="inlineStr">
        <is>
          <t>SÖDERHAMN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46975-2021</t>
        </is>
      </c>
      <c r="B206" s="1" t="n">
        <v>44446</v>
      </c>
      <c r="C206" s="1" t="n">
        <v>45730</v>
      </c>
      <c r="D206" t="inlineStr">
        <is>
          <t>GÄVLEBORGS LÄN</t>
        </is>
      </c>
      <c r="E206" t="inlineStr">
        <is>
          <t>SÖDERHAMN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51273-2021</t>
        </is>
      </c>
      <c r="B207" s="1" t="n">
        <v>44460</v>
      </c>
      <c r="C207" s="1" t="n">
        <v>45730</v>
      </c>
      <c r="D207" t="inlineStr">
        <is>
          <t>GÄVLEBORGS LÄN</t>
        </is>
      </c>
      <c r="E207" t="inlineStr">
        <is>
          <t>SÖDERHAMN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52191-2021</t>
        </is>
      </c>
      <c r="B208" s="1" t="n">
        <v>44463</v>
      </c>
      <c r="C208" s="1" t="n">
        <v>45730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55666-2021</t>
        </is>
      </c>
      <c r="B209" s="1" t="n">
        <v>44476</v>
      </c>
      <c r="C209" s="1" t="n">
        <v>45730</v>
      </c>
      <c r="D209" t="inlineStr">
        <is>
          <t>GÄVLEBORGS LÄN</t>
        </is>
      </c>
      <c r="E209" t="inlineStr">
        <is>
          <t>SÖDERHAMN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57399-2021</t>
        </is>
      </c>
      <c r="B210" s="1" t="n">
        <v>44483</v>
      </c>
      <c r="C210" s="1" t="n">
        <v>45730</v>
      </c>
      <c r="D210" t="inlineStr">
        <is>
          <t>GÄVLEBORGS LÄN</t>
        </is>
      </c>
      <c r="E210" t="inlineStr">
        <is>
          <t>SÖDERHAMN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57595-2021</t>
        </is>
      </c>
      <c r="B211" s="1" t="n">
        <v>44484</v>
      </c>
      <c r="C211" s="1" t="n">
        <v>45730</v>
      </c>
      <c r="D211" t="inlineStr">
        <is>
          <t>GÄVLEBORGS LÄN</t>
        </is>
      </c>
      <c r="E211" t="inlineStr">
        <is>
          <t>SÖDERHAMN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58198-2021</t>
        </is>
      </c>
      <c r="B212" s="1" t="n">
        <v>44487</v>
      </c>
      <c r="C212" s="1" t="n">
        <v>45730</v>
      </c>
      <c r="D212" t="inlineStr">
        <is>
          <t>GÄVLEBORGS LÄN</t>
        </is>
      </c>
      <c r="E212" t="inlineStr">
        <is>
          <t>SÖDERHAMN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59216-2021</t>
        </is>
      </c>
      <c r="B213" s="1" t="n">
        <v>44490</v>
      </c>
      <c r="C213" s="1" t="n">
        <v>45730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59214-2021</t>
        </is>
      </c>
      <c r="B214" s="1" t="n">
        <v>44490</v>
      </c>
      <c r="C214" s="1" t="n">
        <v>45730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59611-2021</t>
        </is>
      </c>
      <c r="B215" s="1" t="n">
        <v>44491</v>
      </c>
      <c r="C215" s="1" t="n">
        <v>45730</v>
      </c>
      <c r="D215" t="inlineStr">
        <is>
          <t>GÄVLEBORGS LÄN</t>
        </is>
      </c>
      <c r="E215" t="inlineStr">
        <is>
          <t>SÖDERHAMN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61502-2021</t>
        </is>
      </c>
      <c r="B216" s="1" t="n">
        <v>44498</v>
      </c>
      <c r="C216" s="1" t="n">
        <v>45730</v>
      </c>
      <c r="D216" t="inlineStr">
        <is>
          <t>GÄVLEBORGS LÄN</t>
        </is>
      </c>
      <c r="E216" t="inlineStr">
        <is>
          <t>SÖDERHAMN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62538-2021</t>
        </is>
      </c>
      <c r="B217" s="1" t="n">
        <v>44503</v>
      </c>
      <c r="C217" s="1" t="n">
        <v>45730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63423-2021</t>
        </is>
      </c>
      <c r="B218" s="1" t="n">
        <v>44508</v>
      </c>
      <c r="C218" s="1" t="n">
        <v>45730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63431-2021</t>
        </is>
      </c>
      <c r="B219" s="1" t="n">
        <v>44508</v>
      </c>
      <c r="C219" s="1" t="n">
        <v>45730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64152-2021</t>
        </is>
      </c>
      <c r="B220" s="1" t="n">
        <v>44510</v>
      </c>
      <c r="C220" s="1" t="n">
        <v>45730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64215-2021</t>
        </is>
      </c>
      <c r="B221" s="1" t="n">
        <v>44510</v>
      </c>
      <c r="C221" s="1" t="n">
        <v>45730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67300-2021</t>
        </is>
      </c>
      <c r="B222" s="1" t="n">
        <v>44523</v>
      </c>
      <c r="C222" s="1" t="n">
        <v>45730</v>
      </c>
      <c r="D222" t="inlineStr">
        <is>
          <t>GÄVLEBORGS LÄN</t>
        </is>
      </c>
      <c r="E222" t="inlineStr">
        <is>
          <t>SÖDERHAMN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67634-2021</t>
        </is>
      </c>
      <c r="B223" s="1" t="n">
        <v>44524</v>
      </c>
      <c r="C223" s="1" t="n">
        <v>45730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68612-2021</t>
        </is>
      </c>
      <c r="B224" s="1" t="n">
        <v>44529</v>
      </c>
      <c r="C224" s="1" t="n">
        <v>45730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69942-2021</t>
        </is>
      </c>
      <c r="B225" s="1" t="n">
        <v>44533</v>
      </c>
      <c r="C225" s="1" t="n">
        <v>45730</v>
      </c>
      <c r="D225" t="inlineStr">
        <is>
          <t>GÄVLEBORGS LÄN</t>
        </is>
      </c>
      <c r="E225" t="inlineStr">
        <is>
          <t>SÖDERHAMN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71645-2021</t>
        </is>
      </c>
      <c r="B226" s="1" t="n">
        <v>44543</v>
      </c>
      <c r="C226" s="1" t="n">
        <v>45730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72087-2021</t>
        </is>
      </c>
      <c r="B227" s="1" t="n">
        <v>44544</v>
      </c>
      <c r="C227" s="1" t="n">
        <v>45730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72164-2021</t>
        </is>
      </c>
      <c r="B228" s="1" t="n">
        <v>44544</v>
      </c>
      <c r="C228" s="1" t="n">
        <v>45730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72644-2021</t>
        </is>
      </c>
      <c r="B229" s="1" t="n">
        <v>44546</v>
      </c>
      <c r="C229" s="1" t="n">
        <v>45730</v>
      </c>
      <c r="D229" t="inlineStr">
        <is>
          <t>GÄVLEBORGS LÄN</t>
        </is>
      </c>
      <c r="E229" t="inlineStr">
        <is>
          <t>SÖDERHAMN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72645-2021</t>
        </is>
      </c>
      <c r="B230" s="1" t="n">
        <v>44546</v>
      </c>
      <c r="C230" s="1" t="n">
        <v>45730</v>
      </c>
      <c r="D230" t="inlineStr">
        <is>
          <t>GÄVLEBORGS LÄN</t>
        </is>
      </c>
      <c r="E230" t="inlineStr">
        <is>
          <t>SÖDERHAMN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73447-2021</t>
        </is>
      </c>
      <c r="B231" s="1" t="n">
        <v>44551</v>
      </c>
      <c r="C231" s="1" t="n">
        <v>45730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73642-2021</t>
        </is>
      </c>
      <c r="B232" s="1" t="n">
        <v>44552</v>
      </c>
      <c r="C232" s="1" t="n">
        <v>45730</v>
      </c>
      <c r="D232" t="inlineStr">
        <is>
          <t>GÄVLEBORGS LÄN</t>
        </is>
      </c>
      <c r="E232" t="inlineStr">
        <is>
          <t>SÖDERHAMN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254-2022</t>
        </is>
      </c>
      <c r="B233" s="1" t="n">
        <v>44564</v>
      </c>
      <c r="C233" s="1" t="n">
        <v>45730</v>
      </c>
      <c r="D233" t="inlineStr">
        <is>
          <t>GÄVLEBORGS LÄN</t>
        </is>
      </c>
      <c r="E233" t="inlineStr">
        <is>
          <t>SÖDERHAMN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1511-2022</t>
        </is>
      </c>
      <c r="B234" s="1" t="n">
        <v>44573</v>
      </c>
      <c r="C234" s="1" t="n">
        <v>45730</v>
      </c>
      <c r="D234" t="inlineStr">
        <is>
          <t>GÄVLEBORGS LÄN</t>
        </is>
      </c>
      <c r="E234" t="inlineStr">
        <is>
          <t>SÖDERHAMN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2755-2022</t>
        </is>
      </c>
      <c r="B235" s="1" t="n">
        <v>44580</v>
      </c>
      <c r="C235" s="1" t="n">
        <v>45730</v>
      </c>
      <c r="D235" t="inlineStr">
        <is>
          <t>GÄVLEBORGS LÄN</t>
        </is>
      </c>
      <c r="E235" t="inlineStr">
        <is>
          <t>SÖDERHAMN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3031-2022</t>
        </is>
      </c>
      <c r="B236" s="1" t="n">
        <v>44582</v>
      </c>
      <c r="C236" s="1" t="n">
        <v>45730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8073-2022</t>
        </is>
      </c>
      <c r="B237" s="1" t="n">
        <v>44609</v>
      </c>
      <c r="C237" s="1" t="n">
        <v>45730</v>
      </c>
      <c r="D237" t="inlineStr">
        <is>
          <t>GÄVLEBORGS LÄN</t>
        </is>
      </c>
      <c r="E237" t="inlineStr">
        <is>
          <t>SÖDERHAMN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9261-2022</t>
        </is>
      </c>
      <c r="B238" s="1" t="n">
        <v>44616</v>
      </c>
      <c r="C238" s="1" t="n">
        <v>45730</v>
      </c>
      <c r="D238" t="inlineStr">
        <is>
          <t>GÄVLEBORGS LÄN</t>
        </is>
      </c>
      <c r="E238" t="inlineStr">
        <is>
          <t>SÖDERHAMN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12358-2022</t>
        </is>
      </c>
      <c r="B239" s="1" t="n">
        <v>44637</v>
      </c>
      <c r="C239" s="1" t="n">
        <v>45730</v>
      </c>
      <c r="D239" t="inlineStr">
        <is>
          <t>GÄVLEBORGS LÄN</t>
        </is>
      </c>
      <c r="E239" t="inlineStr">
        <is>
          <t>SÖDERHAMN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13805-2022</t>
        </is>
      </c>
      <c r="B240" s="1" t="n">
        <v>44649</v>
      </c>
      <c r="C240" s="1" t="n">
        <v>45730</v>
      </c>
      <c r="D240" t="inlineStr">
        <is>
          <t>GÄVLEBORGS LÄN</t>
        </is>
      </c>
      <c r="E240" t="inlineStr">
        <is>
          <t>SÖDERHAMN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14179-2022</t>
        </is>
      </c>
      <c r="B241" s="1" t="n">
        <v>44651</v>
      </c>
      <c r="C241" s="1" t="n">
        <v>45730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14125-2022</t>
        </is>
      </c>
      <c r="B242" s="1" t="n">
        <v>44651</v>
      </c>
      <c r="C242" s="1" t="n">
        <v>45730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14144-2022</t>
        </is>
      </c>
      <c r="B243" s="1" t="n">
        <v>44651</v>
      </c>
      <c r="C243" s="1" t="n">
        <v>45730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14128-2022</t>
        </is>
      </c>
      <c r="B244" s="1" t="n">
        <v>44651</v>
      </c>
      <c r="C244" s="1" t="n">
        <v>45730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14141-2022</t>
        </is>
      </c>
      <c r="B245" s="1" t="n">
        <v>44651</v>
      </c>
      <c r="C245" s="1" t="n">
        <v>45730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14147-2022</t>
        </is>
      </c>
      <c r="B246" s="1" t="n">
        <v>44651</v>
      </c>
      <c r="C246" s="1" t="n">
        <v>45730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15646-2022</t>
        </is>
      </c>
      <c r="B247" s="1" t="n">
        <v>44663</v>
      </c>
      <c r="C247" s="1" t="n">
        <v>45730</v>
      </c>
      <c r="D247" t="inlineStr">
        <is>
          <t>GÄVLEBORGS LÄN</t>
        </is>
      </c>
      <c r="E247" t="inlineStr">
        <is>
          <t>SÖDERHAMN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15645-2022</t>
        </is>
      </c>
      <c r="B248" s="1" t="n">
        <v>44663</v>
      </c>
      <c r="C248" s="1" t="n">
        <v>45730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15725-2022</t>
        </is>
      </c>
      <c r="B249" s="1" t="n">
        <v>44663</v>
      </c>
      <c r="C249" s="1" t="n">
        <v>45730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15748-2022</t>
        </is>
      </c>
      <c r="B250" s="1" t="n">
        <v>44663</v>
      </c>
      <c r="C250" s="1" t="n">
        <v>45730</v>
      </c>
      <c r="D250" t="inlineStr">
        <is>
          <t>GÄVLEBORGS LÄN</t>
        </is>
      </c>
      <c r="E250" t="inlineStr">
        <is>
          <t>SÖDERHAMN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16137-2022</t>
        </is>
      </c>
      <c r="B251" s="1" t="n">
        <v>44665</v>
      </c>
      <c r="C251" s="1" t="n">
        <v>45730</v>
      </c>
      <c r="D251" t="inlineStr">
        <is>
          <t>GÄVLEBORGS LÄN</t>
        </is>
      </c>
      <c r="E251" t="inlineStr">
        <is>
          <t>SÖDERHAMN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17673-2022</t>
        </is>
      </c>
      <c r="B252" s="1" t="n">
        <v>44680</v>
      </c>
      <c r="C252" s="1" t="n">
        <v>45730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17876-2022</t>
        </is>
      </c>
      <c r="B253" s="1" t="n">
        <v>44683</v>
      </c>
      <c r="C253" s="1" t="n">
        <v>45730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18034-2022</t>
        </is>
      </c>
      <c r="B254" s="1" t="n">
        <v>44684</v>
      </c>
      <c r="C254" s="1" t="n">
        <v>45730</v>
      </c>
      <c r="D254" t="inlineStr">
        <is>
          <t>GÄVLEBORGS LÄN</t>
        </is>
      </c>
      <c r="E254" t="inlineStr">
        <is>
          <t>SÖDERHAMN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18503-2022</t>
        </is>
      </c>
      <c r="B255" s="1" t="n">
        <v>44686</v>
      </c>
      <c r="C255" s="1" t="n">
        <v>45730</v>
      </c>
      <c r="D255" t="inlineStr">
        <is>
          <t>GÄVLEBORGS LÄN</t>
        </is>
      </c>
      <c r="E255" t="inlineStr">
        <is>
          <t>SÖDERHAMN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18716-2022</t>
        </is>
      </c>
      <c r="B256" s="1" t="n">
        <v>44687</v>
      </c>
      <c r="C256" s="1" t="n">
        <v>45730</v>
      </c>
      <c r="D256" t="inlineStr">
        <is>
          <t>GÄVLEBORGS LÄN</t>
        </is>
      </c>
      <c r="E256" t="inlineStr">
        <is>
          <t>SÖDERHAMN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19639-2022</t>
        </is>
      </c>
      <c r="B257" s="1" t="n">
        <v>44694</v>
      </c>
      <c r="C257" s="1" t="n">
        <v>45730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20166-2022</t>
        </is>
      </c>
      <c r="B258" s="1" t="n">
        <v>44698</v>
      </c>
      <c r="C258" s="1" t="n">
        <v>45730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20171-2022</t>
        </is>
      </c>
      <c r="B259" s="1" t="n">
        <v>44698</v>
      </c>
      <c r="C259" s="1" t="n">
        <v>45730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20272-2022</t>
        </is>
      </c>
      <c r="B260" s="1" t="n">
        <v>44698</v>
      </c>
      <c r="C260" s="1" t="n">
        <v>45730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20273-2022</t>
        </is>
      </c>
      <c r="B261" s="1" t="n">
        <v>44698</v>
      </c>
      <c r="C261" s="1" t="n">
        <v>45730</v>
      </c>
      <c r="D261" t="inlineStr">
        <is>
          <t>GÄVLEBORGS LÄN</t>
        </is>
      </c>
      <c r="E261" t="inlineStr">
        <is>
          <t>SÖDERHAMN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21474-2022</t>
        </is>
      </c>
      <c r="B262" s="1" t="n">
        <v>44706</v>
      </c>
      <c r="C262" s="1" t="n">
        <v>45730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22019-2022</t>
        </is>
      </c>
      <c r="B263" s="1" t="n">
        <v>44711</v>
      </c>
      <c r="C263" s="1" t="n">
        <v>45730</v>
      </c>
      <c r="D263" t="inlineStr">
        <is>
          <t>GÄVLEBORGS LÄN</t>
        </is>
      </c>
      <c r="E263" t="inlineStr">
        <is>
          <t>SÖDERHAMN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45730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45730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45730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45730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45730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45730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45730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45730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45730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45730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45730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45730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45730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45730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45730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45730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45730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45730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45730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45730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45730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45730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45730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45730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45730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45730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45730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45730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45730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45730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45730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45730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45730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45730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45730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45730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45730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45730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45730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45730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45730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45730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45730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45730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45730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45730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45730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45730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45730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45730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45730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45730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45730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45730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45730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45730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45730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45730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45730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45730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45730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45730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45730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45730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45730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45730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45730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45730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45730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45730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45730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45730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45730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45730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45730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45730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45730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45730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45730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45730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45730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45730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45730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45730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45730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45730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45730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45730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45730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45730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45730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45730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45730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45730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45730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45730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45730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45730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45730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45730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45730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45730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45730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45730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45730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45730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45730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45730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45730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45730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45730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45730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45730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45730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45730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45730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45730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45730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45730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45730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45730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45730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45730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45730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45730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45730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45730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45730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45730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45730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45730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45730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45730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45730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45730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45730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45730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45730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45730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45730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45730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45730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45730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45730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45730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45730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45730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45730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45730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45730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45730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45730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45730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45730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45730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45730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45730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45730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45730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45730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45730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45730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45730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45730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45730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45730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45730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45730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45730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45730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45730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45730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45730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45730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45730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45730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45730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45730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45730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45730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45730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45730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45730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45730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45730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45730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45730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45730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45730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45730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45730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45730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45730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45730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45730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45730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45730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45730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45730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45730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45730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45730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45730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45730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45730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45730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45730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45730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45730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45730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45730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45730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45730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45730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45730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45730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45730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45730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45730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45730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45730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45730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45730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45730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45730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45730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45730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45730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45730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45730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45730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45730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45730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45730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45730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45730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45730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45730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45730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45730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45730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45730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45730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45730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45730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45730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45730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45730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45730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45730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45730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45730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45730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45730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45730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45730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45730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45730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45730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45730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45730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45730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45730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45730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45730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45730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45730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45730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45730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45730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45730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45730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45730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45730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45730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45730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45730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45730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45730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45730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45730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45730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45730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45730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45730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45730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45730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45730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45730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45730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45730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45730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45730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45730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45730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45730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45730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45730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45730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45730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45730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45730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45730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45730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45730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45730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45730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45730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45730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45730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45730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45730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45730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45730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45730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45730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45730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45730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45730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45730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45730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45730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45730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45730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45730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45730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45730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45730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45730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45730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45730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45730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45730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45730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45730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45730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45730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45730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45730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45730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45730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45730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45730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45730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45730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45730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45730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45730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45730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45730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45730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45730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45730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45730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45730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45730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45730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45730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45730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45730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45730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45730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45730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45730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45730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45730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45730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45730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45730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45730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45730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45730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45730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45730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45730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45730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45730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45730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45730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45730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45730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45730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45730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45730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45730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45730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45730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45730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45730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45730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45730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45730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45730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45730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45730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45730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45730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45730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45730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45730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45730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45730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45730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45730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45730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45730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45730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45730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45730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45730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45730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45730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45730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45730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45730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45730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45730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45730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45730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45730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45730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45730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45730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45730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45730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45730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45730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45730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45730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45730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45730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45730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45730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45730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45730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45730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45730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45730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45730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45730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45730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45730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45730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45730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45730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45730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45730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45730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45730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45730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45730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45730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45730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45730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45730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45730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45730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45730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45730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45730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45730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45730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45730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45730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45730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45730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45730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45730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45730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45730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45730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45730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45730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45730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45730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45730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45730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45730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45730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45730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45730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45730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45730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45730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45730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45730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45730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45730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45730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45730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45730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45730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45730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45730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45730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45730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45730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45730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45730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45730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45730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45730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45730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45730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45730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45730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45730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45730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45730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45730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45730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45730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45730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45730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45730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45730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45730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45730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45730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45730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45730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45730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45730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45730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45730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45730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45730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45730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45730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45730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45730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45730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45730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45730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45730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45730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45730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45730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45730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45730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45730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45730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45730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45730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45730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45730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45730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45730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45730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45730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45730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45730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45730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45730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45730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45730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45730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45730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45730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45730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45730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45730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45730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45730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45730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45730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45730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45730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45730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45730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45730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45730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45730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45730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45730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45730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45730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45730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45730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45730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45730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45730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45730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45730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45730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45730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45730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45730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45730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45730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45730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45730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45730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45730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45730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45730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45730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45730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45730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45730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45730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45730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45730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45730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45730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45730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45730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45730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45730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45730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45730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45730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45730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45730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45730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45730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45730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45730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45730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45730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45730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45730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45730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45730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45730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45730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45730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45730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45730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45730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45730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45730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45730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45730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45730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45730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45730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45730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45730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45730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45730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45730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45730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45730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45730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45730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45730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45730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45730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45730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45730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7799-2025</t>
        </is>
      </c>
      <c r="B915" s="1" t="n">
        <v>45706</v>
      </c>
      <c r="C915" s="1" t="n">
        <v>45730</v>
      </c>
      <c r="D915" t="inlineStr">
        <is>
          <t>GÄVLEBORGS LÄN</t>
        </is>
      </c>
      <c r="E915" t="inlineStr">
        <is>
          <t>SÖDERHAMN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7794-2025</t>
        </is>
      </c>
      <c r="B916" s="1" t="n">
        <v>45706</v>
      </c>
      <c r="C916" s="1" t="n">
        <v>45730</v>
      </c>
      <c r="D916" t="inlineStr">
        <is>
          <t>GÄVLEBORGS LÄN</t>
        </is>
      </c>
      <c r="E916" t="inlineStr">
        <is>
          <t>SÖDERHAMN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7822-2025</t>
        </is>
      </c>
      <c r="B917" s="1" t="n">
        <v>45706</v>
      </c>
      <c r="C917" s="1" t="n">
        <v>45730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45730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7808-2025</t>
        </is>
      </c>
      <c r="B919" s="1" t="n">
        <v>45706</v>
      </c>
      <c r="C919" s="1" t="n">
        <v>45730</v>
      </c>
      <c r="D919" t="inlineStr">
        <is>
          <t>GÄVLEBORGS LÄN</t>
        </is>
      </c>
      <c r="E919" t="inlineStr">
        <is>
          <t>SÖDERHAMN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7875-2025</t>
        </is>
      </c>
      <c r="B920" s="1" t="n">
        <v>45706</v>
      </c>
      <c r="C920" s="1" t="n">
        <v>45730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45730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45730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45730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45730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10715-2025</t>
        </is>
      </c>
      <c r="B925" s="1" t="n">
        <v>45722</v>
      </c>
      <c r="C925" s="1" t="n">
        <v>45730</v>
      </c>
      <c r="D925" t="inlineStr">
        <is>
          <t>GÄVLEBORGS LÄN</t>
        </is>
      </c>
      <c r="E925" t="inlineStr">
        <is>
          <t>SÖDERHAMN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45730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10716-2025</t>
        </is>
      </c>
      <c r="B927" s="1" t="n">
        <v>45722</v>
      </c>
      <c r="C927" s="1" t="n">
        <v>45730</v>
      </c>
      <c r="D927" t="inlineStr">
        <is>
          <t>GÄVLEBORGS LÄN</t>
        </is>
      </c>
      <c r="E927" t="inlineStr">
        <is>
          <t>SÖDERHAMN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45730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11418-2025</t>
        </is>
      </c>
      <c r="B929" s="1" t="n">
        <v>45726</v>
      </c>
      <c r="C929" s="1" t="n">
        <v>45730</v>
      </c>
      <c r="D929" t="inlineStr">
        <is>
          <t>GÄVLEBORGS LÄN</t>
        </is>
      </c>
      <c r="E929" t="inlineStr">
        <is>
          <t>SÖDERHAMN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11420-2025</t>
        </is>
      </c>
      <c r="B930" s="1" t="n">
        <v>45726</v>
      </c>
      <c r="C930" s="1" t="n">
        <v>45730</v>
      </c>
      <c r="D930" t="inlineStr">
        <is>
          <t>GÄVLEBORGS LÄN</t>
        </is>
      </c>
      <c r="E930" t="inlineStr">
        <is>
          <t>SÖDERHAMN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45730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11428-2025</t>
        </is>
      </c>
      <c r="B932" s="1" t="n">
        <v>45726</v>
      </c>
      <c r="C932" s="1" t="n">
        <v>45730</v>
      </c>
      <c r="D932" t="inlineStr">
        <is>
          <t>GÄVLEBORGS LÄN</t>
        </is>
      </c>
      <c r="E932" t="inlineStr">
        <is>
          <t>SÖDERHAMN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11702-2025</t>
        </is>
      </c>
      <c r="B933" s="1" t="n">
        <v>45727</v>
      </c>
      <c r="C933" s="1" t="n">
        <v>45730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2025-03-14T17:22:01Z</dcterms:created>
  <dcterms:modified xmlns:dcterms="http://purl.org/dc/terms/" xmlns:xsi="http://www.w3.org/2001/XMLSchema-instance" xsi:type="dcterms:W3CDTF">2025-03-14T17:22:02Z</dcterms:modified>
</cp:coreProperties>
</file>