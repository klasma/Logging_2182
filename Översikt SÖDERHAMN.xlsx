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46310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46310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46310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46310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46310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46310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46310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46310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46310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46310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46310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46310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46310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46310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38545-2025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46310</v>
      </c>
      <c r="F26" t="inlineStr">
        <is>
          <t>GÄVLEBORGS LÄN</t>
        </is>
      </c>
      <c r="G26" t="inlineStr">
        <is>
          <t>SÖDERHAMN</t>
        </is>
      </c>
      <c r="I26" t="n">
        <v>2.3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HYPERLINK("https://klasma.github.io/Logging_2182/artfynd/A 38545-2025 artfynd.xlsx", "A 38545-2025")</f>
        <v/>
      </c>
      <c r="X26">
        <f>HYPERLINK("https://klasma.github.io/Logging_2182/kartor/A 38545-2025 karta.png", "A 38545-2025")</f>
        <v/>
      </c>
      <c r="Y26">
        <f>HYPERLINK("https://klasma.github.io/Logging_2182/kartor_geotiff/A 38545-2025 georefererad karta.tif", "A 38545-2025")</f>
        <v/>
      </c>
      <c r="Z26">
        <f>HYPERLINK("https://klasma.github.io/Logging_2182/knärot/A 38545-2025 karta knärot.png", "A 38545-2025")</f>
        <v/>
      </c>
      <c r="AA26">
        <f>HYPERLINK("https://klasma.github.io/Logging_2182/klagomål/A 38545-2025 FSC-klagomål.docx", "A 38545-2025")</f>
        <v/>
      </c>
      <c r="AB26">
        <f>HYPERLINK("https://klasma.github.io/Logging_2182/klagomålsmail/A 38545-2025 FSC-klagomål mail.docx", "A 38545-2025")</f>
        <v/>
      </c>
      <c r="AC26">
        <f>HYPERLINK("https://klasma.github.io/Logging_2182/tillsyn/A 38545-2025 tillsynsbegäran.docx", "A 38545-2025")</f>
        <v/>
      </c>
      <c r="AD26">
        <f>HYPERLINK("https://klasma.github.io/Logging_2182/tillsynsmail/A 38545-2025 tillsynsbegäran mail.docx", "A 38545-2025")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46310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46310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46310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9284-2026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46070</v>
      </c>
      <c r="E30" s="1" t="n">
        <v>46310</v>
      </c>
      <c r="F30" t="inlineStr">
        <is>
          <t>GÄVLEBORGS LÄN</t>
        </is>
      </c>
      <c r="G30" t="inlineStr">
        <is>
          <t>SÖDERHAMN</t>
        </is>
      </c>
      <c r="I30" t="n">
        <v>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HYPERLINK("https://klasma.github.io/Logging_2182/artfynd/A 9284-2026 artfynd.xlsx", "A 9284-2026")</f>
        <v/>
      </c>
      <c r="X30">
        <f>HYPERLINK("https://klasma.github.io/Logging_2182/kartor/A 9284-2026 karta.png", "A 9284-2026")</f>
        <v/>
      </c>
      <c r="Y30">
        <f>HYPERLINK("https://klasma.github.io/Logging_2182/kartor_geotiff/A 9284-2026 georefererad karta.tif", "A 9284-2026")</f>
        <v/>
      </c>
      <c r="Z30">
        <f>HYPERLINK("https://klasma.github.io/Logging_2182/knärot/A 9284-2026 karta knärot.png", "A 9284-2026")</f>
        <v/>
      </c>
      <c r="AA30">
        <f>HYPERLINK("https://klasma.github.io/Logging_2182/klagomål/A 9284-2026 FSC-klagomål.docx", "A 9284-2026")</f>
        <v/>
      </c>
      <c r="AB30">
        <f>HYPERLINK("https://klasma.github.io/Logging_2182/klagomålsmail/A 9284-2026 FSC-klagomål mail.docx", "A 9284-2026")</f>
        <v/>
      </c>
      <c r="AC30">
        <f>HYPERLINK("https://klasma.github.io/Logging_2182/tillsyn/A 9284-2026 tillsynsbegäran.docx", "A 9284-2026")</f>
        <v/>
      </c>
      <c r="AD30">
        <f>HYPERLINK("https://klasma.github.io/Logging_2182/tillsynsmail/A 9284-2026 tillsynsbegäran mail.docx", "A 9284-2026")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46310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46310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43682-2024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45569</v>
      </c>
      <c r="E33" s="1" t="n">
        <v>46310</v>
      </c>
      <c r="F33" t="inlineStr">
        <is>
          <t>GÄVLEBORGS LÄN</t>
        </is>
      </c>
      <c r="G33" t="inlineStr">
        <is>
          <t>SÖDERHAMN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HYPERLINK("https://klasma.github.io/Logging_2182/artfynd/A 43682-2024 artfynd.xlsx", "A 43682-2024")</f>
        <v/>
      </c>
      <c r="X33">
        <f>HYPERLINK("https://klasma.github.io/Logging_2182/kartor/A 43682-2024 karta.png", "A 43682-2024")</f>
        <v/>
      </c>
      <c r="Y33">
        <f>HYPERLINK("https://klasma.github.io/Logging_2182/kartor_geotiff/A 43682-2024 georefererad karta.tif", "A 43682-2024")</f>
        <v/>
      </c>
      <c r="AA33">
        <f>HYPERLINK("https://klasma.github.io/Logging_2182/klagomål/A 43682-2024 FSC-klagomål.docx", "A 43682-2024")</f>
        <v/>
      </c>
      <c r="AB33">
        <f>HYPERLINK("https://klasma.github.io/Logging_2182/klagomålsmail/A 43682-2024 FSC-klagomål mail.docx", "A 43682-2024")</f>
        <v/>
      </c>
      <c r="AC33">
        <f>HYPERLINK("https://klasma.github.io/Logging_2182/tillsyn/A 43682-2024 tillsynsbegäran.docx", "A 43682-2024")</f>
        <v/>
      </c>
      <c r="AD33">
        <f>HYPERLINK("https://klasma.github.io/Logging_2182/tillsynsmail/A 43682-2024 tillsynsbegäran mail.docx", "A 43682-2024")</f>
        <v/>
      </c>
    </row>
    <row r="34" ht="15" customHeight="1">
      <c r="A34" t="inlineStr">
        <is>
          <t>A 57441-2024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46310</v>
      </c>
      <c r="F34" t="inlineStr">
        <is>
          <t>GÄVLEBORGS LÄN</t>
        </is>
      </c>
      <c r="G34" t="inlineStr">
        <is>
          <t>SÖDERHAMN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HYPERLINK("https://klasma.github.io/Logging_2182/artfynd/A 57441-2024 artfynd.xlsx", "A 57441-2024")</f>
        <v/>
      </c>
      <c r="X34">
        <f>HYPERLINK("https://klasma.github.io/Logging_2182/kartor/A 57441-2024 karta.png", "A 57441-2024")</f>
        <v/>
      </c>
      <c r="Y34">
        <f>HYPERLINK("https://klasma.github.io/Logging_2182/kartor_geotiff/A 57441-2024 georefererad karta.tif", "A 57441-2024")</f>
        <v/>
      </c>
      <c r="AA34">
        <f>HYPERLINK("https://klasma.github.io/Logging_2182/klagomål/A 57441-2024 FSC-klagomål.docx", "A 57441-2024")</f>
        <v/>
      </c>
      <c r="AB34">
        <f>HYPERLINK("https://klasma.github.io/Logging_2182/klagomålsmail/A 57441-2024 FSC-klagomål mail.docx", "A 57441-2024")</f>
        <v/>
      </c>
      <c r="AC34">
        <f>HYPERLINK("https://klasma.github.io/Logging_2182/tillsyn/A 57441-2024 tillsynsbegäran.docx", "A 57441-2024")</f>
        <v/>
      </c>
      <c r="AD34">
        <f>HYPERLINK("https://klasma.github.io/Logging_2182/tillsynsmail/A 57441-2024 tillsynsbegäran mail.docx", "A 57441-2024")</f>
        <v/>
      </c>
    </row>
    <row r="35" ht="15" customHeight="1">
      <c r="A35" t="inlineStr">
        <is>
          <t>A 40097-2024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45554</v>
      </c>
      <c r="E35" s="1" t="n">
        <v>46310</v>
      </c>
      <c r="F35" t="inlineStr">
        <is>
          <t>GÄVLEBORGS LÄN</t>
        </is>
      </c>
      <c r="G35" t="inlineStr">
        <is>
          <t>SÖDERHAMN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40097-2024 artfynd.xlsx", "A 40097-2024")</f>
        <v/>
      </c>
      <c r="X35">
        <f>HYPERLINK("https://klasma.github.io/Logging_2182/kartor/A 40097-2024 karta.png", "A 40097-2024")</f>
        <v/>
      </c>
      <c r="Y35">
        <f>HYPERLINK("https://klasma.github.io/Logging_2182/kartor_geotiff/A 40097-2024 georefererad karta.tif", "A 40097-2024")</f>
        <v/>
      </c>
      <c r="AA35">
        <f>HYPERLINK("https://klasma.github.io/Logging_2182/klagomål/A 40097-2024 FSC-klagomål.docx", "A 40097-2024")</f>
        <v/>
      </c>
      <c r="AB35">
        <f>HYPERLINK("https://klasma.github.io/Logging_2182/klagomålsmail/A 40097-2024 FSC-klagomål mail.docx", "A 40097-2024")</f>
        <v/>
      </c>
      <c r="AC35">
        <f>HYPERLINK("https://klasma.github.io/Logging_2182/tillsyn/A 40097-2024 tillsynsbegäran.docx", "A 40097-2024")</f>
        <v/>
      </c>
      <c r="AD35">
        <f>HYPERLINK("https://klasma.github.io/Logging_2182/tillsynsmail/A 40097-2024 tillsynsbegäran mail.docx", "A 40097-2024")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46310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46310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46310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41258-2022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46310</v>
      </c>
      <c r="F39" t="inlineStr">
        <is>
          <t>GÄVLEBORGS LÄN</t>
        </is>
      </c>
      <c r="G39" t="inlineStr">
        <is>
          <t>SÖDERHAMN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Rosenticka</t>
        </is>
      </c>
      <c r="W39">
        <f>HYPERLINK("https://klasma.github.io/Logging_2182/artfynd/A 41258-2022 artfynd.xlsx", "A 41258-2022")</f>
        <v/>
      </c>
      <c r="X39">
        <f>HYPERLINK("https://klasma.github.io/Logging_2182/kartor/A 41258-2022 karta.png", "A 41258-2022")</f>
        <v/>
      </c>
      <c r="Y39">
        <f>HYPERLINK("https://klasma.github.io/Logging_2182/kartor_geotiff/A 41258-2022 georefererad karta.tif", "A 41258-2022")</f>
        <v/>
      </c>
      <c r="AA39">
        <f>HYPERLINK("https://klasma.github.io/Logging_2182/klagomål/A 41258-2022 FSC-klagomål.docx", "A 41258-2022")</f>
        <v/>
      </c>
      <c r="AB39">
        <f>HYPERLINK("https://klasma.github.io/Logging_2182/klagomålsmail/A 41258-2022 FSC-klagomål mail.docx", "A 41258-2022")</f>
        <v/>
      </c>
      <c r="AC39">
        <f>HYPERLINK("https://klasma.github.io/Logging_2182/tillsyn/A 41258-2022 tillsynsbegäran.docx", "A 41258-2022")</f>
        <v/>
      </c>
      <c r="AD39">
        <f>HYPERLINK("https://klasma.github.io/Logging_2182/tillsynsmail/A 41258-2022 tillsynsbegäran mail.docx", "A 41258-2022")</f>
        <v/>
      </c>
    </row>
    <row r="40" ht="15" customHeight="1">
      <c r="A40" t="inlineStr">
        <is>
          <t>A 5946-2026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46310</v>
      </c>
      <c r="F40" t="inlineStr">
        <is>
          <t>GÄVLEBORGS LÄN</t>
        </is>
      </c>
      <c r="G40" t="inlineStr">
        <is>
          <t>SÖDERHAMN</t>
        </is>
      </c>
      <c r="I40" t="n">
        <v>8.800000000000001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aspticka</t>
        </is>
      </c>
      <c r="W40">
        <f>HYPERLINK("https://klasma.github.io/Logging_2182/artfynd/A 5946-2026 artfynd.xlsx", "A 5946-2026")</f>
        <v/>
      </c>
      <c r="X40">
        <f>HYPERLINK("https://klasma.github.io/Logging_2182/kartor/A 5946-2026 karta.png", "A 5946-2026")</f>
        <v/>
      </c>
      <c r="Y40">
        <f>HYPERLINK("https://klasma.github.io/Logging_2182/kartor_geotiff/A 5946-2026 georefererad karta.tif", "A 5946-2026")</f>
        <v/>
      </c>
      <c r="AA40">
        <f>HYPERLINK("https://klasma.github.io/Logging_2182/klagomål/A 5946-2026 FSC-klagomål.docx", "A 5946-2026")</f>
        <v/>
      </c>
      <c r="AB40">
        <f>HYPERLINK("https://klasma.github.io/Logging_2182/klagomålsmail/A 5946-2026 FSC-klagomål mail.docx", "A 5946-2026")</f>
        <v/>
      </c>
      <c r="AC40">
        <f>HYPERLINK("https://klasma.github.io/Logging_2182/tillsyn/A 5946-2026 tillsynsbegäran.docx", "A 5946-2026")</f>
        <v/>
      </c>
      <c r="AD40">
        <f>HYPERLINK("https://klasma.github.io/Logging_2182/tillsynsmail/A 5946-2026 tillsynsbegäran mail.docx", "A 5946-2026")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46310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Brunfläckig pärlemorfjäril</t>
        </is>
      </c>
      <c r="W41">
        <f>HYPERLINK("https://klasma.github.io/Logging_2182/artfynd/A 21316-2024 artfynd.xlsx", "A 21316-2024")</f>
        <v/>
      </c>
      <c r="X41">
        <f>HYPERLINK("https://klasma.github.io/Logging_2182/kartor/A 21316-2024 karta.png", "A 21316-2024")</f>
        <v/>
      </c>
      <c r="Y41">
        <f>HYPERLINK("https://klasma.github.io/Logging_2182/kartor_geotiff/A 21316-2024 georefererad karta.tif", "A 21316-2024")</f>
        <v/>
      </c>
      <c r="AA41">
        <f>HYPERLINK("https://klasma.github.io/Logging_2182/klagomål/A 21316-2024 FSC-klagomål.docx", "A 21316-2024")</f>
        <v/>
      </c>
      <c r="AB41">
        <f>HYPERLINK("https://klasma.github.io/Logging_2182/klagomålsmail/A 21316-2024 FSC-klagomål mail.docx", "A 21316-2024")</f>
        <v/>
      </c>
      <c r="AC41">
        <f>HYPERLINK("https://klasma.github.io/Logging_2182/tillsyn/A 21316-2024 tillsynsbegäran.docx", "A 21316-2024")</f>
        <v/>
      </c>
      <c r="AD41">
        <f>HYPERLINK("https://klasma.github.io/Logging_2182/tillsynsmail/A 21316-2024 tillsynsbegäran mail.docx", "A 21316-2024")</f>
        <v/>
      </c>
    </row>
    <row r="42" ht="15" customHeight="1">
      <c r="A42" t="inlineStr">
        <is>
          <t>A 55768-2025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45972</v>
      </c>
      <c r="E42" s="1" t="n">
        <v>46310</v>
      </c>
      <c r="F42" t="inlineStr">
        <is>
          <t>GÄVLEBORGS LÄN</t>
        </is>
      </c>
      <c r="G42" t="inlineStr">
        <is>
          <t>SÖDERHAMN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Sydlig ladlav</t>
        </is>
      </c>
      <c r="W42">
        <f>HYPERLINK("https://klasma.github.io/Logging_2182/artfynd/A 55768-2025 artfynd.xlsx", "A 55768-2025")</f>
        <v/>
      </c>
      <c r="X42">
        <f>HYPERLINK("https://klasma.github.io/Logging_2182/kartor/A 55768-2025 karta.png", "A 55768-2025")</f>
        <v/>
      </c>
      <c r="Y42">
        <f>HYPERLINK("https://klasma.github.io/Logging_2182/kartor_geotiff/A 55768-2025 georefererad karta.tif", "A 55768-2025")</f>
        <v/>
      </c>
      <c r="AA42">
        <f>HYPERLINK("https://klasma.github.io/Logging_2182/klagomål/A 55768-2025 FSC-klagomål.docx", "A 55768-2025")</f>
        <v/>
      </c>
      <c r="AB42">
        <f>HYPERLINK("https://klasma.github.io/Logging_2182/klagomålsmail/A 55768-2025 FSC-klagomål mail.docx", "A 55768-2025")</f>
        <v/>
      </c>
      <c r="AC42">
        <f>HYPERLINK("https://klasma.github.io/Logging_2182/tillsyn/A 55768-2025 tillsynsbegäran.docx", "A 55768-2025")</f>
        <v/>
      </c>
      <c r="AD42">
        <f>HYPERLINK("https://klasma.github.io/Logging_2182/tillsynsmail/A 55768-2025 tillsynsbegäran mail.docx", "A 55768-2025")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46310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58077-2024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46310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Motaggsvamp</t>
        </is>
      </c>
      <c r="W44">
        <f>HYPERLINK("https://klasma.github.io/Logging_2182/artfynd/A 58077-2024 artfynd.xlsx", "A 58077-2024")</f>
        <v/>
      </c>
      <c r="X44">
        <f>HYPERLINK("https://klasma.github.io/Logging_2182/kartor/A 58077-2024 karta.png", "A 58077-2024")</f>
        <v/>
      </c>
      <c r="Y44">
        <f>HYPERLINK("https://klasma.github.io/Logging_2182/kartor_geotiff/A 58077-2024 georefererad karta.tif", "A 58077-2024")</f>
        <v/>
      </c>
      <c r="AA44">
        <f>HYPERLINK("https://klasma.github.io/Logging_2182/klagomål/A 58077-2024 FSC-klagomål.docx", "A 58077-2024")</f>
        <v/>
      </c>
      <c r="AB44">
        <f>HYPERLINK("https://klasma.github.io/Logging_2182/klagomålsmail/A 58077-2024 FSC-klagomål mail.docx", "A 58077-2024")</f>
        <v/>
      </c>
      <c r="AC44">
        <f>HYPERLINK("https://klasma.github.io/Logging_2182/tillsyn/A 58077-2024 tillsynsbegäran.docx", "A 58077-2024")</f>
        <v/>
      </c>
      <c r="AD44">
        <f>HYPERLINK("https://klasma.github.io/Logging_2182/tillsynsmail/A 58077-2024 tillsynsbegäran mail.docx", "A 58077-2024")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46310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46310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19700-2023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45051</v>
      </c>
      <c r="E47" s="1" t="n">
        <v>46310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Ängsblåvinge</t>
        </is>
      </c>
      <c r="W47">
        <f>HYPERLINK("https://klasma.github.io/Logging_2182/artfynd/A 19700-2023 artfynd.xlsx", "A 19700-2023")</f>
        <v/>
      </c>
      <c r="X47">
        <f>HYPERLINK("https://klasma.github.io/Logging_2182/kartor/A 19700-2023 karta.png", "A 19700-2023")</f>
        <v/>
      </c>
      <c r="Y47">
        <f>HYPERLINK("https://klasma.github.io/Logging_2182/kartor_geotiff/A 19700-2023 georefererad karta.tif", "A 19700-2023")</f>
        <v/>
      </c>
      <c r="AA47">
        <f>HYPERLINK("https://klasma.github.io/Logging_2182/klagomål/A 19700-2023 FSC-klagomål.docx", "A 19700-2023")</f>
        <v/>
      </c>
      <c r="AB47">
        <f>HYPERLINK("https://klasma.github.io/Logging_2182/klagomålsmail/A 19700-2023 FSC-klagomål mail.docx", "A 19700-2023")</f>
        <v/>
      </c>
      <c r="AC47">
        <f>HYPERLINK("https://klasma.github.io/Logging_2182/tillsyn/A 19700-2023 tillsynsbegäran.docx", "A 19700-2023")</f>
        <v/>
      </c>
      <c r="AD47">
        <f>HYPERLINK("https://klasma.github.io/Logging_2182/tillsynsmail/A 19700-2023 tillsynsbegäran mail.docx", "A 19700-2023")</f>
        <v/>
      </c>
    </row>
    <row r="48" ht="15" customHeight="1">
      <c r="A48" t="inlineStr">
        <is>
          <t>A 6060-2026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46310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Barkticka</t>
        </is>
      </c>
      <c r="W48">
        <f>HYPERLINK("https://klasma.github.io/Logging_2182/artfynd/A 6060-2026 artfynd.xlsx", "A 6060-2026")</f>
        <v/>
      </c>
      <c r="X48">
        <f>HYPERLINK("https://klasma.github.io/Logging_2182/kartor/A 6060-2026 karta.png", "A 6060-2026")</f>
        <v/>
      </c>
      <c r="Y48">
        <f>HYPERLINK("https://klasma.github.io/Logging_2182/kartor_geotiff/A 6060-2026 georefererad karta.tif", "A 6060-2026")</f>
        <v/>
      </c>
      <c r="AA48">
        <f>HYPERLINK("https://klasma.github.io/Logging_2182/klagomål/A 6060-2026 FSC-klagomål.docx", "A 6060-2026")</f>
        <v/>
      </c>
      <c r="AB48">
        <f>HYPERLINK("https://klasma.github.io/Logging_2182/klagomålsmail/A 6060-2026 FSC-klagomål mail.docx", "A 6060-2026")</f>
        <v/>
      </c>
      <c r="AC48">
        <f>HYPERLINK("https://klasma.github.io/Logging_2182/tillsyn/A 6060-2026 tillsynsbegäran.docx", "A 6060-2026")</f>
        <v/>
      </c>
      <c r="AD48">
        <f>HYPERLINK("https://klasma.github.io/Logging_2182/tillsynsmail/A 6060-2026 tillsynsbegäran mail.docx", "A 6060-2026")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46310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46310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Älg</t>
        </is>
      </c>
      <c r="W50">
        <f>HYPERLINK("https://klasma.github.io/Logging_2182/artfynd/A 17412-2023 artfynd.xlsx", "A 17412-2023")</f>
        <v/>
      </c>
      <c r="X50">
        <f>HYPERLINK("https://klasma.github.io/Logging_2182/kartor/A 17412-2023 karta.png", "A 17412-2023")</f>
        <v/>
      </c>
      <c r="Y50">
        <f>HYPERLINK("https://klasma.github.io/Logging_2182/kartor_geotiff/A 17412-2023 georefererad karta.tif", "A 17412-2023")</f>
        <v/>
      </c>
      <c r="AA50">
        <f>HYPERLINK("https://klasma.github.io/Logging_2182/klagomål/A 17412-2023 FSC-klagomål.docx", "A 17412-2023")</f>
        <v/>
      </c>
      <c r="AB50">
        <f>HYPERLINK("https://klasma.github.io/Logging_2182/klagomålsmail/A 17412-2023 FSC-klagomål mail.docx", "A 17412-2023")</f>
        <v/>
      </c>
      <c r="AC50">
        <f>HYPERLINK("https://klasma.github.io/Logging_2182/tillsyn/A 17412-2023 tillsynsbegäran.docx", "A 17412-2023")</f>
        <v/>
      </c>
      <c r="AD50">
        <f>HYPERLINK("https://klasma.github.io/Logging_2182/tillsynsmail/A 17412-2023 tillsynsbegäran mail.docx", "A 17412-2023")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46310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46310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46310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46310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46310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46310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46310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46310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46310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46310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46310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46310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46310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46310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46310</v>
      </c>
      <c r="F65" t="inlineStr">
        <is>
          <t>GÄVLEBORGS LÄN</t>
        </is>
      </c>
      <c r="G65" t="inlineStr">
        <is>
          <t>SÖDERHAMN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40575-2022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46310</v>
      </c>
      <c r="F66" t="inlineStr">
        <is>
          <t>GÄVLEBORGS LÄN</t>
        </is>
      </c>
      <c r="G66" t="inlineStr">
        <is>
          <t>SÖDERHAMN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46310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46310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46310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46310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46310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46310</v>
      </c>
      <c r="F72" t="inlineStr">
        <is>
          <t>GÄVLEBORGS LÄN</t>
        </is>
      </c>
      <c r="G72" t="inlineStr">
        <is>
          <t>SÖDERHAMN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44820</v>
      </c>
      <c r="E73" s="1" t="n">
        <v>46310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46310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46310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46310</v>
      </c>
      <c r="F76" t="inlineStr">
        <is>
          <t>GÄVLEBORGS LÄN</t>
        </is>
      </c>
      <c r="G76" t="inlineStr">
        <is>
          <t>SÖDERHAMN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46310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46310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46310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45040</v>
      </c>
      <c r="E80" s="1" t="n">
        <v>46310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45254</v>
      </c>
      <c r="E81" s="1" t="n">
        <v>46310</v>
      </c>
      <c r="F81" t="inlineStr">
        <is>
          <t>GÄVLEBORGS LÄN</t>
        </is>
      </c>
      <c r="G81" t="inlineStr">
        <is>
          <t>SÖDERHAMN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46310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46310</v>
      </c>
      <c r="F83" t="inlineStr">
        <is>
          <t>GÄVLEBORGS LÄN</t>
        </is>
      </c>
      <c r="G83" t="inlineStr">
        <is>
          <t>SÖDERHAMN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46310</v>
      </c>
      <c r="F84" t="inlineStr">
        <is>
          <t>GÄVLEBORGS LÄN</t>
        </is>
      </c>
      <c r="G84" t="inlineStr">
        <is>
          <t>SÖDERHAMN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45527</v>
      </c>
      <c r="E85" s="1" t="n">
        <v>46310</v>
      </c>
      <c r="F85" t="inlineStr">
        <is>
          <t>GÄVLEBORGS LÄN</t>
        </is>
      </c>
      <c r="G85" t="inlineStr">
        <is>
          <t>SÖDERHAMN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45442</v>
      </c>
      <c r="E86" s="1" t="n">
        <v>46310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45562</v>
      </c>
      <c r="E87" s="1" t="n">
        <v>46310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45393</v>
      </c>
      <c r="E88" s="1" t="n">
        <v>46310</v>
      </c>
      <c r="F88" t="inlineStr">
        <is>
          <t>GÄVLEBORGS LÄN</t>
        </is>
      </c>
      <c r="G88" t="inlineStr">
        <is>
          <t>SÖDERHAMN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46310</v>
      </c>
      <c r="F89" t="inlineStr">
        <is>
          <t>GÄVLEBORGS LÄN</t>
        </is>
      </c>
      <c r="G89" t="inlineStr">
        <is>
          <t>SÖDERHAMN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31676-2022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44776</v>
      </c>
      <c r="E90" s="1" t="n">
        <v>46310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46310</v>
      </c>
      <c r="F91" t="inlineStr">
        <is>
          <t>GÄVLEBORGS LÄN</t>
        </is>
      </c>
      <c r="G91" t="inlineStr">
        <is>
          <t>SÖDERHAMN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46310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24610-2025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46310</v>
      </c>
      <c r="F93" t="inlineStr">
        <is>
          <t>GÄVLEBORGS LÄN</t>
        </is>
      </c>
      <c r="G93" t="inlineStr">
        <is>
          <t>SÖDERHAMN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46310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45643</v>
      </c>
      <c r="E95" s="1" t="n">
        <v>46310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46310</v>
      </c>
      <c r="F96" t="inlineStr">
        <is>
          <t>GÄVLEBORGS LÄN</t>
        </is>
      </c>
      <c r="G96" t="inlineStr">
        <is>
          <t>SÖDERHAMN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46310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46310</v>
      </c>
      <c r="F98" t="inlineStr">
        <is>
          <t>GÄVLEBORGS LÄN</t>
        </is>
      </c>
      <c r="G98" t="inlineStr">
        <is>
          <t>SÖDERHAMN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46310</v>
      </c>
      <c r="F99" t="inlineStr">
        <is>
          <t>GÄVLEBORGS LÄN</t>
        </is>
      </c>
      <c r="G99" t="inlineStr">
        <is>
          <t>SÖDERHAMN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46310</v>
      </c>
      <c r="F100" t="inlineStr">
        <is>
          <t>GÄVLEBORGS LÄN</t>
        </is>
      </c>
      <c r="G100" t="inlineStr">
        <is>
          <t>SÖDERHAMN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46310</v>
      </c>
      <c r="F101" t="inlineStr">
        <is>
          <t>GÄVLEBORGS LÄN</t>
        </is>
      </c>
      <c r="G101" t="inlineStr">
        <is>
          <t>SÖDERHAMN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54799-2022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44883</v>
      </c>
      <c r="E102" s="1" t="n">
        <v>46310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26805-2025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46310</v>
      </c>
      <c r="F103" t="inlineStr">
        <is>
          <t>GÄVLEBORGS LÄN</t>
        </is>
      </c>
      <c r="G103" t="inlineStr">
        <is>
          <t>SÖDERHAMN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45762</v>
      </c>
      <c r="E104" s="1" t="n">
        <v>46310</v>
      </c>
      <c r="F104" t="inlineStr">
        <is>
          <t>GÄVLEBORGS LÄN</t>
        </is>
      </c>
      <c r="G104" t="inlineStr">
        <is>
          <t>SÖDERHAMN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46310</v>
      </c>
      <c r="F105" t="inlineStr">
        <is>
          <t>GÄVLEBORGS LÄN</t>
        </is>
      </c>
      <c r="G105" t="inlineStr">
        <is>
          <t>SÖDERHAMN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44907</v>
      </c>
      <c r="E106" s="1" t="n">
        <v>46310</v>
      </c>
      <c r="F106" t="inlineStr">
        <is>
          <t>GÄVLEBORGS LÄN</t>
        </is>
      </c>
      <c r="G106" t="inlineStr">
        <is>
          <t>SÖDERHAMN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46310</v>
      </c>
      <c r="F107" t="inlineStr">
        <is>
          <t>GÄVLEBORGS LÄN</t>
        </is>
      </c>
      <c r="G107" t="inlineStr">
        <is>
          <t>SÖDERHAMN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45764</v>
      </c>
      <c r="E108" s="1" t="n">
        <v>46310</v>
      </c>
      <c r="F108" t="inlineStr">
        <is>
          <t>GÄVLEBORGS LÄN</t>
        </is>
      </c>
      <c r="G108" t="inlineStr">
        <is>
          <t>SÖDERHAMN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46310</v>
      </c>
      <c r="F109" t="inlineStr">
        <is>
          <t>GÄVLEBORGS LÄN</t>
        </is>
      </c>
      <c r="G109" t="inlineStr">
        <is>
          <t>SÖDERHAMN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45428</v>
      </c>
      <c r="E110" s="1" t="n">
        <v>46310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45821</v>
      </c>
      <c r="E111" s="1" t="n">
        <v>46310</v>
      </c>
      <c r="F111" t="inlineStr">
        <is>
          <t>GÄVLEBORGS LÄN</t>
        </is>
      </c>
      <c r="G111" t="inlineStr">
        <is>
          <t>SÖDERHAMN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46310</v>
      </c>
      <c r="F112" t="inlineStr">
        <is>
          <t>GÄVLEBORGS LÄN</t>
        </is>
      </c>
      <c r="G112" t="inlineStr">
        <is>
          <t>SÖDERHAMN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46310</v>
      </c>
      <c r="F113" t="inlineStr">
        <is>
          <t>GÄVLEBORGS LÄN</t>
        </is>
      </c>
      <c r="G113" t="inlineStr">
        <is>
          <t>SÖDERHAMN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46310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46310</v>
      </c>
      <c r="F115" t="inlineStr">
        <is>
          <t>GÄVLEBORGS LÄN</t>
        </is>
      </c>
      <c r="G115" t="inlineStr">
        <is>
          <t>SÖDERHAMN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31916-2024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46310</v>
      </c>
      <c r="F116" t="inlineStr">
        <is>
          <t>GÄVLEBORGS LÄN</t>
        </is>
      </c>
      <c r="G116" t="inlineStr">
        <is>
          <t>SÖDERHAMN</t>
        </is>
      </c>
      <c r="H116" t="inlineStr">
        <is>
          <t>Bergvik skog väst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46310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46310</v>
      </c>
      <c r="F118" t="inlineStr">
        <is>
          <t>GÄVLEBORGS LÄN</t>
        </is>
      </c>
      <c r="G118" t="inlineStr">
        <is>
          <t>SÖDERHAMN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46310</v>
      </c>
      <c r="F119" t="inlineStr">
        <is>
          <t>GÄVLEBORGS LÄN</t>
        </is>
      </c>
      <c r="G119" t="inlineStr">
        <is>
          <t>SÖDERHAMN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46310</v>
      </c>
      <c r="F120" t="inlineStr">
        <is>
          <t>GÄVLEBORGS LÄN</t>
        </is>
      </c>
      <c r="G120" t="inlineStr">
        <is>
          <t>SÖDERHAMN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46310</v>
      </c>
      <c r="F121" t="inlineStr">
        <is>
          <t>GÄVLEBORGS LÄN</t>
        </is>
      </c>
      <c r="G121" t="inlineStr">
        <is>
          <t>SÖDERHAMN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50268-2024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45600</v>
      </c>
      <c r="E122" s="1" t="n">
        <v>46310</v>
      </c>
      <c r="F122" t="inlineStr">
        <is>
          <t>GÄVLEBORGS LÄN</t>
        </is>
      </c>
      <c r="G122" t="inlineStr">
        <is>
          <t>SÖDERHAMN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46310</v>
      </c>
      <c r="F123" t="inlineStr">
        <is>
          <t>GÄVLEBORGS LÄN</t>
        </is>
      </c>
      <c r="G123" t="inlineStr">
        <is>
          <t>SÖDERHAMN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58544-2023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45251</v>
      </c>
      <c r="E124" s="1" t="n">
        <v>46310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46310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46310</v>
      </c>
      <c r="F126" t="inlineStr">
        <is>
          <t>GÄVLEBORGS LÄN</t>
        </is>
      </c>
      <c r="G126" t="inlineStr">
        <is>
          <t>SÖDERHAMN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45891</v>
      </c>
      <c r="E127" s="1" t="n">
        <v>46310</v>
      </c>
      <c r="F127" t="inlineStr">
        <is>
          <t>GÄVLEBORGS LÄN</t>
        </is>
      </c>
      <c r="G127" t="inlineStr">
        <is>
          <t>SÖDERHAMN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46310</v>
      </c>
      <c r="F128" t="inlineStr">
        <is>
          <t>GÄVLEBORGS LÄN</t>
        </is>
      </c>
      <c r="G128" t="inlineStr">
        <is>
          <t>SÖDERHAMN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45891</v>
      </c>
      <c r="E129" s="1" t="n">
        <v>46310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46310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46310</v>
      </c>
      <c r="F131" t="inlineStr">
        <is>
          <t>GÄVLEBORGS LÄN</t>
        </is>
      </c>
      <c r="G131" t="inlineStr">
        <is>
          <t>SÖDERHAMN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45278</v>
      </c>
      <c r="E132" s="1" t="n">
        <v>46310</v>
      </c>
      <c r="F132" t="inlineStr">
        <is>
          <t>GÄVLEBORGS LÄN</t>
        </is>
      </c>
      <c r="G132" t="inlineStr">
        <is>
          <t>SÖDERHAMN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46310</v>
      </c>
      <c r="F133" t="inlineStr">
        <is>
          <t>GÄVLEBORGS LÄN</t>
        </is>
      </c>
      <c r="G133" t="inlineStr">
        <is>
          <t>SÖDERHAMN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46310</v>
      </c>
      <c r="F134" t="inlineStr">
        <is>
          <t>GÄVLEBORGS LÄN</t>
        </is>
      </c>
      <c r="G134" t="inlineStr">
        <is>
          <t>SÖDERHAMN</t>
        </is>
      </c>
      <c r="H134" t="inlineStr">
        <is>
          <t>Kommuner</t>
        </is>
      </c>
      <c r="I134" t="n">
        <v>10.8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45817</v>
      </c>
      <c r="E135" s="1" t="n">
        <v>46310</v>
      </c>
      <c r="F135" t="inlineStr">
        <is>
          <t>GÄVLEBORGS LÄN</t>
        </is>
      </c>
      <c r="G135" t="inlineStr">
        <is>
          <t>SÖDERHAMN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46310</v>
      </c>
      <c r="F136" t="inlineStr">
        <is>
          <t>GÄVLEBORGS LÄN</t>
        </is>
      </c>
      <c r="G136" t="inlineStr">
        <is>
          <t>SÖDERHAMN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44937</v>
      </c>
      <c r="E137" s="1" t="n">
        <v>46310</v>
      </c>
      <c r="F137" t="inlineStr">
        <is>
          <t>GÄVLEBORGS LÄN</t>
        </is>
      </c>
      <c r="G137" t="inlineStr">
        <is>
          <t>SÖDERHAMN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46310</v>
      </c>
      <c r="F138" t="inlineStr">
        <is>
          <t>GÄVLEBORGS LÄN</t>
        </is>
      </c>
      <c r="G138" t="inlineStr">
        <is>
          <t>SÖDERHAMN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46310</v>
      </c>
      <c r="F139" t="inlineStr">
        <is>
          <t>GÄVLEBORGS LÄN</t>
        </is>
      </c>
      <c r="G139" t="inlineStr">
        <is>
          <t>SÖDERHAMN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45848</v>
      </c>
      <c r="E140" s="1" t="n">
        <v>46310</v>
      </c>
      <c r="F140" t="inlineStr">
        <is>
          <t>GÄVLEBORGS LÄN</t>
        </is>
      </c>
      <c r="G140" t="inlineStr">
        <is>
          <t>SÖDERHAMN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46310</v>
      </c>
      <c r="F141" t="inlineStr">
        <is>
          <t>GÄVLEBORGS LÄN</t>
        </is>
      </c>
      <c r="G141" t="inlineStr">
        <is>
          <t>SÖDERHAMN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34669-2025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45848</v>
      </c>
      <c r="E142" s="1" t="n">
        <v>46310</v>
      </c>
      <c r="F142" t="inlineStr">
        <is>
          <t>GÄVLEBORGS LÄN</t>
        </is>
      </c>
      <c r="G142" t="inlineStr">
        <is>
          <t>SÖDERHAMN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46310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45899</v>
      </c>
      <c r="E144" s="1" t="n">
        <v>46310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46310</v>
      </c>
      <c r="F145" t="inlineStr">
        <is>
          <t>GÄVLEBORGS LÄN</t>
        </is>
      </c>
      <c r="G145" t="inlineStr">
        <is>
          <t>SÖDERHAMN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46310</v>
      </c>
      <c r="F146" t="inlineStr">
        <is>
          <t>GÄVLEBORGS LÄN</t>
        </is>
      </c>
      <c r="G146" t="inlineStr">
        <is>
          <t>SÖDERHAMN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46310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45652</v>
      </c>
      <c r="E148" s="1" t="n">
        <v>46310</v>
      </c>
      <c r="F148" t="inlineStr">
        <is>
          <t>GÄVLEBORGS LÄN</t>
        </is>
      </c>
      <c r="G148" t="inlineStr">
        <is>
          <t>SÖDERHAMN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45863</v>
      </c>
      <c r="E149" s="1" t="n">
        <v>46310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45426</v>
      </c>
      <c r="E150" s="1" t="n">
        <v>46310</v>
      </c>
      <c r="F150" t="inlineStr">
        <is>
          <t>GÄVLEBORGS LÄN</t>
        </is>
      </c>
      <c r="G150" t="inlineStr">
        <is>
          <t>SÖDERHAMN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46310</v>
      </c>
      <c r="F151" t="inlineStr">
        <is>
          <t>GÄVLEBORGS LÄN</t>
        </is>
      </c>
      <c r="G151" t="inlineStr">
        <is>
          <t>SÖDERHAMN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36186-2025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45867</v>
      </c>
      <c r="E152" s="1" t="n">
        <v>46310</v>
      </c>
      <c r="F152" t="inlineStr">
        <is>
          <t>GÄVLEBORGS LÄN</t>
        </is>
      </c>
      <c r="G152" t="inlineStr">
        <is>
          <t>SÖDERHAMN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46310</v>
      </c>
      <c r="F153" t="inlineStr">
        <is>
          <t>GÄVLEBORGS LÄN</t>
        </is>
      </c>
      <c r="G153" t="inlineStr">
        <is>
          <t>SÖDERHAMN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46310</v>
      </c>
      <c r="F154" t="inlineStr">
        <is>
          <t>GÄVLEBORGS LÄN</t>
        </is>
      </c>
      <c r="G154" t="inlineStr">
        <is>
          <t>SÖDERHAMN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46310</v>
      </c>
      <c r="F155" t="inlineStr">
        <is>
          <t>GÄVLEBORGS LÄN</t>
        </is>
      </c>
      <c r="G155" t="inlineStr">
        <is>
          <t>SÖDERHAMN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46310</v>
      </c>
      <c r="F156" t="inlineStr">
        <is>
          <t>GÄVLEBORGS LÄN</t>
        </is>
      </c>
      <c r="G156" t="inlineStr">
        <is>
          <t>SÖDERHAMN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46310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46310</v>
      </c>
      <c r="F158" t="inlineStr">
        <is>
          <t>GÄVLEBORGS LÄN</t>
        </is>
      </c>
      <c r="G158" t="inlineStr">
        <is>
          <t>SÖDERHAMN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45879</v>
      </c>
      <c r="E159" s="1" t="n">
        <v>46310</v>
      </c>
      <c r="F159" t="inlineStr">
        <is>
          <t>GÄVLEBORGS LÄN</t>
        </is>
      </c>
      <c r="G159" t="inlineStr">
        <is>
          <t>SÖDERHAMN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45750</v>
      </c>
      <c r="E160" s="1" t="n">
        <v>46310</v>
      </c>
      <c r="F160" t="inlineStr">
        <is>
          <t>GÄVLEBORGS LÄN</t>
        </is>
      </c>
      <c r="G160" t="inlineStr">
        <is>
          <t>SÖDERHAMN</t>
        </is>
      </c>
      <c r="H160" t="inlineStr">
        <is>
          <t>Kommuner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45879</v>
      </c>
      <c r="E161" s="1" t="n">
        <v>46310</v>
      </c>
      <c r="F161" t="inlineStr">
        <is>
          <t>GÄVLEBORGS LÄN</t>
        </is>
      </c>
      <c r="G161" t="inlineStr">
        <is>
          <t>SÖDERHAMN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46310</v>
      </c>
      <c r="F162" t="inlineStr">
        <is>
          <t>GÄVLEBORGS LÄN</t>
        </is>
      </c>
      <c r="G162" t="inlineStr">
        <is>
          <t>SÖDERHAMN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45595</v>
      </c>
      <c r="E163" s="1" t="n">
        <v>46310</v>
      </c>
      <c r="F163" t="inlineStr">
        <is>
          <t>GÄVLEBORGS LÄN</t>
        </is>
      </c>
      <c r="G163" t="inlineStr">
        <is>
          <t>SÖDERHAMN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46310</v>
      </c>
      <c r="F164" t="inlineStr">
        <is>
          <t>GÄVLEBORGS LÄN</t>
        </is>
      </c>
      <c r="G164" t="inlineStr">
        <is>
          <t>SÖDERHAMN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46310</v>
      </c>
      <c r="F165" t="inlineStr">
        <is>
          <t>GÄVLEBORGS LÄN</t>
        </is>
      </c>
      <c r="G165" t="inlineStr">
        <is>
          <t>SÖDERHAMN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45597</v>
      </c>
      <c r="E166" s="1" t="n">
        <v>46310</v>
      </c>
      <c r="F166" t="inlineStr">
        <is>
          <t>GÄVLEBORGS LÄN</t>
        </is>
      </c>
      <c r="G166" t="inlineStr">
        <is>
          <t>SÖDERHAMN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46310</v>
      </c>
      <c r="F167" t="inlineStr">
        <is>
          <t>GÄVLEBORGS LÄN</t>
        </is>
      </c>
      <c r="G167" t="inlineStr">
        <is>
          <t>SÖDERHAMN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46310</v>
      </c>
      <c r="F168" t="inlineStr">
        <is>
          <t>GÄVLEBORGS LÄN</t>
        </is>
      </c>
      <c r="G168" t="inlineStr">
        <is>
          <t>SÖDERHAMN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46310</v>
      </c>
      <c r="F169" t="inlineStr">
        <is>
          <t>GÄVLEBORGS LÄN</t>
        </is>
      </c>
      <c r="G169" t="inlineStr">
        <is>
          <t>SÖDERHAMN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46310</v>
      </c>
      <c r="F170" t="inlineStr">
        <is>
          <t>GÄVLEBORGS LÄN</t>
        </is>
      </c>
      <c r="G170" t="inlineStr">
        <is>
          <t>SÖDERHAMN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46310</v>
      </c>
      <c r="F171" t="inlineStr">
        <is>
          <t>GÄVLEBORGS LÄN</t>
        </is>
      </c>
      <c r="G171" t="inlineStr">
        <is>
          <t>SÖDERHAMN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46310</v>
      </c>
      <c r="F172" t="inlineStr">
        <is>
          <t>GÄVLEBORGS LÄN</t>
        </is>
      </c>
      <c r="G172" t="inlineStr">
        <is>
          <t>SÖDERHAMN</t>
        </is>
      </c>
      <c r="H172" t="inlineStr">
        <is>
          <t>Kommuner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46310</v>
      </c>
      <c r="F173" t="inlineStr">
        <is>
          <t>GÄVLEBORGS LÄN</t>
        </is>
      </c>
      <c r="G173" t="inlineStr">
        <is>
          <t>SÖDERHAMN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34752-2024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45526</v>
      </c>
      <c r="E174" s="1" t="n">
        <v>46310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46310</v>
      </c>
      <c r="F175" t="inlineStr">
        <is>
          <t>GÄVLEBORGS LÄN</t>
        </is>
      </c>
      <c r="G175" t="inlineStr">
        <is>
          <t>SÖDERHAMN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44665</v>
      </c>
      <c r="E176" s="1" t="n">
        <v>46310</v>
      </c>
      <c r="F176" t="inlineStr">
        <is>
          <t>GÄVLEBORGS LÄN</t>
        </is>
      </c>
      <c r="G176" t="inlineStr">
        <is>
          <t>SÖDERHAMN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46310</v>
      </c>
      <c r="F177" t="inlineStr">
        <is>
          <t>GÄVLEBORGS LÄN</t>
        </is>
      </c>
      <c r="G177" t="inlineStr">
        <is>
          <t>SÖDERHAMN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45545</v>
      </c>
      <c r="E178" s="1" t="n">
        <v>46310</v>
      </c>
      <c r="F178" t="inlineStr">
        <is>
          <t>GÄVLEBORGS LÄN</t>
        </is>
      </c>
      <c r="G178" t="inlineStr">
        <is>
          <t>SÖDERHAMN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46310</v>
      </c>
      <c r="F179" t="inlineStr">
        <is>
          <t>GÄVLEBORGS LÄN</t>
        </is>
      </c>
      <c r="G179" t="inlineStr">
        <is>
          <t>SÖDERHAMN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46310</v>
      </c>
      <c r="F180" t="inlineStr">
        <is>
          <t>GÄVLEBORGS LÄN</t>
        </is>
      </c>
      <c r="G180" t="inlineStr">
        <is>
          <t>SÖDERHAMN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8943-2026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46310</v>
      </c>
      <c r="F181" t="inlineStr">
        <is>
          <t>GÄVLEBORGS LÄN</t>
        </is>
      </c>
      <c r="G181" t="inlineStr">
        <is>
          <t>SÖDERHAMN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46310</v>
      </c>
      <c r="F182" t="inlineStr">
        <is>
          <t>GÄVLEBORGS LÄN</t>
        </is>
      </c>
      <c r="G182" t="inlineStr">
        <is>
          <t>SÖDERHAMN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46310</v>
      </c>
      <c r="F183" t="inlineStr">
        <is>
          <t>GÄVLEBORGS LÄN</t>
        </is>
      </c>
      <c r="G183" t="inlineStr">
        <is>
          <t>SÖDERHAMN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46310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46310</v>
      </c>
      <c r="F185" t="inlineStr">
        <is>
          <t>GÄVLEBORGS LÄN</t>
        </is>
      </c>
      <c r="G185" t="inlineStr">
        <is>
          <t>SÖDERHAMN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46310</v>
      </c>
      <c r="F186" t="inlineStr">
        <is>
          <t>GÄVLEBORGS LÄN</t>
        </is>
      </c>
      <c r="G186" t="inlineStr">
        <is>
          <t>SÖDERHAMN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46069</v>
      </c>
      <c r="E187" s="1" t="n">
        <v>46310</v>
      </c>
      <c r="F187" t="inlineStr">
        <is>
          <t>GÄVLEBORGS LÄN</t>
        </is>
      </c>
      <c r="G187" t="inlineStr">
        <is>
          <t>SÖDERHAMN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45212</v>
      </c>
      <c r="E188" s="1" t="n">
        <v>46310</v>
      </c>
      <c r="F188" t="inlineStr">
        <is>
          <t>GÄVLEBORGS LÄN</t>
        </is>
      </c>
      <c r="G188" t="inlineStr">
        <is>
          <t>SÖDERHAMN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46070</v>
      </c>
      <c r="E189" s="1" t="n">
        <v>46310</v>
      </c>
      <c r="F189" t="inlineStr">
        <is>
          <t>GÄVLEBORGS LÄN</t>
        </is>
      </c>
      <c r="G189" t="inlineStr">
        <is>
          <t>SÖDERHAMN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46310</v>
      </c>
      <c r="F190" t="inlineStr">
        <is>
          <t>GÄVLEBORGS LÄN</t>
        </is>
      </c>
      <c r="G190" t="inlineStr">
        <is>
          <t>SÖDERHAMN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46073</v>
      </c>
      <c r="E191" s="1" t="n">
        <v>46310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45943</v>
      </c>
      <c r="E192" s="1" t="n">
        <v>46310</v>
      </c>
      <c r="F192" t="inlineStr">
        <is>
          <t>GÄVLEBORGS LÄN</t>
        </is>
      </c>
      <c r="G192" t="inlineStr">
        <is>
          <t>SÖDERHAMN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46310</v>
      </c>
      <c r="F193" t="inlineStr">
        <is>
          <t>GÄVLEBORGS LÄN</t>
        </is>
      </c>
      <c r="G193" t="inlineStr">
        <is>
          <t>SÖDERHAMN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46310</v>
      </c>
      <c r="F194" t="inlineStr">
        <is>
          <t>GÄVLEBORGS LÄN</t>
        </is>
      </c>
      <c r="G194" t="inlineStr">
        <is>
          <t>SÖDERHAMN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45944</v>
      </c>
      <c r="E195" s="1" t="n">
        <v>46310</v>
      </c>
      <c r="F195" t="inlineStr">
        <is>
          <t>GÄVLEBORGS LÄN</t>
        </is>
      </c>
      <c r="G195" t="inlineStr">
        <is>
          <t>SÖDERHAMN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46310</v>
      </c>
      <c r="F196" t="inlineStr">
        <is>
          <t>GÄVLEBORGS LÄN</t>
        </is>
      </c>
      <c r="G196" t="inlineStr">
        <is>
          <t>SÖDERHAMN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10135-2026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46310</v>
      </c>
      <c r="F197" t="inlineStr">
        <is>
          <t>GÄVLEBORGS LÄN</t>
        </is>
      </c>
      <c r="G197" t="inlineStr">
        <is>
          <t>SÖDERHAMN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46310</v>
      </c>
      <c r="F198" t="inlineStr">
        <is>
          <t>GÄVLEBORGS LÄN</t>
        </is>
      </c>
      <c r="G198" t="inlineStr">
        <is>
          <t>SÖDERHAMN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46310</v>
      </c>
      <c r="F199" t="inlineStr">
        <is>
          <t>GÄVLEBORGS LÄN</t>
        </is>
      </c>
      <c r="G199" t="inlineStr">
        <is>
          <t>SÖDERHAMN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11046-2026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46310</v>
      </c>
      <c r="F200" t="inlineStr">
        <is>
          <t>GÄVLEBORGS LÄN</t>
        </is>
      </c>
      <c r="G200" t="inlineStr">
        <is>
          <t>SÖDERHAMN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44795</v>
      </c>
      <c r="E201" s="1" t="n">
        <v>46310</v>
      </c>
      <c r="F201" t="inlineStr">
        <is>
          <t>GÄVLEBORGS LÄN</t>
        </is>
      </c>
      <c r="G201" t="inlineStr">
        <is>
          <t>SÖDERHAMN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45425</v>
      </c>
      <c r="E202" s="1" t="n">
        <v>46310</v>
      </c>
      <c r="F202" t="inlineStr">
        <is>
          <t>GÄVLEBORGS LÄN</t>
        </is>
      </c>
      <c r="G202" t="inlineStr">
        <is>
          <t>SÖDERHAMN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18505-2024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45425</v>
      </c>
      <c r="E203" s="1" t="n">
        <v>46310</v>
      </c>
      <c r="F203" t="inlineStr">
        <is>
          <t>GÄVLEBORGS LÄN</t>
        </is>
      </c>
      <c r="G203" t="inlineStr">
        <is>
          <t>SÖDERHAMN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45632</v>
      </c>
      <c r="E204" s="1" t="n">
        <v>46310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46310</v>
      </c>
      <c r="F205" t="inlineStr">
        <is>
          <t>GÄVLEBORGS LÄN</t>
        </is>
      </c>
      <c r="G205" t="inlineStr">
        <is>
          <t>SÖDERHAMN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46310</v>
      </c>
      <c r="F206" t="inlineStr">
        <is>
          <t>GÄVLEBORGS LÄN</t>
        </is>
      </c>
      <c r="G206" t="inlineStr">
        <is>
          <t>SÖDERHAMN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52494-2025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45954</v>
      </c>
      <c r="E207" s="1" t="n">
        <v>46310</v>
      </c>
      <c r="F207" t="inlineStr">
        <is>
          <t>GÄVLEBORGS LÄN</t>
        </is>
      </c>
      <c r="G207" t="inlineStr">
        <is>
          <t>SÖDERHAMN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45957</v>
      </c>
      <c r="E208" s="1" t="n">
        <v>46310</v>
      </c>
      <c r="F208" t="inlineStr">
        <is>
          <t>GÄVLEBORGS LÄN</t>
        </is>
      </c>
      <c r="G208" t="inlineStr">
        <is>
          <t>SÖDERHAMN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45957</v>
      </c>
      <c r="E209" s="1" t="n">
        <v>46310</v>
      </c>
      <c r="F209" t="inlineStr">
        <is>
          <t>GÄVLEBORGS LÄN</t>
        </is>
      </c>
      <c r="G209" t="inlineStr">
        <is>
          <t>SÖDERHAMN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45251</v>
      </c>
      <c r="E210" s="1" t="n">
        <v>46310</v>
      </c>
      <c r="F210" t="inlineStr">
        <is>
          <t>GÄVLEBORGS LÄN</t>
        </is>
      </c>
      <c r="G210" t="inlineStr">
        <is>
          <t>SÖDERHAMN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46310</v>
      </c>
      <c r="F211" t="inlineStr">
        <is>
          <t>GÄVLEBORGS LÄN</t>
        </is>
      </c>
      <c r="G211" t="inlineStr">
        <is>
          <t>SÖDERHAMN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46310</v>
      </c>
      <c r="F212" t="inlineStr">
        <is>
          <t>GÄVLEBORGS LÄN</t>
        </is>
      </c>
      <c r="G212" t="inlineStr">
        <is>
          <t>SÖDERHAMN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44703-2024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45574</v>
      </c>
      <c r="E213" s="1" t="n">
        <v>46310</v>
      </c>
      <c r="F213" t="inlineStr">
        <is>
          <t>GÄVLEBORGS LÄN</t>
        </is>
      </c>
      <c r="G213" t="inlineStr">
        <is>
          <t>SÖDERHAMN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46310</v>
      </c>
      <c r="F214" t="inlineStr">
        <is>
          <t>GÄVLEBORGS LÄN</t>
        </is>
      </c>
      <c r="G214" t="inlineStr">
        <is>
          <t>SÖDERHAMN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46310</v>
      </c>
      <c r="F215" t="inlineStr">
        <is>
          <t>GÄVLEBORGS LÄN</t>
        </is>
      </c>
      <c r="G215" t="inlineStr">
        <is>
          <t>SÖDERHAMN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53628-2025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46310</v>
      </c>
      <c r="F216" t="inlineStr">
        <is>
          <t>GÄVLEBORGS LÄN</t>
        </is>
      </c>
      <c r="G216" t="inlineStr">
        <is>
          <t>SÖDERHAMN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46310</v>
      </c>
      <c r="F217" t="inlineStr">
        <is>
          <t>GÄVLEBORGS LÄN</t>
        </is>
      </c>
      <c r="G217" t="inlineStr">
        <is>
          <t>SÖDERHAMN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46310</v>
      </c>
      <c r="F218" t="inlineStr">
        <is>
          <t>GÄVLEBORGS LÄN</t>
        </is>
      </c>
      <c r="G218" t="inlineStr">
        <is>
          <t>SÖDERHAMN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46310</v>
      </c>
      <c r="F219" t="inlineStr">
        <is>
          <t>GÄVLEBORGS LÄN</t>
        </is>
      </c>
      <c r="G219" t="inlineStr">
        <is>
          <t>SÖDERHAMN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46310</v>
      </c>
      <c r="F220" t="inlineStr">
        <is>
          <t>GÄVLEBORGS LÄN</t>
        </is>
      </c>
      <c r="G220" t="inlineStr">
        <is>
          <t>SÖDERHAMN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46310</v>
      </c>
      <c r="F221" t="inlineStr">
        <is>
          <t>GÄVLEBORGS LÄN</t>
        </is>
      </c>
      <c r="G221" t="inlineStr">
        <is>
          <t>SÖDERHAMN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46310</v>
      </c>
      <c r="F222" t="inlineStr">
        <is>
          <t>GÄVLEBORGS LÄN</t>
        </is>
      </c>
      <c r="G222" t="inlineStr">
        <is>
          <t>SÖDERHAMN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46310</v>
      </c>
      <c r="F223" t="inlineStr">
        <is>
          <t>GÄVLEBORGS LÄN</t>
        </is>
      </c>
      <c r="G223" t="inlineStr">
        <is>
          <t>SÖDERHAMN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46098</v>
      </c>
      <c r="E224" s="1" t="n">
        <v>46310</v>
      </c>
      <c r="F224" t="inlineStr">
        <is>
          <t>GÄVLEBORGS LÄN</t>
        </is>
      </c>
      <c r="G224" t="inlineStr">
        <is>
          <t>SÖDERHAMN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46310</v>
      </c>
      <c r="F225" t="inlineStr">
        <is>
          <t>GÄVLEBORGS LÄN</t>
        </is>
      </c>
      <c r="G225" t="inlineStr">
        <is>
          <t>SÖDERHAMN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46310</v>
      </c>
      <c r="F226" t="inlineStr">
        <is>
          <t>GÄVLEBORGS LÄN</t>
        </is>
      </c>
      <c r="G226" t="inlineStr">
        <is>
          <t>SÖDERHAMN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46099</v>
      </c>
      <c r="E227" s="1" t="n">
        <v>46310</v>
      </c>
      <c r="F227" t="inlineStr">
        <is>
          <t>GÄVLEBORGS LÄN</t>
        </is>
      </c>
      <c r="G227" t="inlineStr">
        <is>
          <t>SÖDERHAMN</t>
        </is>
      </c>
      <c r="H227" t="inlineStr">
        <is>
          <t>Bergvik skog väst AB</t>
        </is>
      </c>
      <c r="I227" t="n">
        <v>16.2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45967</v>
      </c>
      <c r="E228" s="1" t="n">
        <v>46310</v>
      </c>
      <c r="F228" t="inlineStr">
        <is>
          <t>GÄVLEBORGS LÄN</t>
        </is>
      </c>
      <c r="G228" t="inlineStr">
        <is>
          <t>SÖDERHAMN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46310</v>
      </c>
      <c r="F229" t="inlineStr">
        <is>
          <t>GÄVLEBORGS LÄN</t>
        </is>
      </c>
      <c r="G229" t="inlineStr">
        <is>
          <t>SÖDERHAMN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46310</v>
      </c>
      <c r="F230" t="inlineStr">
        <is>
          <t>GÄVLEBORGS LÄN</t>
        </is>
      </c>
      <c r="G230" t="inlineStr">
        <is>
          <t>SÖDERHAMN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46310</v>
      </c>
      <c r="F231" t="inlineStr">
        <is>
          <t>GÄVLEBORGS LÄN</t>
        </is>
      </c>
      <c r="G231" t="inlineStr">
        <is>
          <t>SÖDERHAMN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45069</v>
      </c>
      <c r="E232" s="1" t="n">
        <v>46310</v>
      </c>
      <c r="F232" t="inlineStr">
        <is>
          <t>GÄVLEBORGS LÄN</t>
        </is>
      </c>
      <c r="G232" t="inlineStr">
        <is>
          <t>SÖDERHAMN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14073-2026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46310</v>
      </c>
      <c r="F233" t="inlineStr">
        <is>
          <t>GÄVLEBORGS LÄN</t>
        </is>
      </c>
      <c r="G233" t="inlineStr">
        <is>
          <t>SÖDERHAMN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46310</v>
      </c>
      <c r="F234" t="inlineStr">
        <is>
          <t>GÄVLEBORGS LÄN</t>
        </is>
      </c>
      <c r="G234" t="inlineStr">
        <is>
          <t>SÖDERHAMN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45188</v>
      </c>
      <c r="E235" s="1" t="n">
        <v>46310</v>
      </c>
      <c r="F235" t="inlineStr">
        <is>
          <t>GÄVLEBORGS LÄN</t>
        </is>
      </c>
      <c r="G235" t="inlineStr">
        <is>
          <t>SÖDERHAMN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46310</v>
      </c>
      <c r="F236" t="inlineStr">
        <is>
          <t>GÄVLEBORGS LÄN</t>
        </is>
      </c>
      <c r="G236" t="inlineStr">
        <is>
          <t>SÖDERHAMN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46310</v>
      </c>
      <c r="F237" t="inlineStr">
        <is>
          <t>GÄVLEBORGS LÄN</t>
        </is>
      </c>
      <c r="G237" t="inlineStr">
        <is>
          <t>SÖDERHAMN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46310</v>
      </c>
      <c r="F238" t="inlineStr">
        <is>
          <t>GÄVLEBORGS LÄN</t>
        </is>
      </c>
      <c r="G238" t="inlineStr">
        <is>
          <t>SÖDERHAMN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45548</v>
      </c>
      <c r="E239" s="1" t="n">
        <v>46310</v>
      </c>
      <c r="F239" t="inlineStr">
        <is>
          <t>GÄVLEBORGS LÄN</t>
        </is>
      </c>
      <c r="G239" t="inlineStr">
        <is>
          <t>SÖDERHAMN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45062</v>
      </c>
      <c r="E240" s="1" t="n">
        <v>46310</v>
      </c>
      <c r="F240" t="inlineStr">
        <is>
          <t>GÄVLEBORGS LÄN</t>
        </is>
      </c>
      <c r="G240" t="inlineStr">
        <is>
          <t>SÖDERHAMN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45972</v>
      </c>
      <c r="E241" s="1" t="n">
        <v>46310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45972</v>
      </c>
      <c r="E242" s="1" t="n">
        <v>46310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46310</v>
      </c>
      <c r="F243" t="inlineStr">
        <is>
          <t>GÄVLEBORGS LÄN</t>
        </is>
      </c>
      <c r="G243" t="inlineStr">
        <is>
          <t>SÖDERHAMN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40745-2023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45170</v>
      </c>
      <c r="E244" s="1" t="n">
        <v>46310</v>
      </c>
      <c r="F244" t="inlineStr">
        <is>
          <t>GÄVLEBORGS LÄN</t>
        </is>
      </c>
      <c r="G244" t="inlineStr">
        <is>
          <t>SÖDERHAMN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46310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46310</v>
      </c>
      <c r="F246" t="inlineStr">
        <is>
          <t>GÄVLEBORGS LÄN</t>
        </is>
      </c>
      <c r="G246" t="inlineStr">
        <is>
          <t>SÖDERHAMN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14472-2024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45394</v>
      </c>
      <c r="E247" s="1" t="n">
        <v>46310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46310</v>
      </c>
      <c r="F248" t="inlineStr">
        <is>
          <t>GÄVLEBORGS LÄN</t>
        </is>
      </c>
      <c r="G248" t="inlineStr">
        <is>
          <t>SÖDERHAMN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46108</v>
      </c>
      <c r="E249" s="1" t="n">
        <v>46310</v>
      </c>
      <c r="F249" t="inlineStr">
        <is>
          <t>GÄVLEBORGS LÄN</t>
        </is>
      </c>
      <c r="G249" t="inlineStr">
        <is>
          <t>SÖDERHAMN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46310</v>
      </c>
      <c r="F250" t="inlineStr">
        <is>
          <t>GÄVLEBORGS LÄN</t>
        </is>
      </c>
      <c r="G250" t="inlineStr">
        <is>
          <t>SÖDERHAMN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45008</v>
      </c>
      <c r="E251" s="1" t="n">
        <v>46310</v>
      </c>
      <c r="F251" t="inlineStr">
        <is>
          <t>GÄVLEBORGS LÄN</t>
        </is>
      </c>
      <c r="G251" t="inlineStr">
        <is>
          <t>SÖDERHAMN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53918-2025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45961</v>
      </c>
      <c r="E252" s="1" t="n">
        <v>46310</v>
      </c>
      <c r="F252" t="inlineStr">
        <is>
          <t>GÄVLEBORGS LÄN</t>
        </is>
      </c>
      <c r="G252" t="inlineStr">
        <is>
          <t>SÖDERHAMN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57085-2025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46310</v>
      </c>
      <c r="F253" t="inlineStr">
        <is>
          <t>GÄVLEBORGS LÄN</t>
        </is>
      </c>
      <c r="G253" t="inlineStr">
        <is>
          <t>SÖDERHAMN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45757</v>
      </c>
      <c r="E254" s="1" t="n">
        <v>46310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4557-2024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45327</v>
      </c>
      <c r="E255" s="1" t="n">
        <v>46310</v>
      </c>
      <c r="F255" t="inlineStr">
        <is>
          <t>GÄVLEBORGS LÄN</t>
        </is>
      </c>
      <c r="G255" t="inlineStr">
        <is>
          <t>SÖDERHAMN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46310</v>
      </c>
      <c r="F256" t="inlineStr">
        <is>
          <t>GÄVLEBORGS LÄN</t>
        </is>
      </c>
      <c r="G256" t="inlineStr">
        <is>
          <t>SÖDERHAMN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46310</v>
      </c>
      <c r="F257" t="inlineStr">
        <is>
          <t>GÄVLEBORGS LÄN</t>
        </is>
      </c>
      <c r="G257" t="inlineStr">
        <is>
          <t>SÖDERHAMN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45670</v>
      </c>
      <c r="E258" s="1" t="n">
        <v>46310</v>
      </c>
      <c r="F258" t="inlineStr">
        <is>
          <t>GÄVLEBORGS LÄN</t>
        </is>
      </c>
      <c r="G258" t="inlineStr">
        <is>
          <t>SÖDERHAMN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46310</v>
      </c>
      <c r="F259" t="inlineStr">
        <is>
          <t>GÄVLEBORGS LÄN</t>
        </is>
      </c>
      <c r="G259" t="inlineStr">
        <is>
          <t>SÖDERHAMN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46310</v>
      </c>
      <c r="F260" t="inlineStr">
        <is>
          <t>GÄVLEBORGS LÄN</t>
        </is>
      </c>
      <c r="G260" t="inlineStr">
        <is>
          <t>SÖDERHAMN</t>
        </is>
      </c>
      <c r="H260" t="inlineStr">
        <is>
          <t>Bergvik skog väst AB</t>
        </is>
      </c>
      <c r="I260" t="n">
        <v>8.1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46310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46112</v>
      </c>
      <c r="E262" s="1" t="n">
        <v>46310</v>
      </c>
      <c r="F262" t="inlineStr">
        <is>
          <t>GÄVLEBORGS LÄN</t>
        </is>
      </c>
      <c r="G262" t="inlineStr">
        <is>
          <t>SÖDERHAMN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46112</v>
      </c>
      <c r="E263" s="1" t="n">
        <v>46310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46310</v>
      </c>
      <c r="F264" t="inlineStr">
        <is>
          <t>GÄVLEBORGS LÄN</t>
        </is>
      </c>
      <c r="G264" t="inlineStr">
        <is>
          <t>SÖDERHAMN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46310</v>
      </c>
      <c r="F265" t="inlineStr">
        <is>
          <t>GÄVLEBORGS LÄN</t>
        </is>
      </c>
      <c r="G265" t="inlineStr">
        <is>
          <t>SÖDERHAMN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46310</v>
      </c>
      <c r="F266" t="inlineStr">
        <is>
          <t>GÄVLEBORGS LÄN</t>
        </is>
      </c>
      <c r="G266" t="inlineStr">
        <is>
          <t>SÖDERHAMN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45108</v>
      </c>
      <c r="E267" s="1" t="n">
        <v>46310</v>
      </c>
      <c r="F267" t="inlineStr">
        <is>
          <t>GÄVLEBORGS LÄN</t>
        </is>
      </c>
      <c r="G267" t="inlineStr">
        <is>
          <t>SÖDERHAMN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45108</v>
      </c>
      <c r="E268" s="1" t="n">
        <v>46310</v>
      </c>
      <c r="F268" t="inlineStr">
        <is>
          <t>GÄVLEBORGS LÄN</t>
        </is>
      </c>
      <c r="G268" t="inlineStr">
        <is>
          <t>SÖDERHAMN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46310</v>
      </c>
      <c r="F269" t="inlineStr">
        <is>
          <t>GÄVLEBORGS LÄN</t>
        </is>
      </c>
      <c r="G269" t="inlineStr">
        <is>
          <t>SÖDERHAMN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46117</v>
      </c>
      <c r="E270" s="1" t="n">
        <v>46310</v>
      </c>
      <c r="F270" t="inlineStr">
        <is>
          <t>GÄVLEBORGS LÄN</t>
        </is>
      </c>
      <c r="G270" t="inlineStr">
        <is>
          <t>SÖDERHAMN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46117</v>
      </c>
      <c r="E271" s="1" t="n">
        <v>46310</v>
      </c>
      <c r="F271" t="inlineStr">
        <is>
          <t>GÄVLEBORGS LÄN</t>
        </is>
      </c>
      <c r="G271" t="inlineStr">
        <is>
          <t>SÖDERHAMN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46117</v>
      </c>
      <c r="E272" s="1" t="n">
        <v>46310</v>
      </c>
      <c r="F272" t="inlineStr">
        <is>
          <t>GÄVLEBORGS LÄN</t>
        </is>
      </c>
      <c r="G272" t="inlineStr">
        <is>
          <t>SÖDERHAMN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46117</v>
      </c>
      <c r="E273" s="1" t="n">
        <v>46310</v>
      </c>
      <c r="F273" t="inlineStr">
        <is>
          <t>GÄVLEBORGS LÄN</t>
        </is>
      </c>
      <c r="G273" t="inlineStr">
        <is>
          <t>SÖDERHAMN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46310</v>
      </c>
      <c r="F274" t="inlineStr">
        <is>
          <t>GÄVLEBORGS LÄN</t>
        </is>
      </c>
      <c r="G274" t="inlineStr">
        <is>
          <t>SÖDERHAMN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58502-2025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46310</v>
      </c>
      <c r="F275" t="inlineStr">
        <is>
          <t>GÄVLEBORGS LÄN</t>
        </is>
      </c>
      <c r="G275" t="inlineStr">
        <is>
          <t>SÖDERHAMN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45331</v>
      </c>
      <c r="E276" s="1" t="n">
        <v>46310</v>
      </c>
      <c r="F276" t="inlineStr">
        <is>
          <t>GÄVLEBORGS LÄN</t>
        </is>
      </c>
      <c r="G276" t="inlineStr">
        <is>
          <t>SÖDERHAMN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59783-2023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45257</v>
      </c>
      <c r="E277" s="1" t="n">
        <v>46310</v>
      </c>
      <c r="F277" t="inlineStr">
        <is>
          <t>GÄVLEBORGS LÄN</t>
        </is>
      </c>
      <c r="G277" t="inlineStr">
        <is>
          <t>SÖDERHAMN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46310</v>
      </c>
      <c r="F278" t="inlineStr">
        <is>
          <t>GÄVLEBORGS LÄN</t>
        </is>
      </c>
      <c r="G278" t="inlineStr">
        <is>
          <t>SÖDERHAMN</t>
        </is>
      </c>
      <c r="H278" t="inlineStr">
        <is>
          <t>Kommuner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45670</v>
      </c>
      <c r="E279" s="1" t="n">
        <v>46310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46310</v>
      </c>
      <c r="F280" t="inlineStr">
        <is>
          <t>GÄVLEBORGS LÄN</t>
        </is>
      </c>
      <c r="G280" t="inlineStr">
        <is>
          <t>SÖDERHAMN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46310</v>
      </c>
      <c r="F281" t="inlineStr">
        <is>
          <t>GÄVLEBORGS LÄN</t>
        </is>
      </c>
      <c r="G281" t="inlineStr">
        <is>
          <t>SÖDERHAMN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46310</v>
      </c>
      <c r="F282" t="inlineStr">
        <is>
          <t>GÄVLEBORGS LÄN</t>
        </is>
      </c>
      <c r="G282" t="inlineStr">
        <is>
          <t>SÖDERHAMN</t>
        </is>
      </c>
      <c r="H282" t="inlineStr">
        <is>
          <t>Kommuner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46310</v>
      </c>
      <c r="F283" t="inlineStr">
        <is>
          <t>GÄVLEBORGS LÄN</t>
        </is>
      </c>
      <c r="G283" t="inlineStr">
        <is>
          <t>SÖDERHAMN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45230</v>
      </c>
      <c r="E284" s="1" t="n">
        <v>46310</v>
      </c>
      <c r="F284" t="inlineStr">
        <is>
          <t>GÄVLEBORGS LÄN</t>
        </is>
      </c>
      <c r="G284" t="inlineStr">
        <is>
          <t>SÖDERHAMN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13288-2026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46310</v>
      </c>
      <c r="F285" t="inlineStr">
        <is>
          <t>GÄVLEBORGS LÄN</t>
        </is>
      </c>
      <c r="G285" t="inlineStr">
        <is>
          <t>SÖDERHAMN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45632</v>
      </c>
      <c r="E286" s="1" t="n">
        <v>46310</v>
      </c>
      <c r="F286" t="inlineStr">
        <is>
          <t>GÄVLEBORGS LÄN</t>
        </is>
      </c>
      <c r="G286" t="inlineStr">
        <is>
          <t>SÖDERHAMN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46310</v>
      </c>
      <c r="F287" t="inlineStr">
        <is>
          <t>GÄVLEBORGS LÄN</t>
        </is>
      </c>
      <c r="G287" t="inlineStr">
        <is>
          <t>SÖDERHAMN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14960-2024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46310</v>
      </c>
      <c r="F288" t="inlineStr">
        <is>
          <t>GÄVLEBORGS LÄN</t>
        </is>
      </c>
      <c r="G288" t="inlineStr">
        <is>
          <t>SÖDERHAMN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59216-2021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44490</v>
      </c>
      <c r="E289" s="1" t="n">
        <v>46310</v>
      </c>
      <c r="F289" t="inlineStr">
        <is>
          <t>GÄVLEBORGS LÄN</t>
        </is>
      </c>
      <c r="G289" t="inlineStr">
        <is>
          <t>SÖDERHAMN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45275</v>
      </c>
      <c r="E290" s="1" t="n">
        <v>46310</v>
      </c>
      <c r="F290" t="inlineStr">
        <is>
          <t>GÄVLEBORGS LÄN</t>
        </is>
      </c>
      <c r="G290" t="inlineStr">
        <is>
          <t>SÖDERHAMN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38355-2022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44812</v>
      </c>
      <c r="E291" s="1" t="n">
        <v>46310</v>
      </c>
      <c r="F291" t="inlineStr">
        <is>
          <t>GÄVLEBORGS LÄN</t>
        </is>
      </c>
      <c r="G291" t="inlineStr">
        <is>
          <t>SÖDERHAMN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46310</v>
      </c>
      <c r="F292" t="inlineStr">
        <is>
          <t>GÄVLEBORGS LÄN</t>
        </is>
      </c>
      <c r="G292" t="inlineStr">
        <is>
          <t>SÖDERHAMN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46310</v>
      </c>
      <c r="F293" t="inlineStr">
        <is>
          <t>GÄVLEBORGS LÄN</t>
        </is>
      </c>
      <c r="G293" t="inlineStr">
        <is>
          <t>SÖDERHAMN</t>
        </is>
      </c>
      <c r="H293" t="inlineStr">
        <is>
          <t>Bergvik skog väst AB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58212-2025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45985</v>
      </c>
      <c r="E294" s="1" t="n">
        <v>46310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19310-2026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46310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45107</v>
      </c>
      <c r="E296" s="1" t="n">
        <v>46310</v>
      </c>
      <c r="F296" t="inlineStr">
        <is>
          <t>GÄVLEBORGS LÄN</t>
        </is>
      </c>
      <c r="G296" t="inlineStr">
        <is>
          <t>SÖDERHAMN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46310</v>
      </c>
      <c r="F297" t="inlineStr">
        <is>
          <t>GÄVLEBORGS LÄN</t>
        </is>
      </c>
      <c r="G297" t="inlineStr">
        <is>
          <t>SÖDERHAMN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46310</v>
      </c>
      <c r="F298" t="inlineStr">
        <is>
          <t>GÄVLEBORGS LÄN</t>
        </is>
      </c>
      <c r="G298" t="inlineStr">
        <is>
          <t>SÖDERHAMN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45666</v>
      </c>
      <c r="E299" s="1" t="n">
        <v>46310</v>
      </c>
      <c r="F299" t="inlineStr">
        <is>
          <t>GÄVLEBORGS LÄN</t>
        </is>
      </c>
      <c r="G299" t="inlineStr">
        <is>
          <t>SÖDERHAMN</t>
        </is>
      </c>
      <c r="H299" t="inlineStr">
        <is>
          <t>Kommuner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46310</v>
      </c>
      <c r="F300" t="inlineStr">
        <is>
          <t>GÄVLEBORGS LÄN</t>
        </is>
      </c>
      <c r="G300" t="inlineStr">
        <is>
          <t>SÖDERHAMN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24766-2023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45084</v>
      </c>
      <c r="E301" s="1" t="n">
        <v>46310</v>
      </c>
      <c r="F301" t="inlineStr">
        <is>
          <t>GÄVLEBORGS LÄN</t>
        </is>
      </c>
      <c r="G301" t="inlineStr">
        <is>
          <t>SÖDERHAMN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46310</v>
      </c>
      <c r="F302" t="inlineStr">
        <is>
          <t>GÄVLEBORGS LÄN</t>
        </is>
      </c>
      <c r="G302" t="inlineStr">
        <is>
          <t>SÖDERHAMN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46310</v>
      </c>
      <c r="F303" t="inlineStr">
        <is>
          <t>GÄVLEBORGS LÄN</t>
        </is>
      </c>
      <c r="G303" t="inlineStr">
        <is>
          <t>SÖDERHAMN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61416-2025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46001</v>
      </c>
      <c r="E304" s="1" t="n">
        <v>46310</v>
      </c>
      <c r="F304" t="inlineStr">
        <is>
          <t>GÄVLEBORGS LÄN</t>
        </is>
      </c>
      <c r="G304" t="inlineStr">
        <is>
          <t>SÖDERHAMN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46310</v>
      </c>
      <c r="F305" t="inlineStr">
        <is>
          <t>GÄVLEBORGS LÄN</t>
        </is>
      </c>
      <c r="G305" t="inlineStr">
        <is>
          <t>SÖDERHAMN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46310</v>
      </c>
      <c r="F306" t="inlineStr">
        <is>
          <t>GÄVLEBORGS LÄN</t>
        </is>
      </c>
      <c r="G306" t="inlineStr">
        <is>
          <t>SÖDERHAMN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71645-2021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44543</v>
      </c>
      <c r="E307" s="1" t="n">
        <v>46310</v>
      </c>
      <c r="F307" t="inlineStr">
        <is>
          <t>GÄVLEBORGS LÄN</t>
        </is>
      </c>
      <c r="G307" t="inlineStr">
        <is>
          <t>SÖDERHAMN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19725-2026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46310</v>
      </c>
      <c r="F308" t="inlineStr">
        <is>
          <t>GÄVLEBORGS LÄN</t>
        </is>
      </c>
      <c r="G308" t="inlineStr">
        <is>
          <t>SÖDERHAMN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41221-2022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44826</v>
      </c>
      <c r="E309" s="1" t="n">
        <v>46310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46310</v>
      </c>
      <c r="F310" t="inlineStr">
        <is>
          <t>GÄVLEBORGS LÄN</t>
        </is>
      </c>
      <c r="G310" t="inlineStr">
        <is>
          <t>SÖDERHAMN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46310</v>
      </c>
      <c r="F311" t="inlineStr">
        <is>
          <t>GÄVLEBORGS LÄN</t>
        </is>
      </c>
      <c r="G311" t="inlineStr">
        <is>
          <t>SÖDERHAMN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46310</v>
      </c>
      <c r="F312" t="inlineStr">
        <is>
          <t>GÄVLEBORGS LÄN</t>
        </is>
      </c>
      <c r="G312" t="inlineStr">
        <is>
          <t>SÖDERHAMN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46310</v>
      </c>
      <c r="F313" t="inlineStr">
        <is>
          <t>GÄVLEBORGS LÄN</t>
        </is>
      </c>
      <c r="G313" t="inlineStr">
        <is>
          <t>SÖDERHAMN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46310</v>
      </c>
      <c r="F314" t="inlineStr">
        <is>
          <t>GÄVLEBORGS LÄN</t>
        </is>
      </c>
      <c r="G314" t="inlineStr">
        <is>
          <t>SÖDERHAMN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7629-2026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46310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46310</v>
      </c>
      <c r="F316" t="inlineStr">
        <is>
          <t>GÄVLEBORGS LÄN</t>
        </is>
      </c>
      <c r="G316" t="inlineStr">
        <is>
          <t>SÖDERHAMN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46310</v>
      </c>
      <c r="F317" t="inlineStr">
        <is>
          <t>GÄVLEBORGS LÄN</t>
        </is>
      </c>
      <c r="G317" t="inlineStr">
        <is>
          <t>SÖDERHAMN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46310</v>
      </c>
      <c r="F318" t="inlineStr">
        <is>
          <t>GÄVLEBORGS LÄN</t>
        </is>
      </c>
      <c r="G318" t="inlineStr">
        <is>
          <t>SÖDERHAMN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46008</v>
      </c>
      <c r="E319" s="1" t="n">
        <v>46310</v>
      </c>
      <c r="F319" t="inlineStr">
        <is>
          <t>GÄVLEBORGS LÄN</t>
        </is>
      </c>
      <c r="G319" t="inlineStr">
        <is>
          <t>SÖDERHAMN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46310</v>
      </c>
      <c r="F320" t="inlineStr">
        <is>
          <t>GÄVLEBORGS LÄN</t>
        </is>
      </c>
      <c r="G320" t="inlineStr">
        <is>
          <t>SÖDERHAMN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57044-2022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44895</v>
      </c>
      <c r="E321" s="1" t="n">
        <v>46310</v>
      </c>
      <c r="F321" t="inlineStr">
        <is>
          <t>GÄVLEBORGS LÄN</t>
        </is>
      </c>
      <c r="G321" t="inlineStr">
        <is>
          <t>SÖDERHAMN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44757</v>
      </c>
      <c r="E322" s="1" t="n">
        <v>46310</v>
      </c>
      <c r="F322" t="inlineStr">
        <is>
          <t>GÄVLEBORGS LÄN</t>
        </is>
      </c>
      <c r="G322" t="inlineStr">
        <is>
          <t>SÖDERHAMN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45639</v>
      </c>
      <c r="E323" s="1" t="n">
        <v>46310</v>
      </c>
      <c r="F323" t="inlineStr">
        <is>
          <t>GÄVLEBORGS LÄN</t>
        </is>
      </c>
      <c r="G323" t="inlineStr">
        <is>
          <t>SÖDERHAMN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46132</v>
      </c>
      <c r="E324" s="1" t="n">
        <v>46310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23189-2025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45791</v>
      </c>
      <c r="E325" s="1" t="n">
        <v>46310</v>
      </c>
      <c r="F325" t="inlineStr">
        <is>
          <t>GÄVLEBORGS LÄN</t>
        </is>
      </c>
      <c r="G325" t="inlineStr">
        <is>
          <t>SÖDERHAMN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6792-2024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45342</v>
      </c>
      <c r="E326" s="1" t="n">
        <v>46310</v>
      </c>
      <c r="F326" t="inlineStr">
        <is>
          <t>GÄVLEBORGS LÄN</t>
        </is>
      </c>
      <c r="G326" t="inlineStr">
        <is>
          <t>SÖDERHAMN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46310</v>
      </c>
      <c r="F327" t="inlineStr">
        <is>
          <t>GÄVLEBORGS LÄN</t>
        </is>
      </c>
      <c r="G327" t="inlineStr">
        <is>
          <t>SÖDERHAMN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46026</v>
      </c>
      <c r="E328" s="1" t="n">
        <v>46310</v>
      </c>
      <c r="F328" t="inlineStr">
        <is>
          <t>GÄVLEBORGS LÄN</t>
        </is>
      </c>
      <c r="G328" t="inlineStr">
        <is>
          <t>SÖDERHAMN</t>
        </is>
      </c>
      <c r="I328" t="n">
        <v>12.9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44856</v>
      </c>
      <c r="E329" s="1" t="n">
        <v>46310</v>
      </c>
      <c r="F329" t="inlineStr">
        <is>
          <t>GÄVLEBORGS LÄN</t>
        </is>
      </c>
      <c r="G329" t="inlineStr">
        <is>
          <t>SÖDERHAMN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7559-2025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45705</v>
      </c>
      <c r="E330" s="1" t="n">
        <v>46310</v>
      </c>
      <c r="F330" t="inlineStr">
        <is>
          <t>GÄVLEBORGS LÄN</t>
        </is>
      </c>
      <c r="G330" t="inlineStr">
        <is>
          <t>SÖDERHAMN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46026</v>
      </c>
      <c r="E331" s="1" t="n">
        <v>46310</v>
      </c>
      <c r="F331" t="inlineStr">
        <is>
          <t>GÄVLEBORGS LÄN</t>
        </is>
      </c>
      <c r="G331" t="inlineStr">
        <is>
          <t>SÖDERHAMN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46310</v>
      </c>
      <c r="F332" t="inlineStr">
        <is>
          <t>GÄVLEBORGS LÄN</t>
        </is>
      </c>
      <c r="G332" t="inlineStr">
        <is>
          <t>SÖDERHAMN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46041</v>
      </c>
      <c r="E333" s="1" t="n">
        <v>46310</v>
      </c>
      <c r="F333" t="inlineStr">
        <is>
          <t>GÄVLEBORGS LÄN</t>
        </is>
      </c>
      <c r="G333" t="inlineStr">
        <is>
          <t>SÖDERHAMN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46310</v>
      </c>
      <c r="F334" t="inlineStr">
        <is>
          <t>GÄVLEBORGS LÄN</t>
        </is>
      </c>
      <c r="G334" t="inlineStr">
        <is>
          <t>SÖDERHAMN</t>
        </is>
      </c>
      <c r="I334" t="n">
        <v>13.8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46310</v>
      </c>
      <c r="F335" t="inlineStr">
        <is>
          <t>GÄVLEBORGS LÄN</t>
        </is>
      </c>
      <c r="G335" t="inlineStr">
        <is>
          <t>SÖDERHAMN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46310</v>
      </c>
      <c r="F336" t="inlineStr">
        <is>
          <t>GÄVLEBORGS LÄN</t>
        </is>
      </c>
      <c r="G336" t="inlineStr">
        <is>
          <t>SÖDERHAMN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46310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46310</v>
      </c>
      <c r="F338" t="inlineStr">
        <is>
          <t>GÄVLEBORGS LÄN</t>
        </is>
      </c>
      <c r="G338" t="inlineStr">
        <is>
          <t>SÖDERHAMN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46050</v>
      </c>
      <c r="E339" s="1" t="n">
        <v>46310</v>
      </c>
      <c r="F339" t="inlineStr">
        <is>
          <t>GÄVLEBORGS LÄN</t>
        </is>
      </c>
      <c r="G339" t="inlineStr">
        <is>
          <t>SÖDERHAMN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45707</v>
      </c>
      <c r="E340" s="1" t="n">
        <v>46310</v>
      </c>
      <c r="F340" t="inlineStr">
        <is>
          <t>GÄVLEBORGS LÄN</t>
        </is>
      </c>
      <c r="G340" t="inlineStr">
        <is>
          <t>SÖDERHAMN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46310</v>
      </c>
      <c r="F341" t="inlineStr">
        <is>
          <t>GÄVLEBORGS LÄN</t>
        </is>
      </c>
      <c r="G341" t="inlineStr">
        <is>
          <t>SÖDERHAMN</t>
        </is>
      </c>
      <c r="I341" t="n">
        <v>12.5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46024</v>
      </c>
      <c r="E342" s="1" t="n">
        <v>46310</v>
      </c>
      <c r="F342" t="inlineStr">
        <is>
          <t>GÄVLEBORGS LÄN</t>
        </is>
      </c>
      <c r="G342" t="inlineStr">
        <is>
          <t>SÖDERHAMN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24933-2024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45461</v>
      </c>
      <c r="E343" s="1" t="n">
        <v>46310</v>
      </c>
      <c r="F343" t="inlineStr">
        <is>
          <t>GÄVLEBORGS LÄN</t>
        </is>
      </c>
      <c r="G343" t="inlineStr">
        <is>
          <t>SÖDERHAMN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46310</v>
      </c>
      <c r="F344" t="inlineStr">
        <is>
          <t>GÄVLEBORGS LÄN</t>
        </is>
      </c>
      <c r="G344" t="inlineStr">
        <is>
          <t>SÖDERHAMN</t>
        </is>
      </c>
      <c r="I344" t="n">
        <v>9.699999999999999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20289-2026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46139</v>
      </c>
      <c r="E345" s="1" t="n">
        <v>46310</v>
      </c>
      <c r="F345" t="inlineStr">
        <is>
          <t>GÄVLEBORGS LÄN</t>
        </is>
      </c>
      <c r="G345" t="inlineStr">
        <is>
          <t>SÖDERHAMN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46310</v>
      </c>
      <c r="F346" t="inlineStr">
        <is>
          <t>GÄVLEBORGS LÄN</t>
        </is>
      </c>
      <c r="G346" t="inlineStr">
        <is>
          <t>SÖDERHAMN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46310</v>
      </c>
      <c r="F347" t="inlineStr">
        <is>
          <t>GÄVLEBORGS LÄN</t>
        </is>
      </c>
      <c r="G347" t="inlineStr">
        <is>
          <t>SÖDERHAMN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46310</v>
      </c>
      <c r="F348" t="inlineStr">
        <is>
          <t>GÄVLEBORGS LÄN</t>
        </is>
      </c>
      <c r="G348" t="inlineStr">
        <is>
          <t>SÖDERHAMN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46024</v>
      </c>
      <c r="E349" s="1" t="n">
        <v>46310</v>
      </c>
      <c r="F349" t="inlineStr">
        <is>
          <t>GÄVLEBORGS LÄN</t>
        </is>
      </c>
      <c r="G349" t="inlineStr">
        <is>
          <t>SÖDERHAMN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46310</v>
      </c>
      <c r="F350" t="inlineStr">
        <is>
          <t>GÄVLEBORGS LÄN</t>
        </is>
      </c>
      <c r="G350" t="inlineStr">
        <is>
          <t>SÖDERHAMN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46310</v>
      </c>
      <c r="F351" t="inlineStr">
        <is>
          <t>GÄVLEBORGS LÄN</t>
        </is>
      </c>
      <c r="G351" t="inlineStr">
        <is>
          <t>SÖDERHAMN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46310</v>
      </c>
      <c r="F352" t="inlineStr">
        <is>
          <t>GÄVLEBORGS LÄN</t>
        </is>
      </c>
      <c r="G352" t="inlineStr">
        <is>
          <t>SÖDERHAMN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45215</v>
      </c>
      <c r="E353" s="1" t="n">
        <v>46310</v>
      </c>
      <c r="F353" t="inlineStr">
        <is>
          <t>GÄVLEBORGS LÄN</t>
        </is>
      </c>
      <c r="G353" t="inlineStr">
        <is>
          <t>SÖDERHAMN</t>
        </is>
      </c>
      <c r="I353" t="n">
        <v>11.2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46310</v>
      </c>
      <c r="F354" t="inlineStr">
        <is>
          <t>GÄVLEBORGS LÄN</t>
        </is>
      </c>
      <c r="G354" t="inlineStr">
        <is>
          <t>SÖDERHAMN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46310</v>
      </c>
      <c r="F355" t="inlineStr">
        <is>
          <t>GÄVLEBORGS LÄN</t>
        </is>
      </c>
      <c r="G355" t="inlineStr">
        <is>
          <t>SÖDERHAMN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46310</v>
      </c>
      <c r="F356" t="inlineStr">
        <is>
          <t>GÄVLEBORGS LÄN</t>
        </is>
      </c>
      <c r="G356" t="inlineStr">
        <is>
          <t>SÖDERHAMN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58099-2024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45632</v>
      </c>
      <c r="E357" s="1" t="n">
        <v>46310</v>
      </c>
      <c r="F357" t="inlineStr">
        <is>
          <t>GÄVLEBORGS LÄN</t>
        </is>
      </c>
      <c r="G357" t="inlineStr">
        <is>
          <t>SÖDERHAMN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46310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45632</v>
      </c>
      <c r="E359" s="1" t="n">
        <v>46310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45296</v>
      </c>
      <c r="E360" s="1" t="n">
        <v>46310</v>
      </c>
      <c r="F360" t="inlineStr">
        <is>
          <t>GÄVLEBORGS LÄN</t>
        </is>
      </c>
      <c r="G360" t="inlineStr">
        <is>
          <t>SÖDERHAMN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46310</v>
      </c>
      <c r="F361" t="inlineStr">
        <is>
          <t>GÄVLEBORGS LÄN</t>
        </is>
      </c>
      <c r="G361" t="inlineStr">
        <is>
          <t>SÖDERHAMN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46310</v>
      </c>
      <c r="F362" t="inlineStr">
        <is>
          <t>GÄVLEBORGS LÄN</t>
        </is>
      </c>
      <c r="G362" t="inlineStr">
        <is>
          <t>SÖDERHAMN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46310</v>
      </c>
      <c r="F363" t="inlineStr">
        <is>
          <t>GÄVLEBORGS LÄN</t>
        </is>
      </c>
      <c r="G363" t="inlineStr">
        <is>
          <t>SÖDERHAMN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46310</v>
      </c>
      <c r="F364" t="inlineStr">
        <is>
          <t>GÄVLEBORGS LÄN</t>
        </is>
      </c>
      <c r="G364" t="inlineStr">
        <is>
          <t>SÖDERHAMN</t>
        </is>
      </c>
      <c r="H364" t="inlineStr">
        <is>
          <t>Bergvik skog väst AB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46310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46310</v>
      </c>
      <c r="F366" t="inlineStr">
        <is>
          <t>GÄVLEBORGS LÄN</t>
        </is>
      </c>
      <c r="G366" t="inlineStr">
        <is>
          <t>SÖDERHAMN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46310</v>
      </c>
      <c r="F367" t="inlineStr">
        <is>
          <t>GÄVLEBORGS LÄN</t>
        </is>
      </c>
      <c r="G367" t="inlineStr">
        <is>
          <t>SÖDERHAMN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45558</v>
      </c>
      <c r="E368" s="1" t="n">
        <v>46310</v>
      </c>
      <c r="F368" t="inlineStr">
        <is>
          <t>GÄVLEBORGS LÄN</t>
        </is>
      </c>
      <c r="G368" t="inlineStr">
        <is>
          <t>SÖDERHAMN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46310</v>
      </c>
      <c r="F369" t="inlineStr">
        <is>
          <t>GÄVLEBORGS LÄN</t>
        </is>
      </c>
      <c r="G369" t="inlineStr">
        <is>
          <t>SÖDERHAMN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8663-2026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46310</v>
      </c>
      <c r="F370" t="inlineStr">
        <is>
          <t>GÄVLEBORGS LÄN</t>
        </is>
      </c>
      <c r="G370" t="inlineStr">
        <is>
          <t>SÖDERHAMN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15646-2022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44662</v>
      </c>
      <c r="E371" s="1" t="n">
        <v>46310</v>
      </c>
      <c r="F371" t="inlineStr">
        <is>
          <t>GÄVLEBORGS LÄN</t>
        </is>
      </c>
      <c r="G371" t="inlineStr">
        <is>
          <t>SÖDERHAMN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46310</v>
      </c>
      <c r="F372" t="inlineStr">
        <is>
          <t>GÄVLEBORGS LÄN</t>
        </is>
      </c>
      <c r="G372" t="inlineStr">
        <is>
          <t>SÖDERHAMN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15417-2025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46310</v>
      </c>
      <c r="F373" t="inlineStr">
        <is>
          <t>GÄVLEBORGS LÄN</t>
        </is>
      </c>
      <c r="G373" t="inlineStr">
        <is>
          <t>SÖDERHAMN</t>
        </is>
      </c>
      <c r="I373" t="n">
        <v>11.2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46024</v>
      </c>
      <c r="E374" s="1" t="n">
        <v>46310</v>
      </c>
      <c r="F374" t="inlineStr">
        <is>
          <t>GÄVLEBORGS LÄN</t>
        </is>
      </c>
      <c r="G374" t="inlineStr">
        <is>
          <t>SÖDERHAMN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45183</v>
      </c>
      <c r="E375" s="1" t="n">
        <v>46310</v>
      </c>
      <c r="F375" t="inlineStr">
        <is>
          <t>GÄVLEBORGS LÄN</t>
        </is>
      </c>
      <c r="G375" t="inlineStr">
        <is>
          <t>SÖDERHAMN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46310</v>
      </c>
      <c r="F376" t="inlineStr">
        <is>
          <t>GÄVLEBORGS LÄN</t>
        </is>
      </c>
      <c r="G376" t="inlineStr">
        <is>
          <t>SÖDERHAMN</t>
        </is>
      </c>
      <c r="I376" t="n">
        <v>14.2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45342</v>
      </c>
      <c r="E377" s="1" t="n">
        <v>46310</v>
      </c>
      <c r="F377" t="inlineStr">
        <is>
          <t>GÄVLEBORGS LÄN</t>
        </is>
      </c>
      <c r="G377" t="inlineStr">
        <is>
          <t>SÖDERHAMN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46310</v>
      </c>
      <c r="F378" t="inlineStr">
        <is>
          <t>GÄVLEBORGS LÄN</t>
        </is>
      </c>
      <c r="G378" t="inlineStr">
        <is>
          <t>SÖDERHAMN</t>
        </is>
      </c>
      <c r="I378" t="n">
        <v>14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61680-2023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45265</v>
      </c>
      <c r="E379" s="1" t="n">
        <v>46310</v>
      </c>
      <c r="F379" t="inlineStr">
        <is>
          <t>GÄVLEBORGS LÄN</t>
        </is>
      </c>
      <c r="G379" t="inlineStr">
        <is>
          <t>SÖDERHAMN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46310</v>
      </c>
      <c r="F380" t="inlineStr">
        <is>
          <t>GÄVLEBORGS LÄN</t>
        </is>
      </c>
      <c r="G380" t="inlineStr">
        <is>
          <t>SÖDERHAMN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46310</v>
      </c>
      <c r="F381" t="inlineStr">
        <is>
          <t>GÄVLEBORGS LÄN</t>
        </is>
      </c>
      <c r="G381" t="inlineStr">
        <is>
          <t>SÖDERHAMN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46310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46310</v>
      </c>
      <c r="F383" t="inlineStr">
        <is>
          <t>GÄVLEBORGS LÄN</t>
        </is>
      </c>
      <c r="G383" t="inlineStr">
        <is>
          <t>SÖDERHAMN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46310</v>
      </c>
      <c r="F384" t="inlineStr">
        <is>
          <t>GÄVLEBORGS LÄN</t>
        </is>
      </c>
      <c r="G384" t="inlineStr">
        <is>
          <t>SÖDERHAMN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46310</v>
      </c>
      <c r="F385" t="inlineStr">
        <is>
          <t>GÄVLEBORGS LÄN</t>
        </is>
      </c>
      <c r="G385" t="inlineStr">
        <is>
          <t>SÖDERHAMN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64138-2023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45279</v>
      </c>
      <c r="E386" s="1" t="n">
        <v>46310</v>
      </c>
      <c r="F386" t="inlineStr">
        <is>
          <t>GÄVLEBORGS LÄN</t>
        </is>
      </c>
      <c r="G386" t="inlineStr">
        <is>
          <t>SÖDERHAMN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46310</v>
      </c>
      <c r="F387" t="inlineStr">
        <is>
          <t>GÄVLEBORGS LÄN</t>
        </is>
      </c>
      <c r="G387" t="inlineStr">
        <is>
          <t>SÖDERHAMN</t>
        </is>
      </c>
      <c r="H387" t="inlineStr">
        <is>
          <t>Övriga statliga verk och myndigheter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46006-2024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45580</v>
      </c>
      <c r="E388" s="1" t="n">
        <v>46310</v>
      </c>
      <c r="F388" t="inlineStr">
        <is>
          <t>GÄVLEBORGS LÄN</t>
        </is>
      </c>
      <c r="G388" t="inlineStr">
        <is>
          <t>SÖDERHAMN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46310</v>
      </c>
      <c r="F389" t="inlineStr">
        <is>
          <t>GÄVLEBORGS LÄN</t>
        </is>
      </c>
      <c r="G389" t="inlineStr">
        <is>
          <t>SÖDERHAMN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46310</v>
      </c>
      <c r="F390" t="inlineStr">
        <is>
          <t>GÄVLEBORGS LÄN</t>
        </is>
      </c>
      <c r="G390" t="inlineStr">
        <is>
          <t>SÖDERHAMN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46310</v>
      </c>
      <c r="F391" t="inlineStr">
        <is>
          <t>GÄVLEBORGS LÄN</t>
        </is>
      </c>
      <c r="G391" t="inlineStr">
        <is>
          <t>SÖDERHAMN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46310</v>
      </c>
      <c r="F392" t="inlineStr">
        <is>
          <t>GÄVLEBORGS LÄN</t>
        </is>
      </c>
      <c r="G392" t="inlineStr">
        <is>
          <t>SÖDERHAMN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46310</v>
      </c>
      <c r="F393" t="inlineStr">
        <is>
          <t>GÄVLEBORGS LÄN</t>
        </is>
      </c>
      <c r="G393" t="inlineStr">
        <is>
          <t>SÖDERHAMN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46063</v>
      </c>
      <c r="E394" s="1" t="n">
        <v>46310</v>
      </c>
      <c r="F394" t="inlineStr">
        <is>
          <t>GÄVLEBORGS LÄN</t>
        </is>
      </c>
      <c r="G394" t="inlineStr">
        <is>
          <t>SÖDERHAMN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46063</v>
      </c>
      <c r="E395" s="1" t="n">
        <v>46310</v>
      </c>
      <c r="F395" t="inlineStr">
        <is>
          <t>GÄVLEBORGS LÄN</t>
        </is>
      </c>
      <c r="G395" t="inlineStr">
        <is>
          <t>SÖDERHAMN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46310</v>
      </c>
      <c r="F396" t="inlineStr">
        <is>
          <t>GÄVLEBORGS LÄN</t>
        </is>
      </c>
      <c r="G396" t="inlineStr">
        <is>
          <t>SÖDERHAMN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46310</v>
      </c>
      <c r="F397" t="inlineStr">
        <is>
          <t>GÄVLEBORGS LÄN</t>
        </is>
      </c>
      <c r="G397" t="inlineStr">
        <is>
          <t>SÖDERHAMN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46310</v>
      </c>
      <c r="F398" t="inlineStr">
        <is>
          <t>GÄVLEBORGS LÄN</t>
        </is>
      </c>
      <c r="G398" t="inlineStr">
        <is>
          <t>SÖDERHAMN</t>
        </is>
      </c>
      <c r="H398" t="inlineStr">
        <is>
          <t>Kommuner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46310</v>
      </c>
      <c r="F399" t="inlineStr">
        <is>
          <t>GÄVLEBORGS LÄN</t>
        </is>
      </c>
      <c r="G399" t="inlineStr">
        <is>
          <t>SÖDERHAMN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21003-2026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46142</v>
      </c>
      <c r="E400" s="1" t="n">
        <v>46310</v>
      </c>
      <c r="F400" t="inlineStr">
        <is>
          <t>GÄVLEBORGS LÄN</t>
        </is>
      </c>
      <c r="G400" t="inlineStr">
        <is>
          <t>SÖDERHAMN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24910-2024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45461</v>
      </c>
      <c r="E401" s="1" t="n">
        <v>46310</v>
      </c>
      <c r="F401" t="inlineStr">
        <is>
          <t>GÄVLEBORGS LÄN</t>
        </is>
      </c>
      <c r="G401" t="inlineStr">
        <is>
          <t>SÖDERHAMN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46310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55765-2025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45972</v>
      </c>
      <c r="E403" s="1" t="n">
        <v>46310</v>
      </c>
      <c r="F403" t="inlineStr">
        <is>
          <t>GÄVLEBORGS LÄN</t>
        </is>
      </c>
      <c r="G403" t="inlineStr">
        <is>
          <t>SÖDERHAMN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46024</v>
      </c>
      <c r="E404" s="1" t="n">
        <v>46310</v>
      </c>
      <c r="F404" t="inlineStr">
        <is>
          <t>GÄVLEBORGS LÄN</t>
        </is>
      </c>
      <c r="G404" t="inlineStr">
        <is>
          <t>SÖDERHAMN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39207-2024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45548</v>
      </c>
      <c r="E405" s="1" t="n">
        <v>46310</v>
      </c>
      <c r="F405" t="inlineStr">
        <is>
          <t>GÄVLEBORGS LÄN</t>
        </is>
      </c>
      <c r="G405" t="inlineStr">
        <is>
          <t>SÖDERHAMN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46147</v>
      </c>
      <c r="E406" s="1" t="n">
        <v>46310</v>
      </c>
      <c r="F406" t="inlineStr">
        <is>
          <t>GÄVLEBORGS LÄN</t>
        </is>
      </c>
      <c r="G406" t="inlineStr">
        <is>
          <t>SÖDERHAMN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20806-2026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46310</v>
      </c>
      <c r="F407" t="inlineStr">
        <is>
          <t>GÄVLEBORGS LÄN</t>
        </is>
      </c>
      <c r="G407" t="inlineStr">
        <is>
          <t>SÖDERHAMN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21059-2026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46310</v>
      </c>
      <c r="F408" t="inlineStr">
        <is>
          <t>GÄVLEBORGS LÄN</t>
        </is>
      </c>
      <c r="G408" t="inlineStr">
        <is>
          <t>SÖDERHAMN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46310</v>
      </c>
      <c r="F409" t="inlineStr">
        <is>
          <t>GÄVLEBORGS LÄN</t>
        </is>
      </c>
      <c r="G409" t="inlineStr">
        <is>
          <t>SÖDERHAMN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45527</v>
      </c>
      <c r="E410" s="1" t="n">
        <v>46310</v>
      </c>
      <c r="F410" t="inlineStr">
        <is>
          <t>GÄVLEBORGS LÄN</t>
        </is>
      </c>
      <c r="G410" t="inlineStr">
        <is>
          <t>SÖDERHAMN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46310</v>
      </c>
      <c r="F411" t="inlineStr">
        <is>
          <t>GÄVLEBORGS LÄN</t>
        </is>
      </c>
      <c r="G411" t="inlineStr">
        <is>
          <t>SÖDERHAMN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46149</v>
      </c>
      <c r="E412" s="1" t="n">
        <v>46310</v>
      </c>
      <c r="F412" t="inlineStr">
        <is>
          <t>GÄVLEBORGS LÄN</t>
        </is>
      </c>
      <c r="G412" t="inlineStr">
        <is>
          <t>SÖDERHAMN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46310</v>
      </c>
      <c r="F413" t="inlineStr">
        <is>
          <t>GÄVLEBORGS LÄN</t>
        </is>
      </c>
      <c r="G413" t="inlineStr">
        <is>
          <t>SÖDERHAMN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46149</v>
      </c>
      <c r="E414" s="1" t="n">
        <v>46310</v>
      </c>
      <c r="F414" t="inlineStr">
        <is>
          <t>GÄVLEBORGS LÄN</t>
        </is>
      </c>
      <c r="G414" t="inlineStr">
        <is>
          <t>SÖDERHAMN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46310</v>
      </c>
      <c r="F415" t="inlineStr">
        <is>
          <t>GÄVLEBORGS LÄN</t>
        </is>
      </c>
      <c r="G415" t="inlineStr">
        <is>
          <t>SÖDERHAMN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14128-2022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44651</v>
      </c>
      <c r="E416" s="1" t="n">
        <v>46310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46310</v>
      </c>
      <c r="F417" t="inlineStr">
        <is>
          <t>GÄVLEBORGS LÄN</t>
        </is>
      </c>
      <c r="G417" t="inlineStr">
        <is>
          <t>SÖDERHAMN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16340-2023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45028</v>
      </c>
      <c r="E418" s="1" t="n">
        <v>46310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63431-2021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44508</v>
      </c>
      <c r="E419" s="1" t="n">
        <v>46310</v>
      </c>
      <c r="F419" t="inlineStr">
        <is>
          <t>GÄVLEBORGS LÄN</t>
        </is>
      </c>
      <c r="G419" t="inlineStr">
        <is>
          <t>SÖDERHAMN</t>
        </is>
      </c>
      <c r="H419" t="inlineStr">
        <is>
          <t>Bergvik skog väst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46310</v>
      </c>
      <c r="F420" t="inlineStr">
        <is>
          <t>GÄVLEBORGS LÄN</t>
        </is>
      </c>
      <c r="G420" t="inlineStr">
        <is>
          <t>SÖDERHAMN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46155</v>
      </c>
      <c r="E421" s="1" t="n">
        <v>46310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44649</v>
      </c>
      <c r="E422" s="1" t="n">
        <v>46310</v>
      </c>
      <c r="F422" t="inlineStr">
        <is>
          <t>GÄVLEBORGS LÄN</t>
        </is>
      </c>
      <c r="G422" t="inlineStr">
        <is>
          <t>SÖDERHAMN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14498-2023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45012</v>
      </c>
      <c r="E423" s="1" t="n">
        <v>46310</v>
      </c>
      <c r="F423" t="inlineStr">
        <is>
          <t>GÄVLEBORGS LÄN</t>
        </is>
      </c>
      <c r="G423" t="inlineStr">
        <is>
          <t>SÖDERHAMN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11653-2024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46310</v>
      </c>
      <c r="F424" t="inlineStr">
        <is>
          <t>GÄVLEBORGS LÄN</t>
        </is>
      </c>
      <c r="G424" t="inlineStr">
        <is>
          <t>SÖDERHAMN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46310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51986-2024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45607</v>
      </c>
      <c r="E426" s="1" t="n">
        <v>46310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56933-2024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45628</v>
      </c>
      <c r="E427" s="1" t="n">
        <v>46310</v>
      </c>
      <c r="F427" t="inlineStr">
        <is>
          <t>GÄVLEBORGS LÄN</t>
        </is>
      </c>
      <c r="G427" t="inlineStr">
        <is>
          <t>SÖDERHAMN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22790-2026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46310</v>
      </c>
      <c r="F428" t="inlineStr">
        <is>
          <t>GÄVLEBORGS LÄN</t>
        </is>
      </c>
      <c r="G428" t="inlineStr">
        <is>
          <t>SÖDERHAMN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22791-2026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46157</v>
      </c>
      <c r="E429" s="1" t="n">
        <v>46310</v>
      </c>
      <c r="F429" t="inlineStr">
        <is>
          <t>GÄVLEBORGS LÄN</t>
        </is>
      </c>
      <c r="G429" t="inlineStr">
        <is>
          <t>SÖDERHAMN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22735-2026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46157</v>
      </c>
      <c r="E430" s="1" t="n">
        <v>46310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46157</v>
      </c>
      <c r="E431" s="1" t="n">
        <v>46310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46157</v>
      </c>
      <c r="E432" s="1" t="n">
        <v>46310</v>
      </c>
      <c r="F432" t="inlineStr">
        <is>
          <t>GÄVLEBORGS LÄN</t>
        </is>
      </c>
      <c r="G432" t="inlineStr">
        <is>
          <t>SÖDERHAMN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46157</v>
      </c>
      <c r="E433" s="1" t="n">
        <v>46310</v>
      </c>
      <c r="F433" t="inlineStr">
        <is>
          <t>GÄVLEBORGS LÄN</t>
        </is>
      </c>
      <c r="G433" t="inlineStr">
        <is>
          <t>SÖDERHAMN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46310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46310</v>
      </c>
      <c r="F435" t="inlineStr">
        <is>
          <t>GÄVLEBORGS LÄN</t>
        </is>
      </c>
      <c r="G435" t="inlineStr">
        <is>
          <t>SÖDERHAMN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46310</v>
      </c>
      <c r="F436" t="inlineStr">
        <is>
          <t>GÄVLEBORGS LÄN</t>
        </is>
      </c>
      <c r="G436" t="inlineStr">
        <is>
          <t>SÖDERHAMN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55715-2024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46310</v>
      </c>
      <c r="F437" t="inlineStr">
        <is>
          <t>GÄVLEBORGS LÄN</t>
        </is>
      </c>
      <c r="G437" t="inlineStr">
        <is>
          <t>SÖDERHAMN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45602</v>
      </c>
      <c r="E438" s="1" t="n">
        <v>46310</v>
      </c>
      <c r="F438" t="inlineStr">
        <is>
          <t>GÄVLEBORGS LÄN</t>
        </is>
      </c>
      <c r="G438" t="inlineStr">
        <is>
          <t>SÖDERHAMN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42035-2024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45561</v>
      </c>
      <c r="E439" s="1" t="n">
        <v>46310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46310</v>
      </c>
      <c r="F440" t="inlineStr">
        <is>
          <t>GÄVLEBORGS LÄN</t>
        </is>
      </c>
      <c r="G440" t="inlineStr">
        <is>
          <t>SÖDERHAMN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46310</v>
      </c>
      <c r="F441" t="inlineStr">
        <is>
          <t>GÄVLEBORGS LÄN</t>
        </is>
      </c>
      <c r="G441" t="inlineStr">
        <is>
          <t>SÖDERHAMN</t>
        </is>
      </c>
      <c r="I441" t="n">
        <v>7.9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23470-2026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46163</v>
      </c>
      <c r="E442" s="1" t="n">
        <v>46310</v>
      </c>
      <c r="F442" t="inlineStr">
        <is>
          <t>GÄVLEBORGS LÄN</t>
        </is>
      </c>
      <c r="G442" t="inlineStr">
        <is>
          <t>SÖDERHAMN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45747</v>
      </c>
      <c r="E443" s="1" t="n">
        <v>46310</v>
      </c>
      <c r="F443" t="inlineStr">
        <is>
          <t>GÄVLEBORGS LÄN</t>
        </is>
      </c>
      <c r="G443" t="inlineStr">
        <is>
          <t>SÖDERHAMN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46310</v>
      </c>
      <c r="F444" t="inlineStr">
        <is>
          <t>GÄVLEBORGS LÄN</t>
        </is>
      </c>
      <c r="G444" t="inlineStr">
        <is>
          <t>SÖDERHAMN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23770-2026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46164</v>
      </c>
      <c r="E445" s="1" t="n">
        <v>46310</v>
      </c>
      <c r="F445" t="inlineStr">
        <is>
          <t>GÄVLEBORGS LÄN</t>
        </is>
      </c>
      <c r="G445" t="inlineStr">
        <is>
          <t>SÖDERHAMN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46310</v>
      </c>
      <c r="F446" t="inlineStr">
        <is>
          <t>GÄVLEBORGS LÄN</t>
        </is>
      </c>
      <c r="G446" t="inlineStr">
        <is>
          <t>SÖDERHAMN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45762</v>
      </c>
      <c r="E447" s="1" t="n">
        <v>46310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46165</v>
      </c>
      <c r="E448" s="1" t="n">
        <v>46310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47288-2023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45202</v>
      </c>
      <c r="E449" s="1" t="n">
        <v>46310</v>
      </c>
      <c r="F449" t="inlineStr">
        <is>
          <t>GÄVLEBORGS LÄN</t>
        </is>
      </c>
      <c r="G449" t="inlineStr">
        <is>
          <t>SÖDERHAMN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48561-2025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45936</v>
      </c>
      <c r="E450" s="1" t="n">
        <v>46310</v>
      </c>
      <c r="F450" t="inlineStr">
        <is>
          <t>GÄVLEBORGS LÄN</t>
        </is>
      </c>
      <c r="G450" t="inlineStr">
        <is>
          <t>SÖDERHAMN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16472-2026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46310</v>
      </c>
      <c r="F451" t="inlineStr">
        <is>
          <t>GÄVLEBORGS LÄN</t>
        </is>
      </c>
      <c r="G451" t="inlineStr">
        <is>
          <t>SÖDERHAMN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51553-2024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45604</v>
      </c>
      <c r="E452" s="1" t="n">
        <v>46310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46310</v>
      </c>
      <c r="F453" t="inlineStr">
        <is>
          <t>GÄVLEBORGS LÄN</t>
        </is>
      </c>
      <c r="G453" t="inlineStr">
        <is>
          <t>SÖDERHAMN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45764</v>
      </c>
      <c r="E454" s="1" t="n">
        <v>46310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Kommuner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25904-2024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45467</v>
      </c>
      <c r="E455" s="1" t="n">
        <v>46310</v>
      </c>
      <c r="F455" t="inlineStr">
        <is>
          <t>GÄVLEBORGS LÄN</t>
        </is>
      </c>
      <c r="G455" t="inlineStr">
        <is>
          <t>SÖDERHAMN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46310</v>
      </c>
      <c r="F456" t="inlineStr">
        <is>
          <t>GÄVLEBORGS LÄN</t>
        </is>
      </c>
      <c r="G456" t="inlineStr">
        <is>
          <t>SÖDERHAMN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45027</v>
      </c>
      <c r="E457" s="1" t="n">
        <v>46310</v>
      </c>
      <c r="F457" t="inlineStr">
        <is>
          <t>GÄVLEBORGS LÄN</t>
        </is>
      </c>
      <c r="G457" t="inlineStr">
        <is>
          <t>SÖDERHAMN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46310</v>
      </c>
      <c r="F458" t="inlineStr">
        <is>
          <t>GÄVLEBORGS LÄN</t>
        </is>
      </c>
      <c r="G458" t="inlineStr">
        <is>
          <t>SÖDERHAMN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46097</v>
      </c>
      <c r="E459" s="1" t="n">
        <v>46310</v>
      </c>
      <c r="F459" t="inlineStr">
        <is>
          <t>GÄVLEBORGS LÄN</t>
        </is>
      </c>
      <c r="G459" t="inlineStr">
        <is>
          <t>SÖDERHAMN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46310</v>
      </c>
      <c r="F460" t="inlineStr">
        <is>
          <t>GÄVLEBORGS LÄN</t>
        </is>
      </c>
      <c r="G460" t="inlineStr">
        <is>
          <t>SÖDERHAMN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46310</v>
      </c>
      <c r="F461" t="inlineStr">
        <is>
          <t>GÄVLEBORGS LÄN</t>
        </is>
      </c>
      <c r="G461" t="inlineStr">
        <is>
          <t>SÖDERHAMN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24966-2026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46310</v>
      </c>
      <c r="F462" t="inlineStr">
        <is>
          <t>GÄVLEBORGS LÄN</t>
        </is>
      </c>
      <c r="G462" t="inlineStr">
        <is>
          <t>SÖDERHAMN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46310</v>
      </c>
      <c r="F463" t="inlineStr">
        <is>
          <t>GÄVLEBORGS LÄN</t>
        </is>
      </c>
      <c r="G463" t="inlineStr">
        <is>
          <t>SÖDERHAMN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44681-2024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45574</v>
      </c>
      <c r="E464" s="1" t="n">
        <v>46310</v>
      </c>
      <c r="F464" t="inlineStr">
        <is>
          <t>GÄVLEBORGS LÄN</t>
        </is>
      </c>
      <c r="G464" t="inlineStr">
        <is>
          <t>SÖDERHAMN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46310</v>
      </c>
      <c r="F465" t="inlineStr">
        <is>
          <t>GÄVLEBORGS LÄN</t>
        </is>
      </c>
      <c r="G465" t="inlineStr">
        <is>
          <t>SÖDERHAMN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46310</v>
      </c>
      <c r="F466" t="inlineStr">
        <is>
          <t>GÄVLEBORGS LÄN</t>
        </is>
      </c>
      <c r="G466" t="inlineStr">
        <is>
          <t>SÖDERHAMN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20286-2023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45056</v>
      </c>
      <c r="E467" s="1" t="n">
        <v>46310</v>
      </c>
      <c r="F467" t="inlineStr">
        <is>
          <t>GÄVLEBORGS LÄN</t>
        </is>
      </c>
      <c r="G467" t="inlineStr">
        <is>
          <t>SÖDERHAMN</t>
        </is>
      </c>
      <c r="H467" t="inlineStr">
        <is>
          <t>Bergvik skog väst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55240-2024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45621</v>
      </c>
      <c r="E468" s="1" t="n">
        <v>46310</v>
      </c>
      <c r="F468" t="inlineStr">
        <is>
          <t>GÄVLEBORGS LÄN</t>
        </is>
      </c>
      <c r="G468" t="inlineStr">
        <is>
          <t>SÖDERHAMN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46310</v>
      </c>
      <c r="F469" t="inlineStr">
        <is>
          <t>GÄVLEBORGS LÄN</t>
        </is>
      </c>
      <c r="G469" t="inlineStr">
        <is>
          <t>SÖDERHAMN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46310</v>
      </c>
      <c r="F470" t="inlineStr">
        <is>
          <t>GÄVLEBORGS LÄN</t>
        </is>
      </c>
      <c r="G470" t="inlineStr">
        <is>
          <t>SÖDERHAMN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44963</v>
      </c>
      <c r="E471" s="1" t="n">
        <v>46310</v>
      </c>
      <c r="F471" t="inlineStr">
        <is>
          <t>GÄVLEBORGS LÄN</t>
        </is>
      </c>
      <c r="G471" t="inlineStr">
        <is>
          <t>SÖDERHAMN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46043</v>
      </c>
      <c r="E472" s="1" t="n">
        <v>46310</v>
      </c>
      <c r="F472" t="inlineStr">
        <is>
          <t>GÄVLEBORGS LÄN</t>
        </is>
      </c>
      <c r="G472" t="inlineStr">
        <is>
          <t>SÖDERHAMN</t>
        </is>
      </c>
      <c r="I472" t="n">
        <v>20.9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46310</v>
      </c>
      <c r="F473" t="inlineStr">
        <is>
          <t>GÄVLEBORGS LÄN</t>
        </is>
      </c>
      <c r="G473" t="inlineStr">
        <is>
          <t>SÖDERHAMN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16224-2025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45750</v>
      </c>
      <c r="E474" s="1" t="n">
        <v>46310</v>
      </c>
      <c r="F474" t="inlineStr">
        <is>
          <t>GÄVLEBORGS LÄN</t>
        </is>
      </c>
      <c r="G474" t="inlineStr">
        <is>
          <t>SÖDERHAMN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45750</v>
      </c>
      <c r="E475" s="1" t="n">
        <v>46310</v>
      </c>
      <c r="F475" t="inlineStr">
        <is>
          <t>GÄVLEBORGS LÄN</t>
        </is>
      </c>
      <c r="G475" t="inlineStr">
        <is>
          <t>SÖDERHAMN</t>
        </is>
      </c>
      <c r="H475" t="inlineStr">
        <is>
          <t>Kommuner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25552-2026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46310</v>
      </c>
      <c r="F476" t="inlineStr">
        <is>
          <t>GÄVLEBORGS LÄN</t>
        </is>
      </c>
      <c r="G476" t="inlineStr">
        <is>
          <t>SÖDERHAMN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44957</v>
      </c>
      <c r="E477" s="1" t="n">
        <v>46310</v>
      </c>
      <c r="F477" t="inlineStr">
        <is>
          <t>GÄVLEBORGS LÄN</t>
        </is>
      </c>
      <c r="G477" t="inlineStr">
        <is>
          <t>SÖDERHAMN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46310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49306-2023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46310</v>
      </c>
      <c r="F479" t="inlineStr">
        <is>
          <t>GÄVLEBORGS LÄN</t>
        </is>
      </c>
      <c r="G479" t="inlineStr">
        <is>
          <t>SÖDERHAMN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46310</v>
      </c>
      <c r="F480" t="inlineStr">
        <is>
          <t>GÄVLEBORGS LÄN</t>
        </is>
      </c>
      <c r="G480" t="inlineStr">
        <is>
          <t>SÖDERHAMN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58610-2023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45251</v>
      </c>
      <c r="E481" s="1" t="n">
        <v>46310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46310</v>
      </c>
      <c r="F482" t="inlineStr">
        <is>
          <t>GÄVLEBORGS LÄN</t>
        </is>
      </c>
      <c r="G482" t="inlineStr">
        <is>
          <t>SÖDERHAMN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46310</v>
      </c>
      <c r="F483" t="inlineStr">
        <is>
          <t>GÄVLEBORGS LÄN</t>
        </is>
      </c>
      <c r="G483" t="inlineStr">
        <is>
          <t>SÖDERHAMN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57753-2023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46310</v>
      </c>
      <c r="F484" t="inlineStr">
        <is>
          <t>GÄVLEBORGS LÄN</t>
        </is>
      </c>
      <c r="G484" t="inlineStr">
        <is>
          <t>SÖDERHAMN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72644-2021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44546</v>
      </c>
      <c r="E485" s="1" t="n">
        <v>46310</v>
      </c>
      <c r="F485" t="inlineStr">
        <is>
          <t>GÄVLEBORGS LÄN</t>
        </is>
      </c>
      <c r="G485" t="inlineStr">
        <is>
          <t>SÖDERHAMN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46310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45062</v>
      </c>
      <c r="E487" s="1" t="n">
        <v>46310</v>
      </c>
      <c r="F487" t="inlineStr">
        <is>
          <t>GÄVLEBORGS LÄN</t>
        </is>
      </c>
      <c r="G487" t="inlineStr">
        <is>
          <t>SÖDERHAMN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46310</v>
      </c>
      <c r="F488" t="inlineStr">
        <is>
          <t>GÄVLEBORGS LÄN</t>
        </is>
      </c>
      <c r="G488" t="inlineStr">
        <is>
          <t>SÖDERHAMN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46310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46310</v>
      </c>
      <c r="F490" t="inlineStr">
        <is>
          <t>GÄVLEBORGS LÄN</t>
        </is>
      </c>
      <c r="G490" t="inlineStr">
        <is>
          <t>SÖDERHAMN</t>
        </is>
      </c>
      <c r="I490" t="n">
        <v>11.8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48797-2024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45593</v>
      </c>
      <c r="E491" s="1" t="n">
        <v>46310</v>
      </c>
      <c r="F491" t="inlineStr">
        <is>
          <t>GÄVLEBORGS LÄN</t>
        </is>
      </c>
      <c r="G491" t="inlineStr">
        <is>
          <t>SÖDERHAMN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18466-2024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45425</v>
      </c>
      <c r="E492" s="1" t="n">
        <v>46310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47794-2024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45588</v>
      </c>
      <c r="E493" s="1" t="n">
        <v>46310</v>
      </c>
      <c r="F493" t="inlineStr">
        <is>
          <t>GÄVLEBORGS LÄN</t>
        </is>
      </c>
      <c r="G493" t="inlineStr">
        <is>
          <t>SÖDERHAMN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46310</v>
      </c>
      <c r="F494" t="inlineStr">
        <is>
          <t>GÄVLEBORGS LÄN</t>
        </is>
      </c>
      <c r="G494" t="inlineStr">
        <is>
          <t>SÖDERHAMN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40811-2022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44824</v>
      </c>
      <c r="E495" s="1" t="n">
        <v>46310</v>
      </c>
      <c r="F495" t="inlineStr">
        <is>
          <t>GÄVLEBORGS LÄN</t>
        </is>
      </c>
      <c r="G495" t="inlineStr">
        <is>
          <t>SÖDERHAMN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46197</v>
      </c>
      <c r="E496" s="1" t="n">
        <v>46310</v>
      </c>
      <c r="F496" t="inlineStr">
        <is>
          <t>GÄVLEBORGS LÄN</t>
        </is>
      </c>
      <c r="G496" t="inlineStr">
        <is>
          <t>SÖDERHAMN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42549-2024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45565</v>
      </c>
      <c r="E497" s="1" t="n">
        <v>46310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42902-2024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46310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7972-2025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45707</v>
      </c>
      <c r="E499" s="1" t="n">
        <v>46310</v>
      </c>
      <c r="F499" t="inlineStr">
        <is>
          <t>GÄVLEBORGS LÄN</t>
        </is>
      </c>
      <c r="G499" t="inlineStr">
        <is>
          <t>SÖDERHAMN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57814-2022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46310</v>
      </c>
      <c r="F500" t="inlineStr">
        <is>
          <t>GÄVLEBORGS LÄN</t>
        </is>
      </c>
      <c r="G500" t="inlineStr">
        <is>
          <t>SÖDERHAMN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51458-2022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44869</v>
      </c>
      <c r="E501" s="1" t="n">
        <v>46310</v>
      </c>
      <c r="F501" t="inlineStr">
        <is>
          <t>GÄVLEBORGS LÄN</t>
        </is>
      </c>
      <c r="G501" t="inlineStr">
        <is>
          <t>SÖDERHAMN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57500-2023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45246</v>
      </c>
      <c r="E502" s="1" t="n">
        <v>46310</v>
      </c>
      <c r="F502" t="inlineStr">
        <is>
          <t>GÄVLEBORGS LÄN</t>
        </is>
      </c>
      <c r="G502" t="inlineStr">
        <is>
          <t>SÖDERHAMN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46310</v>
      </c>
      <c r="F503" t="inlineStr">
        <is>
          <t>GÄVLEBORGS LÄN</t>
        </is>
      </c>
      <c r="G503" t="inlineStr">
        <is>
          <t>SÖDERHAMN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46207</v>
      </c>
      <c r="E504" s="1" t="n">
        <v>46310</v>
      </c>
      <c r="F504" t="inlineStr">
        <is>
          <t>GÄVLEBORGS LÄN</t>
        </is>
      </c>
      <c r="G504" t="inlineStr">
        <is>
          <t>SÖDERHAMN</t>
        </is>
      </c>
      <c r="H504" t="inlineStr">
        <is>
          <t>Bergvik skog väst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45222</v>
      </c>
      <c r="E505" s="1" t="n">
        <v>46310</v>
      </c>
      <c r="F505" t="inlineStr">
        <is>
          <t>GÄVLEBORGS LÄN</t>
        </is>
      </c>
      <c r="G505" t="inlineStr">
        <is>
          <t>SÖDERHAMN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4298-2024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46310</v>
      </c>
      <c r="F506" t="inlineStr">
        <is>
          <t>GÄVLEBORGS LÄN</t>
        </is>
      </c>
      <c r="G506" t="inlineStr">
        <is>
          <t>SÖDERHAMN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46310</v>
      </c>
      <c r="F507" t="inlineStr">
        <is>
          <t>GÄVLEBORGS LÄN</t>
        </is>
      </c>
      <c r="G507" t="inlineStr">
        <is>
          <t>SÖDERHAMN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30871-2026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46212</v>
      </c>
      <c r="E508" s="1" t="n">
        <v>46310</v>
      </c>
      <c r="F508" t="inlineStr">
        <is>
          <t>GÄVLEBORGS LÄN</t>
        </is>
      </c>
      <c r="G508" t="inlineStr">
        <is>
          <t>SÖDERHAMN</t>
        </is>
      </c>
      <c r="H508" t="inlineStr">
        <is>
          <t>Kyrkan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46310</v>
      </c>
      <c r="F509" t="inlineStr">
        <is>
          <t>GÄVLEBORGS LÄN</t>
        </is>
      </c>
      <c r="G509" t="inlineStr">
        <is>
          <t>SÖDERHAMN</t>
        </is>
      </c>
      <c r="H509" t="inlineStr">
        <is>
          <t>Kyrkan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30877-2026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46212</v>
      </c>
      <c r="E510" s="1" t="n">
        <v>46310</v>
      </c>
      <c r="F510" t="inlineStr">
        <is>
          <t>GÄVLEBORGS LÄN</t>
        </is>
      </c>
      <c r="G510" t="inlineStr">
        <is>
          <t>SÖDERHAMN</t>
        </is>
      </c>
      <c r="H510" t="inlineStr">
        <is>
          <t>Kyrkan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51292-2023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45219</v>
      </c>
      <c r="E511" s="1" t="n">
        <v>46310</v>
      </c>
      <c r="F511" t="inlineStr">
        <is>
          <t>GÄVLEBORGS LÄN</t>
        </is>
      </c>
      <c r="G511" t="inlineStr">
        <is>
          <t>SÖDERHAMN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46310</v>
      </c>
      <c r="F512" t="inlineStr">
        <is>
          <t>GÄVLEBORGS LÄN</t>
        </is>
      </c>
      <c r="G512" t="inlineStr">
        <is>
          <t>SÖDERHAMN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46042</v>
      </c>
      <c r="E513" s="1" t="n">
        <v>46310</v>
      </c>
      <c r="F513" t="inlineStr">
        <is>
          <t>GÄVLEBORGS LÄN</t>
        </is>
      </c>
      <c r="G513" t="inlineStr">
        <is>
          <t>SÖDERHAMN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46310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46219</v>
      </c>
      <c r="E515" s="1" t="n">
        <v>46310</v>
      </c>
      <c r="F515" t="inlineStr">
        <is>
          <t>GÄVLEBORGS LÄN</t>
        </is>
      </c>
      <c r="G515" t="inlineStr">
        <is>
          <t>SÖDERHAMN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46219</v>
      </c>
      <c r="E516" s="1" t="n">
        <v>46310</v>
      </c>
      <c r="F516" t="inlineStr">
        <is>
          <t>GÄVLEBORGS LÄN</t>
        </is>
      </c>
      <c r="G516" t="inlineStr">
        <is>
          <t>SÖDERHAMN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31363-2026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46219</v>
      </c>
      <c r="E517" s="1" t="n">
        <v>46310</v>
      </c>
      <c r="F517" t="inlineStr">
        <is>
          <t>GÄVLEBORGS LÄN</t>
        </is>
      </c>
      <c r="G517" t="inlineStr">
        <is>
          <t>SÖDERHAMN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46219</v>
      </c>
      <c r="E518" s="1" t="n">
        <v>46310</v>
      </c>
      <c r="F518" t="inlineStr">
        <is>
          <t>GÄVLEBORGS LÄN</t>
        </is>
      </c>
      <c r="G518" t="inlineStr">
        <is>
          <t>SÖDERHAMN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46223</v>
      </c>
      <c r="E519" s="1" t="n">
        <v>46310</v>
      </c>
      <c r="F519" t="inlineStr">
        <is>
          <t>GÄVLEBORGS LÄN</t>
        </is>
      </c>
      <c r="G519" t="inlineStr">
        <is>
          <t>SÖDERHAMN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46310</v>
      </c>
      <c r="F520" t="inlineStr">
        <is>
          <t>GÄVLEBORGS LÄN</t>
        </is>
      </c>
      <c r="G520" t="inlineStr">
        <is>
          <t>SÖDERHAMN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45260</v>
      </c>
      <c r="E521" s="1" t="n">
        <v>46310</v>
      </c>
      <c r="F521" t="inlineStr">
        <is>
          <t>GÄVLEBORGS LÄN</t>
        </is>
      </c>
      <c r="G521" t="inlineStr">
        <is>
          <t>SÖDERHAMN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45470</v>
      </c>
      <c r="E522" s="1" t="n">
        <v>46310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46310</v>
      </c>
      <c r="F523" t="inlineStr">
        <is>
          <t>GÄVLEBORGS LÄN</t>
        </is>
      </c>
      <c r="G523" t="inlineStr">
        <is>
          <t>SÖDERHAMN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45754</v>
      </c>
      <c r="E524" s="1" t="n">
        <v>46310</v>
      </c>
      <c r="F524" t="inlineStr">
        <is>
          <t>GÄVLEBORGS LÄN</t>
        </is>
      </c>
      <c r="G524" t="inlineStr">
        <is>
          <t>SÖDERHAMN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52518-2024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45609</v>
      </c>
      <c r="E525" s="1" t="n">
        <v>46310</v>
      </c>
      <c r="F525" t="inlineStr">
        <is>
          <t>GÄVLEBORGS LÄN</t>
        </is>
      </c>
      <c r="G525" t="inlineStr">
        <is>
          <t>SÖDERHAMN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46227</v>
      </c>
      <c r="E526" s="1" t="n">
        <v>46310</v>
      </c>
      <c r="F526" t="inlineStr">
        <is>
          <t>GÄVLEBORGS LÄN</t>
        </is>
      </c>
      <c r="G526" t="inlineStr">
        <is>
          <t>SÖDERHAMN</t>
        </is>
      </c>
      <c r="I526" t="n">
        <v>11.5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44564</v>
      </c>
      <c r="E527" s="1" t="n">
        <v>46310</v>
      </c>
      <c r="F527" t="inlineStr">
        <is>
          <t>GÄVLEBORGS LÄN</t>
        </is>
      </c>
      <c r="G527" t="inlineStr">
        <is>
          <t>SÖDERHAMN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37320-2026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46275</v>
      </c>
      <c r="E528" s="1" t="n">
        <v>46310</v>
      </c>
      <c r="F528" t="inlineStr">
        <is>
          <t>GÄVLEBORGS LÄN</t>
        </is>
      </c>
      <c r="G528" t="inlineStr">
        <is>
          <t>SÖDERHAMN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45677</v>
      </c>
      <c r="E529" s="1" t="n">
        <v>46310</v>
      </c>
      <c r="F529" t="inlineStr">
        <is>
          <t>GÄVLEBORGS LÄN</t>
        </is>
      </c>
      <c r="G529" t="inlineStr">
        <is>
          <t>SÖDERHAMN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45243</v>
      </c>
      <c r="E530" s="1" t="n">
        <v>46310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46281</v>
      </c>
      <c r="E531" s="1" t="n">
        <v>46310</v>
      </c>
      <c r="F531" t="inlineStr">
        <is>
          <t>GÄVLEBORGS LÄN</t>
        </is>
      </c>
      <c r="G531" t="inlineStr">
        <is>
          <t>SÖDERHAMN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46310</v>
      </c>
      <c r="F532" t="inlineStr">
        <is>
          <t>GÄVLEBORGS LÄN</t>
        </is>
      </c>
      <c r="G532" t="inlineStr">
        <is>
          <t>SÖDERHAMN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46237</v>
      </c>
      <c r="E533" s="1" t="n">
        <v>46310</v>
      </c>
      <c r="F533" t="inlineStr">
        <is>
          <t>GÄVLEBORGS LÄN</t>
        </is>
      </c>
      <c r="G533" t="inlineStr">
        <is>
          <t>SÖDERHAMN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45041</v>
      </c>
      <c r="E534" s="1" t="n">
        <v>46310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46310</v>
      </c>
      <c r="F535" t="inlineStr">
        <is>
          <t>GÄVLEBORGS LÄN</t>
        </is>
      </c>
      <c r="G535" t="inlineStr">
        <is>
          <t>SÖDERHAMN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50066-2023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45215</v>
      </c>
      <c r="E536" s="1" t="n">
        <v>46310</v>
      </c>
      <c r="F536" t="inlineStr">
        <is>
          <t>GÄVLEBORGS LÄN</t>
        </is>
      </c>
      <c r="G536" t="inlineStr">
        <is>
          <t>SÖDERHAMN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46007-2024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45580</v>
      </c>
      <c r="E537" s="1" t="n">
        <v>46310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46310</v>
      </c>
      <c r="F538" t="inlineStr">
        <is>
          <t>GÄVLEBORGS LÄN</t>
        </is>
      </c>
      <c r="G538" t="inlineStr">
        <is>
          <t>SÖDERHAMN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41650-2024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46310</v>
      </c>
      <c r="F539" t="inlineStr">
        <is>
          <t>GÄVLEBORGS LÄN</t>
        </is>
      </c>
      <c r="G539" t="inlineStr">
        <is>
          <t>SÖDERHAMN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29818-2023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45107</v>
      </c>
      <c r="E540" s="1" t="n">
        <v>46310</v>
      </c>
      <c r="F540" t="inlineStr">
        <is>
          <t>GÄVLEBORGS LÄN</t>
        </is>
      </c>
      <c r="G540" t="inlineStr">
        <is>
          <t>SÖDERHAMN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11075-2023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44992</v>
      </c>
      <c r="E541" s="1" t="n">
        <v>46310</v>
      </c>
      <c r="F541" t="inlineStr">
        <is>
          <t>GÄVLEBORGS LÄN</t>
        </is>
      </c>
      <c r="G541" t="inlineStr">
        <is>
          <t>SÖDERHAMN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30336-2022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44760</v>
      </c>
      <c r="E542" s="1" t="n">
        <v>46310</v>
      </c>
      <c r="F542" t="inlineStr">
        <is>
          <t>GÄVLEBORGS LÄN</t>
        </is>
      </c>
      <c r="G542" t="inlineStr">
        <is>
          <t>SÖDERHAMN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18913-2025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46310</v>
      </c>
      <c r="F543" t="inlineStr">
        <is>
          <t>GÄVLEBORGS LÄN</t>
        </is>
      </c>
      <c r="G543" t="inlineStr">
        <is>
          <t>SÖDERHAMN</t>
        </is>
      </c>
      <c r="H543" t="inlineStr">
        <is>
          <t>Kommuner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63932-2023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46310</v>
      </c>
      <c r="F544" t="inlineStr">
        <is>
          <t>GÄVLEBORGS LÄN</t>
        </is>
      </c>
      <c r="G544" t="inlineStr">
        <is>
          <t>SÖDERHAMN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23230-2024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45453</v>
      </c>
      <c r="E545" s="1" t="n">
        <v>46310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44739</v>
      </c>
      <c r="E546" s="1" t="n">
        <v>46310</v>
      </c>
      <c r="F546" t="inlineStr">
        <is>
          <t>GÄVLEBORGS LÄN</t>
        </is>
      </c>
      <c r="G546" t="inlineStr">
        <is>
          <t>SÖDERHAMN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44582</v>
      </c>
      <c r="E547" s="1" t="n">
        <v>46310</v>
      </c>
      <c r="F547" t="inlineStr">
        <is>
          <t>GÄVLEBORGS LÄN</t>
        </is>
      </c>
      <c r="G547" t="inlineStr">
        <is>
          <t>SÖDERHAMN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15454-2025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45747</v>
      </c>
      <c r="E548" s="1" t="n">
        <v>46310</v>
      </c>
      <c r="F548" t="inlineStr">
        <is>
          <t>GÄVLEBORGS LÄN</t>
        </is>
      </c>
      <c r="G548" t="inlineStr">
        <is>
          <t>SÖDERHAMN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46026</v>
      </c>
      <c r="E549" s="1" t="n">
        <v>46310</v>
      </c>
      <c r="F549" t="inlineStr">
        <is>
          <t>GÄVLEBORGS LÄN</t>
        </is>
      </c>
      <c r="G549" t="inlineStr">
        <is>
          <t>SÖDERHAMN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45544</v>
      </c>
      <c r="E550" s="1" t="n">
        <v>46310</v>
      </c>
      <c r="F550" t="inlineStr">
        <is>
          <t>GÄVLEBORGS LÄN</t>
        </is>
      </c>
      <c r="G550" t="inlineStr">
        <is>
          <t>SÖDERHAMN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26930-2023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45093</v>
      </c>
      <c r="E551" s="1" t="n">
        <v>46310</v>
      </c>
      <c r="F551" t="inlineStr">
        <is>
          <t>GÄVLEBORGS LÄN</t>
        </is>
      </c>
      <c r="G551" t="inlineStr">
        <is>
          <t>SÖDERHAMN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45722</v>
      </c>
      <c r="E552" s="1" t="n">
        <v>46310</v>
      </c>
      <c r="F552" t="inlineStr">
        <is>
          <t>GÄVLEBORGS LÄN</t>
        </is>
      </c>
      <c r="G552" t="inlineStr">
        <is>
          <t>SÖDERHAMN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4563-2023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44956</v>
      </c>
      <c r="E553" s="1" t="n">
        <v>46310</v>
      </c>
      <c r="F553" t="inlineStr">
        <is>
          <t>GÄVLEBORGS LÄN</t>
        </is>
      </c>
      <c r="G553" t="inlineStr">
        <is>
          <t>SÖDERHAMN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46310</v>
      </c>
      <c r="F554" t="inlineStr">
        <is>
          <t>GÄVLEBORGS LÄN</t>
        </is>
      </c>
      <c r="G554" t="inlineStr">
        <is>
          <t>SÖDERHAMN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59773-2024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45639</v>
      </c>
      <c r="E555" s="1" t="n">
        <v>46310</v>
      </c>
      <c r="F555" t="inlineStr">
        <is>
          <t>GÄVLEBORGS LÄN</t>
        </is>
      </c>
      <c r="G555" t="inlineStr">
        <is>
          <t>SÖDERHAMN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46310</v>
      </c>
      <c r="F556" t="inlineStr">
        <is>
          <t>GÄVLEBORGS LÄN</t>
        </is>
      </c>
      <c r="G556" t="inlineStr">
        <is>
          <t>SÖDERHAMN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46310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46310</v>
      </c>
      <c r="F558" t="inlineStr">
        <is>
          <t>GÄVLEBORGS LÄN</t>
        </is>
      </c>
      <c r="G558" t="inlineStr">
        <is>
          <t>SÖDERHAMN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46310</v>
      </c>
      <c r="F559" t="inlineStr">
        <is>
          <t>GÄVLEBORGS LÄN</t>
        </is>
      </c>
      <c r="G559" t="inlineStr">
        <is>
          <t>SÖDERHAMN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46293</v>
      </c>
      <c r="E560" s="1" t="n">
        <v>46310</v>
      </c>
      <c r="F560" t="inlineStr">
        <is>
          <t>GÄVLEBORGS LÄN</t>
        </is>
      </c>
      <c r="G560" t="inlineStr">
        <is>
          <t>SÖDERHAMN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40187-2026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46293</v>
      </c>
      <c r="E561" s="1" t="n">
        <v>46310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54007-2023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45231</v>
      </c>
      <c r="E562" s="1" t="n">
        <v>46310</v>
      </c>
      <c r="F562" t="inlineStr">
        <is>
          <t>GÄVLEBORGS LÄN</t>
        </is>
      </c>
      <c r="G562" t="inlineStr">
        <is>
          <t>SÖDERHAMN</t>
        </is>
      </c>
      <c r="H562" t="inlineStr">
        <is>
          <t>Kommuner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29979-2023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45108</v>
      </c>
      <c r="E563" s="1" t="n">
        <v>46310</v>
      </c>
      <c r="F563" t="inlineStr">
        <is>
          <t>GÄVLEBORGS LÄN</t>
        </is>
      </c>
      <c r="G563" t="inlineStr">
        <is>
          <t>SÖDERHAMN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28070-2024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46310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49786-2024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45597</v>
      </c>
      <c r="E565" s="1" t="n">
        <v>46310</v>
      </c>
      <c r="F565" t="inlineStr">
        <is>
          <t>GÄVLEBORGS LÄN</t>
        </is>
      </c>
      <c r="G565" t="inlineStr">
        <is>
          <t>SÖDERHAMN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46310</v>
      </c>
      <c r="F566" t="inlineStr">
        <is>
          <t>GÄVLEBORGS LÄN</t>
        </is>
      </c>
      <c r="G566" t="inlineStr">
        <is>
          <t>SÖDERHAMN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46310</v>
      </c>
      <c r="F567" t="inlineStr">
        <is>
          <t>GÄVLEBORGS LÄN</t>
        </is>
      </c>
      <c r="G567" t="inlineStr">
        <is>
          <t>SÖDERHAMN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19652-2024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45432</v>
      </c>
      <c r="E568" s="1" t="n">
        <v>46310</v>
      </c>
      <c r="F568" t="inlineStr">
        <is>
          <t>GÄVLEBORGS LÄN</t>
        </is>
      </c>
      <c r="G568" t="inlineStr">
        <is>
          <t>SÖDERHAMN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40577-2022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44823</v>
      </c>
      <c r="E569" s="1" t="n">
        <v>46310</v>
      </c>
      <c r="F569" t="inlineStr">
        <is>
          <t>GÄVLEBORGS LÄN</t>
        </is>
      </c>
      <c r="G569" t="inlineStr">
        <is>
          <t>SÖDERHAMN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46310</v>
      </c>
      <c r="F570" t="inlineStr">
        <is>
          <t>GÄVLEBORGS LÄN</t>
        </is>
      </c>
      <c r="G570" t="inlineStr">
        <is>
          <t>SÖDERHAMN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46310</v>
      </c>
      <c r="F571" t="inlineStr">
        <is>
          <t>GÄVLEBORGS LÄN</t>
        </is>
      </c>
      <c r="G571" t="inlineStr">
        <is>
          <t>SÖDERHAMN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40253-2026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46294</v>
      </c>
      <c r="E572" s="1" t="n">
        <v>46310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50809-2024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45602</v>
      </c>
      <c r="E573" s="1" t="n">
        <v>46310</v>
      </c>
      <c r="F573" t="inlineStr">
        <is>
          <t>GÄVLEBORGS LÄN</t>
        </is>
      </c>
      <c r="G573" t="inlineStr">
        <is>
          <t>SÖDERHAMN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40437-2026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46294</v>
      </c>
      <c r="E574" s="1" t="n">
        <v>46310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9.4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19536-2025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45770</v>
      </c>
      <c r="E575" s="1" t="n">
        <v>46310</v>
      </c>
      <c r="F575" t="inlineStr">
        <is>
          <t>GÄVLEBORGS LÄN</t>
        </is>
      </c>
      <c r="G575" t="inlineStr">
        <is>
          <t>SÖDERHAMN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29982-2023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45108</v>
      </c>
      <c r="E576" s="1" t="n">
        <v>46310</v>
      </c>
      <c r="F576" t="inlineStr">
        <is>
          <t>GÄVLEBORGS LÄN</t>
        </is>
      </c>
      <c r="G576" t="inlineStr">
        <is>
          <t>SÖDERHAMN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52519-2024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45609</v>
      </c>
      <c r="E577" s="1" t="n">
        <v>46310</v>
      </c>
      <c r="F577" t="inlineStr">
        <is>
          <t>GÄVLEBORGS LÄN</t>
        </is>
      </c>
      <c r="G577" t="inlineStr">
        <is>
          <t>SÖDERHAMN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46310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19782-2025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45771</v>
      </c>
      <c r="E579" s="1" t="n">
        <v>46310</v>
      </c>
      <c r="F579" t="inlineStr">
        <is>
          <t>GÄVLEBORGS LÄN</t>
        </is>
      </c>
      <c r="G579" t="inlineStr">
        <is>
          <t>SÖDERHAMN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46296</v>
      </c>
      <c r="E580" s="1" t="n">
        <v>46310</v>
      </c>
      <c r="F580" t="inlineStr">
        <is>
          <t>GÄVLEBORGS LÄN</t>
        </is>
      </c>
      <c r="G580" t="inlineStr">
        <is>
          <t>SÖDERHAMN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40818-2026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46296</v>
      </c>
      <c r="E581" s="1" t="n">
        <v>46310</v>
      </c>
      <c r="F581" t="inlineStr">
        <is>
          <t>GÄVLEBORGS LÄN</t>
        </is>
      </c>
      <c r="G581" t="inlineStr">
        <is>
          <t>SÖDERHAMN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48313-2024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45590</v>
      </c>
      <c r="E582" s="1" t="n">
        <v>46310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45705</v>
      </c>
      <c r="E583" s="1" t="n">
        <v>46310</v>
      </c>
      <c r="F583" t="inlineStr">
        <is>
          <t>GÄVLEBORGS LÄN</t>
        </is>
      </c>
      <c r="G583" t="inlineStr">
        <is>
          <t>SÖDERHAMN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46296</v>
      </c>
      <c r="E584" s="1" t="n">
        <v>46310</v>
      </c>
      <c r="F584" t="inlineStr">
        <is>
          <t>GÄVLEBORGS LÄN</t>
        </is>
      </c>
      <c r="G584" t="inlineStr">
        <is>
          <t>SÖDERHAMN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40781-2026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46310</v>
      </c>
      <c r="F585" t="inlineStr">
        <is>
          <t>GÄVLEBORGS LÄN</t>
        </is>
      </c>
      <c r="G585" t="inlineStr">
        <is>
          <t>SÖDERHAMN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46296</v>
      </c>
      <c r="E586" s="1" t="n">
        <v>46310</v>
      </c>
      <c r="F586" t="inlineStr">
        <is>
          <t>GÄVLEBORGS LÄN</t>
        </is>
      </c>
      <c r="G586" t="inlineStr">
        <is>
          <t>SÖDERHAMN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4497-2024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45327</v>
      </c>
      <c r="E587" s="1" t="n">
        <v>46310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46310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20456-2024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45435</v>
      </c>
      <c r="E589" s="1" t="n">
        <v>46310</v>
      </c>
      <c r="F589" t="inlineStr">
        <is>
          <t>GÄVLEBORGS LÄN</t>
        </is>
      </c>
      <c r="G589" t="inlineStr">
        <is>
          <t>SÖDERHAMN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46310</v>
      </c>
      <c r="F590" t="inlineStr">
        <is>
          <t>GÄVLEBORGS LÄN</t>
        </is>
      </c>
      <c r="G590" t="inlineStr">
        <is>
          <t>SÖDERHAMN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46310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46085</v>
      </c>
      <c r="E592" s="1" t="n">
        <v>46310</v>
      </c>
      <c r="F592" t="inlineStr">
        <is>
          <t>GÄVLEBORGS LÄN</t>
        </is>
      </c>
      <c r="G592" t="inlineStr">
        <is>
          <t>SÖDERHAMN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46310</v>
      </c>
      <c r="F593" t="inlineStr">
        <is>
          <t>GÄVLEBORGS LÄN</t>
        </is>
      </c>
      <c r="G593" t="inlineStr">
        <is>
          <t>SÖDERHAMN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41392-2026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46301</v>
      </c>
      <c r="E594" s="1" t="n">
        <v>46310</v>
      </c>
      <c r="F594" t="inlineStr">
        <is>
          <t>GÄVLEBORGS LÄN</t>
        </is>
      </c>
      <c r="G594" t="inlineStr">
        <is>
          <t>SÖDERHAMN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26042-2026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46177</v>
      </c>
      <c r="E595" s="1" t="n">
        <v>46310</v>
      </c>
      <c r="F595" t="inlineStr">
        <is>
          <t>GÄVLEBORGS LÄN</t>
        </is>
      </c>
      <c r="G595" t="inlineStr">
        <is>
          <t>SÖDERHAMN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46310</v>
      </c>
      <c r="F596" t="inlineStr">
        <is>
          <t>GÄVLEBORGS LÄN</t>
        </is>
      </c>
      <c r="G596" t="inlineStr">
        <is>
          <t>SÖDERHAMN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36204-2024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45534</v>
      </c>
      <c r="E597" s="1" t="n">
        <v>46310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48943-2024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45594</v>
      </c>
      <c r="E598" s="1" t="n">
        <v>46310</v>
      </c>
      <c r="F598" t="inlineStr">
        <is>
          <t>GÄVLEBORGS LÄN</t>
        </is>
      </c>
      <c r="G598" t="inlineStr">
        <is>
          <t>SÖDERHAMN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46310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46310</v>
      </c>
      <c r="F600" t="inlineStr">
        <is>
          <t>GÄVLEBORGS LÄN</t>
        </is>
      </c>
      <c r="G600" t="inlineStr">
        <is>
          <t>SÖDERHAMN</t>
        </is>
      </c>
      <c r="H600" t="inlineStr">
        <is>
          <t>Kommuner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46303</v>
      </c>
      <c r="E601" s="1" t="n">
        <v>46310</v>
      </c>
      <c r="F601" t="inlineStr">
        <is>
          <t>GÄVLEBORGS LÄN</t>
        </is>
      </c>
      <c r="G601" t="inlineStr">
        <is>
          <t>SÖDERHAMN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46218</v>
      </c>
      <c r="E602" s="1" t="n">
        <v>46310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18909-2025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46310</v>
      </c>
      <c r="F603" t="inlineStr">
        <is>
          <t>GÄVLEBORGS LÄN</t>
        </is>
      </c>
      <c r="G603" t="inlineStr">
        <is>
          <t>SÖDERHAMN</t>
        </is>
      </c>
      <c r="H603" t="inlineStr">
        <is>
          <t>Kommuner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46302</v>
      </c>
      <c r="E604" s="1" t="n">
        <v>46310</v>
      </c>
      <c r="F604" t="inlineStr">
        <is>
          <t>GÄVLEBORGS LÄN</t>
        </is>
      </c>
      <c r="G604" t="inlineStr">
        <is>
          <t>SÖDERHAMN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30928-2023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45113</v>
      </c>
      <c r="E605" s="1" t="n">
        <v>46310</v>
      </c>
      <c r="F605" t="inlineStr">
        <is>
          <t>GÄVLEBORGS LÄN</t>
        </is>
      </c>
      <c r="G605" t="inlineStr">
        <is>
          <t>SÖDERHAMN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46034</v>
      </c>
      <c r="E606" s="1" t="n">
        <v>46310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46310</v>
      </c>
      <c r="F607" t="inlineStr">
        <is>
          <t>GÄVLEBORGS LÄN</t>
        </is>
      </c>
      <c r="G607" t="inlineStr">
        <is>
          <t>SÖDERHAMN</t>
        </is>
      </c>
      <c r="H607" t="inlineStr">
        <is>
          <t>Övriga statliga verk och myndigheter</t>
        </is>
      </c>
      <c r="I607" t="n">
        <v>14.9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41870-2026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46303</v>
      </c>
      <c r="E608" s="1" t="n">
        <v>46310</v>
      </c>
      <c r="F608" t="inlineStr">
        <is>
          <t>GÄVLEBORGS LÄN</t>
        </is>
      </c>
      <c r="G608" t="inlineStr">
        <is>
          <t>SÖDERHAMN</t>
        </is>
      </c>
      <c r="H608" t="inlineStr">
        <is>
          <t>Kommuner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46034</v>
      </c>
      <c r="E609" s="1" t="n">
        <v>46310</v>
      </c>
      <c r="F609" t="inlineStr">
        <is>
          <t>GÄVLEBORGS LÄN</t>
        </is>
      </c>
      <c r="G609" t="inlineStr">
        <is>
          <t>SÖDERHAMN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46303</v>
      </c>
      <c r="E610" s="1" t="n">
        <v>46310</v>
      </c>
      <c r="F610" t="inlineStr">
        <is>
          <t>GÄVLEBORGS LÄN</t>
        </is>
      </c>
      <c r="G610" t="inlineStr">
        <is>
          <t>SÖDERHAMN</t>
        </is>
      </c>
      <c r="H610" t="inlineStr">
        <is>
          <t>Kommuner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50283-2024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45600</v>
      </c>
      <c r="E611" s="1" t="n">
        <v>46310</v>
      </c>
      <c r="F611" t="inlineStr">
        <is>
          <t>GÄVLEBORGS LÄN</t>
        </is>
      </c>
      <c r="G611" t="inlineStr">
        <is>
          <t>SÖDERHAMN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46310</v>
      </c>
      <c r="F612" t="inlineStr">
        <is>
          <t>GÄVLEBORGS LÄN</t>
        </is>
      </c>
      <c r="G612" t="inlineStr">
        <is>
          <t>SÖDERHAMN</t>
        </is>
      </c>
      <c r="H612" t="inlineStr">
        <is>
          <t>Övriga statliga verk och myndigheter</t>
        </is>
      </c>
      <c r="I612" t="n">
        <v>8.6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15881-2025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45749</v>
      </c>
      <c r="E613" s="1" t="n">
        <v>46310</v>
      </c>
      <c r="F613" t="inlineStr">
        <is>
          <t>GÄVLEBORGS LÄN</t>
        </is>
      </c>
      <c r="G613" t="inlineStr">
        <is>
          <t>SÖDERHAMN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21252-2025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45779</v>
      </c>
      <c r="E614" s="1" t="n">
        <v>46310</v>
      </c>
      <c r="F614" t="inlineStr">
        <is>
          <t>GÄVLEBORGS LÄN</t>
        </is>
      </c>
      <c r="G614" t="inlineStr">
        <is>
          <t>SÖDERHAMN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45544</v>
      </c>
      <c r="E615" s="1" t="n">
        <v>46310</v>
      </c>
      <c r="F615" t="inlineStr">
        <is>
          <t>GÄVLEBORGS LÄN</t>
        </is>
      </c>
      <c r="G615" t="inlineStr">
        <is>
          <t>SÖDERHAMN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47676-2024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45588</v>
      </c>
      <c r="E616" s="1" t="n">
        <v>46310</v>
      </c>
      <c r="F616" t="inlineStr">
        <is>
          <t>GÄVLEBORGS LÄN</t>
        </is>
      </c>
      <c r="G616" t="inlineStr">
        <is>
          <t>SÖDERHAMN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42162-2026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46304</v>
      </c>
      <c r="E617" s="1" t="n">
        <v>46310</v>
      </c>
      <c r="F617" t="inlineStr">
        <is>
          <t>GÄVLEBORGS LÄN</t>
        </is>
      </c>
      <c r="G617" t="inlineStr">
        <is>
          <t>SÖDERHAMN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46304</v>
      </c>
      <c r="E618" s="1" t="n">
        <v>46310</v>
      </c>
      <c r="F618" t="inlineStr">
        <is>
          <t>GÄVLEBORGS LÄN</t>
        </is>
      </c>
      <c r="G618" t="inlineStr">
        <is>
          <t>SÖDERHAMN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36059-2023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45149</v>
      </c>
      <c r="E619" s="1" t="n">
        <v>46310</v>
      </c>
      <c r="F619" t="inlineStr">
        <is>
          <t>GÄVLEBORGS LÄN</t>
        </is>
      </c>
      <c r="G619" t="inlineStr">
        <is>
          <t>SÖDERHAMN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18189-2024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45420</v>
      </c>
      <c r="E620" s="1" t="n">
        <v>46310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42762-2026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46309</v>
      </c>
      <c r="E621" s="1" t="n">
        <v>46310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36131-2026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46267</v>
      </c>
      <c r="E622" s="1" t="n">
        <v>46310</v>
      </c>
      <c r="F622" t="inlineStr">
        <is>
          <t>GÄVLEBORGS LÄN</t>
        </is>
      </c>
      <c r="G622" t="inlineStr">
        <is>
          <t>SÖDERHAMN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23265-2025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45791</v>
      </c>
      <c r="E623" s="1" t="n">
        <v>46310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23307-2025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45791</v>
      </c>
      <c r="E624" s="1" t="n">
        <v>46310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23332-2025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45791</v>
      </c>
      <c r="E625" s="1" t="n">
        <v>46310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15-2024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45293</v>
      </c>
      <c r="E626" s="1" t="n">
        <v>46310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17.7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168-2022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46310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56.6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170-2022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44566</v>
      </c>
      <c r="E628" s="1" t="n">
        <v>46310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87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175-2022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44566</v>
      </c>
      <c r="E629" s="1" t="n">
        <v>46310</v>
      </c>
      <c r="F629" t="inlineStr">
        <is>
          <t>GÄVLEBORGS LÄN</t>
        </is>
      </c>
      <c r="G629" t="inlineStr">
        <is>
          <t>SÖDERHAMN</t>
        </is>
      </c>
      <c r="H629" t="inlineStr">
        <is>
          <t>Bergvik skog väst AB</t>
        </is>
      </c>
      <c r="I629" t="n">
        <v>45.7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3155-2025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45973</v>
      </c>
      <c r="E630" s="1" t="n">
        <v>46310</v>
      </c>
      <c r="F630" t="inlineStr">
        <is>
          <t>GÄVLEBORGS LÄN</t>
        </is>
      </c>
      <c r="G630" t="inlineStr">
        <is>
          <t>SÖDERHAMN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2026-10-15T02:05:46Z</dcterms:created>
  <dcterms:modified xmlns:dcterms="http://purl.org/dc/terms/" xmlns:xsi="http://www.w3.org/2001/XMLSchema-instance" xsi:type="dcterms:W3CDTF">2026-10-15T02:05:47Z</dcterms:modified>
</cp:coreProperties>
</file>