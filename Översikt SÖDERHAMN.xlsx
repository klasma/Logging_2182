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46237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46237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46237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46237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46237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46237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46237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46237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46237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46237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25237-2022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44729</v>
      </c>
      <c r="E21" s="1" t="n">
        <v>46237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18.6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HYPERLINK("https://klasma.github.io/Logging_2182/artfynd/A 25237-2022 artfynd.xlsx", "A 25237-2022")</f>
        <v/>
      </c>
      <c r="X21">
        <f>HYPERLINK("https://klasma.github.io/Logging_2182/kartor/A 25237-2022 karta.png", "A 25237-2022")</f>
        <v/>
      </c>
      <c r="Y21">
        <f>HYPERLINK("https://klasma.github.io/Logging_2182/kartor_geotiff/A 25237-2022 georefererad karta.tif", "A 25237-2022")</f>
        <v/>
      </c>
      <c r="AA21">
        <f>HYPERLINK("https://klasma.github.io/Logging_2182/klagomål/A 25237-2022 FSC-klagomål.docx", "A 25237-2022")</f>
        <v/>
      </c>
      <c r="AB21">
        <f>HYPERLINK("https://klasma.github.io/Logging_2182/klagomålsmail/A 25237-2022 FSC-klagomål mail.docx", "A 25237-2022")</f>
        <v/>
      </c>
      <c r="AC21">
        <f>HYPERLINK("https://klasma.github.io/Logging_2182/tillsyn/A 25237-2022 tillsynsbegäran.docx", "A 25237-2022")</f>
        <v/>
      </c>
      <c r="AD21">
        <f>HYPERLINK("https://klasma.github.io/Logging_2182/tillsynsmail/A 25237-2022 tillsynsbegäran mail.docx", "A 25237-2022")</f>
        <v/>
      </c>
      <c r="AE21">
        <f>HYPERLINK("https://klasma.github.io/Logging_2182/fåglar/A 25237-2022 prioriterade fågelarter.docx", "A 25237-2022")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46237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46237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46237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46237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46237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46237</v>
      </c>
      <c r="F28" t="inlineStr">
        <is>
          <t>GÄVLEBORGS LÄN</t>
        </is>
      </c>
      <c r="G28" t="inlineStr">
        <is>
          <t>SÖDERHAMN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Fläcknycklar</t>
        </is>
      </c>
      <c r="W28">
        <f>HYPERLINK("https://klasma.github.io/Logging_2182/artfynd/A 2755-2022 artfynd.xlsx", "A 2755-2022")</f>
        <v/>
      </c>
      <c r="X28">
        <f>HYPERLINK("https://klasma.github.io/Logging_2182/kartor/A 2755-2022 karta.png", "A 2755-2022")</f>
        <v/>
      </c>
      <c r="Y28">
        <f>HYPERLINK("https://klasma.github.io/Logging_2182/kartor_geotiff/A 2755-2022 georefererad karta.tif", "A 2755-2022")</f>
        <v/>
      </c>
      <c r="AA28">
        <f>HYPERLINK("https://klasma.github.io/Logging_2182/klagomål/A 2755-2022 FSC-klagomål.docx", "A 2755-2022")</f>
        <v/>
      </c>
      <c r="AB28">
        <f>HYPERLINK("https://klasma.github.io/Logging_2182/klagomålsmail/A 2755-2022 FSC-klagomål mail.docx", "A 2755-2022")</f>
        <v/>
      </c>
      <c r="AC28">
        <f>HYPERLINK("https://klasma.github.io/Logging_2182/tillsyn/A 2755-2022 tillsynsbegäran.docx", "A 2755-2022")</f>
        <v/>
      </c>
      <c r="AD28">
        <f>HYPERLINK("https://klasma.github.io/Logging_2182/tillsynsmail/A 2755-2022 tillsynsbegäran mail.docx", "A 2755-2022")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46237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55768-2025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45972</v>
      </c>
      <c r="E30" s="1" t="n">
        <v>46237</v>
      </c>
      <c r="F30" t="inlineStr">
        <is>
          <t>GÄVLEBORGS LÄN</t>
        </is>
      </c>
      <c r="G30" t="inlineStr">
        <is>
          <t>SÖDERHAMN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Sydlig ladlav</t>
        </is>
      </c>
      <c r="W30">
        <f>HYPERLINK("https://klasma.github.io/Logging_2182/artfynd/A 55768-2025 artfynd.xlsx", "A 55768-2025")</f>
        <v/>
      </c>
      <c r="X30">
        <f>HYPERLINK("https://klasma.github.io/Logging_2182/kartor/A 55768-2025 karta.png", "A 55768-2025")</f>
        <v/>
      </c>
      <c r="Y30">
        <f>HYPERLINK("https://klasma.github.io/Logging_2182/kartor_geotiff/A 55768-2025 georefererad karta.tif", "A 55768-2025")</f>
        <v/>
      </c>
      <c r="AA30">
        <f>HYPERLINK("https://klasma.github.io/Logging_2182/klagomål/A 55768-2025 FSC-klagomål.docx", "A 55768-2025")</f>
        <v/>
      </c>
      <c r="AB30">
        <f>HYPERLINK("https://klasma.github.io/Logging_2182/klagomålsmail/A 55768-2025 FSC-klagomål mail.docx", "A 55768-2025")</f>
        <v/>
      </c>
      <c r="AC30">
        <f>HYPERLINK("https://klasma.github.io/Logging_2182/tillsyn/A 55768-2025 tillsynsbegäran.docx", "A 55768-2025")</f>
        <v/>
      </c>
      <c r="AD30">
        <f>HYPERLINK("https://klasma.github.io/Logging_2182/tillsynsmail/A 55768-2025 tillsynsbegäran mail.docx", "A 55768-2025")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46237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46237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46237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58074-2024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46237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Doftskinn</t>
        </is>
      </c>
      <c r="W34">
        <f>HYPERLINK("https://klasma.github.io/Logging_2182/artfynd/A 58074-2024 artfynd.xlsx", "A 58074-2024")</f>
        <v/>
      </c>
      <c r="X34">
        <f>HYPERLINK("https://klasma.github.io/Logging_2182/kartor/A 58074-2024 karta.png", "A 58074-2024")</f>
        <v/>
      </c>
      <c r="Y34">
        <f>HYPERLINK("https://klasma.github.io/Logging_2182/kartor_geotiff/A 58074-2024 georefererad karta.tif", "A 58074-2024")</f>
        <v/>
      </c>
      <c r="AA34">
        <f>HYPERLINK("https://klasma.github.io/Logging_2182/klagomål/A 58074-2024 FSC-klagomål.docx", "A 58074-2024")</f>
        <v/>
      </c>
      <c r="AB34">
        <f>HYPERLINK("https://klasma.github.io/Logging_2182/klagomålsmail/A 58074-2024 FSC-klagomål mail.docx", "A 58074-2024")</f>
        <v/>
      </c>
      <c r="AC34">
        <f>HYPERLINK("https://klasma.github.io/Logging_2182/tillsyn/A 58074-2024 tillsynsbegäran.docx", "A 58074-2024")</f>
        <v/>
      </c>
      <c r="AD34">
        <f>HYPERLINK("https://klasma.github.io/Logging_2182/tillsynsmail/A 58074-2024 tillsynsbegäran mail.docx", "A 58074-2024")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46237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46237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46237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54608-2024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46237</v>
      </c>
      <c r="F38" t="inlineStr">
        <is>
          <t>GÄVLEBORGS LÄN</t>
        </is>
      </c>
      <c r="G38" t="inlineStr">
        <is>
          <t>SÖDERHAMN</t>
        </is>
      </c>
      <c r="I38" t="n">
        <v>2.9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HYPERLINK("https://klasma.github.io/Logging_2182/artfynd/A 54608-2024 artfynd.xlsx", "A 54608-2024")</f>
        <v/>
      </c>
      <c r="X38">
        <f>HYPERLINK("https://klasma.github.io/Logging_2182/kartor/A 54608-2024 karta.png", "A 54608-2024")</f>
        <v/>
      </c>
      <c r="Y38">
        <f>HYPERLINK("https://klasma.github.io/Logging_2182/kartor_geotiff/A 54608-2024 georefererad karta.tif", "A 54608-2024")</f>
        <v/>
      </c>
      <c r="AA38">
        <f>HYPERLINK("https://klasma.github.io/Logging_2182/klagomål/A 54608-2024 FSC-klagomål.docx", "A 54608-2024")</f>
        <v/>
      </c>
      <c r="AB38">
        <f>HYPERLINK("https://klasma.github.io/Logging_2182/klagomålsmail/A 54608-2024 FSC-klagomål mail.docx", "A 54608-2024")</f>
        <v/>
      </c>
      <c r="AC38">
        <f>HYPERLINK("https://klasma.github.io/Logging_2182/tillsyn/A 54608-2024 tillsynsbegäran.docx", "A 54608-2024")</f>
        <v/>
      </c>
      <c r="AD38">
        <f>HYPERLINK("https://klasma.github.io/Logging_2182/tillsynsmail/A 54608-2024 tillsynsbegäran mail.docx", "A 54608-2024")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46237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46237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46237</v>
      </c>
      <c r="F41" t="inlineStr">
        <is>
          <t>GÄVLEBORGS LÄN</t>
        </is>
      </c>
      <c r="G41" t="inlineStr">
        <is>
          <t>SÖDERHAMN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Barkticka</t>
        </is>
      </c>
      <c r="W41">
        <f>HYPERLINK("https://klasma.github.io/Logging_2182/artfynd/A 6060-2026 artfynd.xlsx", "A 6060-2026")</f>
        <v/>
      </c>
      <c r="X41">
        <f>HYPERLINK("https://klasma.github.io/Logging_2182/kartor/A 6060-2026 karta.png", "A 6060-2026")</f>
        <v/>
      </c>
      <c r="Y41">
        <f>HYPERLINK("https://klasma.github.io/Logging_2182/kartor_geotiff/A 6060-2026 georefererad karta.tif", "A 6060-2026")</f>
        <v/>
      </c>
      <c r="AA41">
        <f>HYPERLINK("https://klasma.github.io/Logging_2182/klagomål/A 6060-2026 FSC-klagomål.docx", "A 6060-2026")</f>
        <v/>
      </c>
      <c r="AB41">
        <f>HYPERLINK("https://klasma.github.io/Logging_2182/klagomålsmail/A 6060-2026 FSC-klagomål mail.docx", "A 6060-2026")</f>
        <v/>
      </c>
      <c r="AC41">
        <f>HYPERLINK("https://klasma.github.io/Logging_2182/tillsyn/A 6060-2026 tillsynsbegäran.docx", "A 6060-2026")</f>
        <v/>
      </c>
      <c r="AD41">
        <f>HYPERLINK("https://klasma.github.io/Logging_2182/tillsynsmail/A 6060-2026 tillsynsbegäran mail.docx", "A 6060-2026")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46237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40097-2024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46237</v>
      </c>
      <c r="F43" t="inlineStr">
        <is>
          <t>GÄVLEBORGS LÄN</t>
        </is>
      </c>
      <c r="G43" t="inlineStr">
        <is>
          <t>SÖDERHAMN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40097-2024 artfynd.xlsx", "A 40097-2024")</f>
        <v/>
      </c>
      <c r="X43">
        <f>HYPERLINK("https://klasma.github.io/Logging_2182/kartor/A 40097-2024 karta.png", "A 40097-2024")</f>
        <v/>
      </c>
      <c r="Y43">
        <f>HYPERLINK("https://klasma.github.io/Logging_2182/kartor_geotiff/A 40097-2024 georefererad karta.tif", "A 40097-2024")</f>
        <v/>
      </c>
      <c r="AA43">
        <f>HYPERLINK("https://klasma.github.io/Logging_2182/klagomål/A 40097-2024 FSC-klagomål.docx", "A 40097-2024")</f>
        <v/>
      </c>
      <c r="AB43">
        <f>HYPERLINK("https://klasma.github.io/Logging_2182/klagomålsmail/A 40097-2024 FSC-klagomål mail.docx", "A 40097-2024")</f>
        <v/>
      </c>
      <c r="AC43">
        <f>HYPERLINK("https://klasma.github.io/Logging_2182/tillsyn/A 40097-2024 tillsynsbegäran.docx", "A 40097-2024")</f>
        <v/>
      </c>
      <c r="AD43">
        <f>HYPERLINK("https://klasma.github.io/Logging_2182/tillsynsmail/A 40097-2024 tillsynsbegäran mail.docx", "A 40097-2024")</f>
        <v/>
      </c>
    </row>
    <row r="44" ht="15" customHeight="1">
      <c r="A44" t="inlineStr">
        <is>
          <t>A 58077-2024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46237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Motaggsvamp</t>
        </is>
      </c>
      <c r="W44">
        <f>HYPERLINK("https://klasma.github.io/Logging_2182/artfynd/A 58077-2024 artfynd.xlsx", "A 58077-2024")</f>
        <v/>
      </c>
      <c r="X44">
        <f>HYPERLINK("https://klasma.github.io/Logging_2182/kartor/A 58077-2024 karta.png", "A 58077-2024")</f>
        <v/>
      </c>
      <c r="Y44">
        <f>HYPERLINK("https://klasma.github.io/Logging_2182/kartor_geotiff/A 58077-2024 georefererad karta.tif", "A 58077-2024")</f>
        <v/>
      </c>
      <c r="AA44">
        <f>HYPERLINK("https://klasma.github.io/Logging_2182/klagomål/A 58077-2024 FSC-klagomål.docx", "A 58077-2024")</f>
        <v/>
      </c>
      <c r="AB44">
        <f>HYPERLINK("https://klasma.github.io/Logging_2182/klagomålsmail/A 58077-2024 FSC-klagomål mail.docx", "A 58077-2024")</f>
        <v/>
      </c>
      <c r="AC44">
        <f>HYPERLINK("https://klasma.github.io/Logging_2182/tillsyn/A 58077-2024 tillsynsbegäran.docx", "A 58077-2024")</f>
        <v/>
      </c>
      <c r="AD44">
        <f>HYPERLINK("https://klasma.github.io/Logging_2182/tillsynsmail/A 58077-2024 tillsynsbegäran mail.docx", "A 58077-2024")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46237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43682-2024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45569</v>
      </c>
      <c r="E46" s="1" t="n">
        <v>46237</v>
      </c>
      <c r="F46" t="inlineStr">
        <is>
          <t>GÄVLEBORGS LÄN</t>
        </is>
      </c>
      <c r="G46" t="inlineStr">
        <is>
          <t>SÖDERHAMN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Garnlav</t>
        </is>
      </c>
      <c r="W46">
        <f>HYPERLINK("https://klasma.github.io/Logging_2182/artfynd/A 43682-2024 artfynd.xlsx", "A 43682-2024")</f>
        <v/>
      </c>
      <c r="X46">
        <f>HYPERLINK("https://klasma.github.io/Logging_2182/kartor/A 43682-2024 karta.png", "A 43682-2024")</f>
        <v/>
      </c>
      <c r="Y46">
        <f>HYPERLINK("https://klasma.github.io/Logging_2182/kartor_geotiff/A 43682-2024 georefererad karta.tif", "A 43682-2024")</f>
        <v/>
      </c>
      <c r="AA46">
        <f>HYPERLINK("https://klasma.github.io/Logging_2182/klagomål/A 43682-2024 FSC-klagomål.docx", "A 43682-2024")</f>
        <v/>
      </c>
      <c r="AB46">
        <f>HYPERLINK("https://klasma.github.io/Logging_2182/klagomålsmail/A 43682-2024 FSC-klagomål mail.docx", "A 43682-2024")</f>
        <v/>
      </c>
      <c r="AC46">
        <f>HYPERLINK("https://klasma.github.io/Logging_2182/tillsyn/A 43682-2024 tillsynsbegäran.docx", "A 43682-2024")</f>
        <v/>
      </c>
      <c r="AD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46237</v>
      </c>
      <c r="F47" t="inlineStr">
        <is>
          <t>GÄVLEBORGS LÄN</t>
        </is>
      </c>
      <c r="G47" t="inlineStr">
        <is>
          <t>SÖDERHAMN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Brunfläckig pärlemorfjäril</t>
        </is>
      </c>
      <c r="W47">
        <f>HYPERLINK("https://klasma.github.io/Logging_2182/artfynd/A 21316-2024 artfynd.xlsx", "A 21316-2024")</f>
        <v/>
      </c>
      <c r="X47">
        <f>HYPERLINK("https://klasma.github.io/Logging_2182/kartor/A 21316-2024 karta.png", "A 21316-2024")</f>
        <v/>
      </c>
      <c r="Y47">
        <f>HYPERLINK("https://klasma.github.io/Logging_2182/kartor_geotiff/A 21316-2024 georefererad karta.tif", "A 21316-2024")</f>
        <v/>
      </c>
      <c r="AA47">
        <f>HYPERLINK("https://klasma.github.io/Logging_2182/klagomål/A 21316-2024 FSC-klagomål.docx", "A 21316-2024")</f>
        <v/>
      </c>
      <c r="AB47">
        <f>HYPERLINK("https://klasma.github.io/Logging_2182/klagomålsmail/A 21316-2024 FSC-klagomål mail.docx", "A 21316-2024")</f>
        <v/>
      </c>
      <c r="AC47">
        <f>HYPERLINK("https://klasma.github.io/Logging_2182/tillsyn/A 21316-2024 tillsynsbegäran.docx", "A 21316-2024")</f>
        <v/>
      </c>
      <c r="AD47">
        <f>HYPERLINK("https://klasma.github.io/Logging_2182/tillsynsmail/A 21316-2024 tillsynsbegäran mail.docx", "A 21316-2024")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46237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46237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46237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46237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46237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46237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46237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46237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46237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46237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46237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46237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46237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46237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46237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46237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46237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46237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46237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46237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46237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46237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46237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46237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46237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46237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46237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46237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46237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46237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46237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46237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15877-2025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45749</v>
      </c>
      <c r="E81" s="1" t="n">
        <v>46237</v>
      </c>
      <c r="F81" t="inlineStr">
        <is>
          <t>GÄVLEBORGS LÄN</t>
        </is>
      </c>
      <c r="G81" t="inlineStr">
        <is>
          <t>SÖDERHAMN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46237</v>
      </c>
      <c r="F82" t="inlineStr">
        <is>
          <t>GÄVLEBORGS LÄN</t>
        </is>
      </c>
      <c r="G82" t="inlineStr">
        <is>
          <t>SÖDERHAMN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46237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46237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46237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46237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46237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45279</v>
      </c>
      <c r="E88" s="1" t="n">
        <v>46237</v>
      </c>
      <c r="F88" t="inlineStr">
        <is>
          <t>GÄVLEBORGS LÄN</t>
        </is>
      </c>
      <c r="G88" t="inlineStr">
        <is>
          <t>SÖDERHAMN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46237</v>
      </c>
      <c r="F89" t="inlineStr">
        <is>
          <t>GÄVLEBORGS LÄN</t>
        </is>
      </c>
      <c r="G89" t="inlineStr">
        <is>
          <t>SÖDERHAMN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46237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46237</v>
      </c>
      <c r="F91" t="inlineStr">
        <is>
          <t>GÄVLEBORGS LÄN</t>
        </is>
      </c>
      <c r="G91" t="inlineStr">
        <is>
          <t>SÖDERHAMN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46237</v>
      </c>
      <c r="F92" t="inlineStr">
        <is>
          <t>GÄVLEBORGS LÄN</t>
        </is>
      </c>
      <c r="G92" t="inlineStr">
        <is>
          <t>SÖDERHAMN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46237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46237</v>
      </c>
      <c r="F94" t="inlineStr">
        <is>
          <t>GÄVLEBORGS LÄN</t>
        </is>
      </c>
      <c r="G94" t="inlineStr">
        <is>
          <t>SÖDERHAMN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46237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46237</v>
      </c>
      <c r="F96" t="inlineStr">
        <is>
          <t>GÄVLEBORGS LÄN</t>
        </is>
      </c>
      <c r="G96" t="inlineStr">
        <is>
          <t>SÖDERHAMN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46237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46237</v>
      </c>
      <c r="F98" t="inlineStr">
        <is>
          <t>GÄVLEBORGS LÄN</t>
        </is>
      </c>
      <c r="G98" t="inlineStr">
        <is>
          <t>SÖDERHAMN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46237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46237</v>
      </c>
      <c r="F100" t="inlineStr">
        <is>
          <t>GÄVLEBORGS LÄN</t>
        </is>
      </c>
      <c r="G100" t="inlineStr">
        <is>
          <t>SÖDERHAMN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46237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46237</v>
      </c>
      <c r="F102" t="inlineStr">
        <is>
          <t>GÄVLEBORGS LÄN</t>
        </is>
      </c>
      <c r="G102" t="inlineStr">
        <is>
          <t>SÖDERHAMN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46237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46237</v>
      </c>
      <c r="F104" t="inlineStr">
        <is>
          <t>GÄVLEBORGS LÄN</t>
        </is>
      </c>
      <c r="G104" t="inlineStr">
        <is>
          <t>SÖDERHAMN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46237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45327</v>
      </c>
      <c r="E106" s="1" t="n">
        <v>46237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46237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46237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45775</v>
      </c>
      <c r="E109" s="1" t="n">
        <v>46237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6792-2024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45342</v>
      </c>
      <c r="E110" s="1" t="n">
        <v>46237</v>
      </c>
      <c r="F110" t="inlineStr">
        <is>
          <t>GÄVLEBORGS LÄN</t>
        </is>
      </c>
      <c r="G110" t="inlineStr">
        <is>
          <t>SÖDERHAMN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46237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46237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46237</v>
      </c>
      <c r="F113" t="inlineStr">
        <is>
          <t>GÄVLEBORGS LÄN</t>
        </is>
      </c>
      <c r="G113" t="inlineStr">
        <is>
          <t>SÖDERHAMN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46237</v>
      </c>
      <c r="F114" t="inlineStr">
        <is>
          <t>GÄVLEBORGS LÄN</t>
        </is>
      </c>
      <c r="G114" t="inlineStr">
        <is>
          <t>SÖDERHAMN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46237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46237</v>
      </c>
      <c r="F116" t="inlineStr">
        <is>
          <t>GÄVLEBORGS LÄN</t>
        </is>
      </c>
      <c r="G116" t="inlineStr">
        <is>
          <t>SÖDERHAMN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46237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46237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46237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46237</v>
      </c>
      <c r="F120" t="inlineStr">
        <is>
          <t>GÄVLEBORGS LÄN</t>
        </is>
      </c>
      <c r="G120" t="inlineStr">
        <is>
          <t>SÖDERHAMN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46237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46237</v>
      </c>
      <c r="F122" t="inlineStr">
        <is>
          <t>GÄVLEBORGS LÄN</t>
        </is>
      </c>
      <c r="G122" t="inlineStr">
        <is>
          <t>SÖDERHAMN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46237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44665</v>
      </c>
      <c r="E124" s="1" t="n">
        <v>46237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46237</v>
      </c>
      <c r="F125" t="inlineStr">
        <is>
          <t>GÄVLEBORGS LÄN</t>
        </is>
      </c>
      <c r="G125" t="inlineStr">
        <is>
          <t>SÖDERHAMN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46237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46237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46237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46237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46237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46237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46237</v>
      </c>
      <c r="F132" t="inlineStr">
        <is>
          <t>GÄVLEBORGS LÄN</t>
        </is>
      </c>
      <c r="G132" t="inlineStr">
        <is>
          <t>SÖDERHAMN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46237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46237</v>
      </c>
      <c r="F134" t="inlineStr">
        <is>
          <t>GÄVLEBORGS LÄN</t>
        </is>
      </c>
      <c r="G134" t="inlineStr">
        <is>
          <t>SÖDERHAMN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46237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45108</v>
      </c>
      <c r="E136" s="1" t="n">
        <v>46237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46237</v>
      </c>
      <c r="F137" t="inlineStr">
        <is>
          <t>GÄVLEBORGS LÄN</t>
        </is>
      </c>
      <c r="G137" t="inlineStr">
        <is>
          <t>SÖDERHAMN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46237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46237</v>
      </c>
      <c r="F139" t="inlineStr">
        <is>
          <t>GÄVLEBORGS LÄN</t>
        </is>
      </c>
      <c r="G139" t="inlineStr">
        <is>
          <t>SÖDERHAMN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44582</v>
      </c>
      <c r="E140" s="1" t="n">
        <v>46237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46237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46237</v>
      </c>
      <c r="F142" t="inlineStr">
        <is>
          <t>GÄVLEBORGS LÄN</t>
        </is>
      </c>
      <c r="G142" t="inlineStr">
        <is>
          <t>SÖDERHAMN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44937</v>
      </c>
      <c r="E143" s="1" t="n">
        <v>46237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46237</v>
      </c>
      <c r="F144" t="inlineStr">
        <is>
          <t>GÄVLEBORGS LÄN</t>
        </is>
      </c>
      <c r="G144" t="inlineStr">
        <is>
          <t>SÖDERHAMN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46237</v>
      </c>
      <c r="F145" t="inlineStr">
        <is>
          <t>GÄVLEBORGS LÄN</t>
        </is>
      </c>
      <c r="G145" t="inlineStr">
        <is>
          <t>SÖDERHAMN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46237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46237</v>
      </c>
      <c r="F147" t="inlineStr">
        <is>
          <t>GÄVLEBORGS LÄN</t>
        </is>
      </c>
      <c r="G147" t="inlineStr">
        <is>
          <t>SÖDERHAMN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45899</v>
      </c>
      <c r="E148" s="1" t="n">
        <v>46237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46237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46237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46237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46237</v>
      </c>
      <c r="F152" t="inlineStr">
        <is>
          <t>GÄVLEBORGS LÄN</t>
        </is>
      </c>
      <c r="G152" t="inlineStr">
        <is>
          <t>SÖDERHAMN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46237</v>
      </c>
      <c r="F153" t="inlineStr">
        <is>
          <t>GÄVLEBORGS LÄN</t>
        </is>
      </c>
      <c r="G153" t="inlineStr">
        <is>
          <t>SÖDERHAMN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46237</v>
      </c>
      <c r="F154" t="inlineStr">
        <is>
          <t>GÄVLEBORGS LÄN</t>
        </is>
      </c>
      <c r="G154" t="inlineStr">
        <is>
          <t>SÖDERHAMN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46237</v>
      </c>
      <c r="F155" t="inlineStr">
        <is>
          <t>GÄVLEBORGS LÄN</t>
        </is>
      </c>
      <c r="G155" t="inlineStr">
        <is>
          <t>SÖDERHAMN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46237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46237</v>
      </c>
      <c r="F157" t="inlineStr">
        <is>
          <t>GÄVLEBORGS LÄN</t>
        </is>
      </c>
      <c r="G157" t="inlineStr">
        <is>
          <t>SÖDERHAMN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46237</v>
      </c>
      <c r="F158" t="inlineStr">
        <is>
          <t>GÄVLEBORGS LÄN</t>
        </is>
      </c>
      <c r="G158" t="inlineStr">
        <is>
          <t>SÖDERHAMN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46237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46237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46237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46237</v>
      </c>
      <c r="F162" t="inlineStr">
        <is>
          <t>GÄVLEBORGS LÄN</t>
        </is>
      </c>
      <c r="G162" t="inlineStr">
        <is>
          <t>SÖDERHAMN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46237</v>
      </c>
      <c r="F163" t="inlineStr">
        <is>
          <t>GÄVLEBORGS LÄN</t>
        </is>
      </c>
      <c r="G163" t="inlineStr">
        <is>
          <t>SÖDERHAMN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46237</v>
      </c>
      <c r="F164" t="inlineStr">
        <is>
          <t>GÄVLEBORGS LÄN</t>
        </is>
      </c>
      <c r="G164" t="inlineStr">
        <is>
          <t>SÖDERHAMN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46237</v>
      </c>
      <c r="F165" t="inlineStr">
        <is>
          <t>GÄVLEBORGS LÄN</t>
        </is>
      </c>
      <c r="G165" t="inlineStr">
        <is>
          <t>SÖDERHAMN</t>
        </is>
      </c>
      <c r="H165" t="inlineStr">
        <is>
          <t>Kommuner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46237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46237</v>
      </c>
      <c r="F167" t="inlineStr">
        <is>
          <t>GÄVLEBORGS LÄN</t>
        </is>
      </c>
      <c r="G167" t="inlineStr">
        <is>
          <t>SÖDERHAMN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34752-2024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45526</v>
      </c>
      <c r="E168" s="1" t="n">
        <v>46237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46237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46237</v>
      </c>
      <c r="F170" t="inlineStr">
        <is>
          <t>GÄVLEBORGS LÄN</t>
        </is>
      </c>
      <c r="G170" t="inlineStr">
        <is>
          <t>SÖDERHAMN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46237</v>
      </c>
      <c r="F171" t="inlineStr">
        <is>
          <t>GÄVLEBORGS LÄN</t>
        </is>
      </c>
      <c r="G171" t="inlineStr">
        <is>
          <t>SÖDERHAMN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46237</v>
      </c>
      <c r="F172" t="inlineStr">
        <is>
          <t>GÄVLEBORGS LÄN</t>
        </is>
      </c>
      <c r="G172" t="inlineStr">
        <is>
          <t>SÖDERHAMN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46237</v>
      </c>
      <c r="F173" t="inlineStr">
        <is>
          <t>GÄVLEBORGS LÄN</t>
        </is>
      </c>
      <c r="G173" t="inlineStr">
        <is>
          <t>SÖDERHAMN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46237</v>
      </c>
      <c r="F174" t="inlineStr">
        <is>
          <t>GÄVLEBORGS LÄN</t>
        </is>
      </c>
      <c r="G174" t="inlineStr">
        <is>
          <t>SÖDERHAMN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46237</v>
      </c>
      <c r="F175" t="inlineStr">
        <is>
          <t>GÄVLEBORGS LÄN</t>
        </is>
      </c>
      <c r="G175" t="inlineStr">
        <is>
          <t>SÖDERHAMN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46237</v>
      </c>
      <c r="F176" t="inlineStr">
        <is>
          <t>GÄVLEBORGS LÄN</t>
        </is>
      </c>
      <c r="G176" t="inlineStr">
        <is>
          <t>SÖDERHAMN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46237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46237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46237</v>
      </c>
      <c r="F179" t="inlineStr">
        <is>
          <t>GÄVLEBORGS LÄN</t>
        </is>
      </c>
      <c r="G179" t="inlineStr">
        <is>
          <t>SÖDERHAMN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46139</v>
      </c>
      <c r="E180" s="1" t="n">
        <v>46237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46237</v>
      </c>
      <c r="F181" t="inlineStr">
        <is>
          <t>GÄVLEBORGS LÄN</t>
        </is>
      </c>
      <c r="G181" t="inlineStr">
        <is>
          <t>SÖDERHAMN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46237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46237</v>
      </c>
      <c r="F183" t="inlineStr">
        <is>
          <t>GÄVLEBORGS LÄN</t>
        </is>
      </c>
      <c r="G183" t="inlineStr">
        <is>
          <t>SÖDERHAMN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46237</v>
      </c>
      <c r="F184" t="inlineStr">
        <is>
          <t>GÄVLEBORGS LÄN</t>
        </is>
      </c>
      <c r="G184" t="inlineStr">
        <is>
          <t>SÖDERHAMN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46237</v>
      </c>
      <c r="F185" t="inlineStr">
        <is>
          <t>GÄVLEBORGS LÄN</t>
        </is>
      </c>
      <c r="G185" t="inlineStr">
        <is>
          <t>SÖDERHAMN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46098</v>
      </c>
      <c r="E186" s="1" t="n">
        <v>46237</v>
      </c>
      <c r="F186" t="inlineStr">
        <is>
          <t>GÄVLEBORGS LÄN</t>
        </is>
      </c>
      <c r="G186" t="inlineStr">
        <is>
          <t>SÖDERHAMN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46237</v>
      </c>
      <c r="F187" t="inlineStr">
        <is>
          <t>GÄVLEBORGS LÄN</t>
        </is>
      </c>
      <c r="G187" t="inlineStr">
        <is>
          <t>SÖDERHAMN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44956</v>
      </c>
      <c r="E188" s="1" t="n">
        <v>46237</v>
      </c>
      <c r="F188" t="inlineStr">
        <is>
          <t>GÄVLEBORGS LÄN</t>
        </is>
      </c>
      <c r="G188" t="inlineStr">
        <is>
          <t>SÖDERHAMN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46237</v>
      </c>
      <c r="F189" t="inlineStr">
        <is>
          <t>GÄVLEBORGS LÄN</t>
        </is>
      </c>
      <c r="G189" t="inlineStr">
        <is>
          <t>SÖDERHAMN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45574</v>
      </c>
      <c r="E190" s="1" t="n">
        <v>46237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46237</v>
      </c>
      <c r="F191" t="inlineStr">
        <is>
          <t>GÄVLEBORGS LÄN</t>
        </is>
      </c>
      <c r="G191" t="inlineStr">
        <is>
          <t>SÖDERHAMN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45609</v>
      </c>
      <c r="E192" s="1" t="n">
        <v>46237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45609</v>
      </c>
      <c r="E193" s="1" t="n">
        <v>46237</v>
      </c>
      <c r="F193" t="inlineStr">
        <is>
          <t>GÄVLEBORGS LÄN</t>
        </is>
      </c>
      <c r="G193" t="inlineStr">
        <is>
          <t>SÖDERHAMN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46237</v>
      </c>
      <c r="F194" t="inlineStr">
        <is>
          <t>GÄVLEBORGS LÄN</t>
        </is>
      </c>
      <c r="G194" t="inlineStr">
        <is>
          <t>SÖDERHAMN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46237</v>
      </c>
      <c r="F195" t="inlineStr">
        <is>
          <t>GÄVLEBORGS LÄN</t>
        </is>
      </c>
      <c r="G195" t="inlineStr">
        <is>
          <t>SÖDERHAMN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45621</v>
      </c>
      <c r="E196" s="1" t="n">
        <v>46237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46237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46237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46237</v>
      </c>
      <c r="F199" t="inlineStr">
        <is>
          <t>GÄVLEBORGS LÄN</t>
        </is>
      </c>
      <c r="G199" t="inlineStr">
        <is>
          <t>SÖDERHAMN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46024</v>
      </c>
      <c r="E200" s="1" t="n">
        <v>46237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51273-2021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44460</v>
      </c>
      <c r="E201" s="1" t="n">
        <v>46237</v>
      </c>
      <c r="F201" t="inlineStr">
        <is>
          <t>GÄVLEBORGS LÄN</t>
        </is>
      </c>
      <c r="G201" t="inlineStr">
        <is>
          <t>SÖDERHAMN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46237</v>
      </c>
      <c r="F202" t="inlineStr">
        <is>
          <t>GÄVLEBORGS LÄN</t>
        </is>
      </c>
      <c r="G202" t="inlineStr">
        <is>
          <t>SÖDERHAMN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46237</v>
      </c>
      <c r="F203" t="inlineStr">
        <is>
          <t>GÄVLEBORGS LÄN</t>
        </is>
      </c>
      <c r="G203" t="inlineStr">
        <is>
          <t>SÖDERHAMN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46237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45972</v>
      </c>
      <c r="E205" s="1" t="n">
        <v>46237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46237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46237</v>
      </c>
      <c r="F207" t="inlineStr">
        <is>
          <t>GÄVLEBORGS LÄN</t>
        </is>
      </c>
      <c r="G207" t="inlineStr">
        <is>
          <t>SÖDERHAMN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46147</v>
      </c>
      <c r="E208" s="1" t="n">
        <v>46237</v>
      </c>
      <c r="F208" t="inlineStr">
        <is>
          <t>GÄVLEBORGS LÄN</t>
        </is>
      </c>
      <c r="G208" t="inlineStr">
        <is>
          <t>SÖDERHAMN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46237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46237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46237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46237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46237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46237</v>
      </c>
      <c r="F214" t="inlineStr">
        <is>
          <t>GÄVLEBORGS LÄN</t>
        </is>
      </c>
      <c r="G214" t="inlineStr">
        <is>
          <t>SÖDERHAMN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71645-2021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46237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46237</v>
      </c>
      <c r="F216" t="inlineStr">
        <is>
          <t>GÄVLEBORGS LÄN</t>
        </is>
      </c>
      <c r="G216" t="inlineStr">
        <is>
          <t>SÖDERHAMN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46148</v>
      </c>
      <c r="E217" s="1" t="n">
        <v>46237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46237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46237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46237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46237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46237</v>
      </c>
      <c r="F222" t="inlineStr">
        <is>
          <t>GÄVLEBORGS LÄN</t>
        </is>
      </c>
      <c r="G222" t="inlineStr">
        <is>
          <t>SÖDERHAMN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46237</v>
      </c>
      <c r="F223" t="inlineStr">
        <is>
          <t>GÄVLEBORGS LÄN</t>
        </is>
      </c>
      <c r="G223" t="inlineStr">
        <is>
          <t>SÖDERHAMN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46237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46237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46237</v>
      </c>
      <c r="F226" t="inlineStr">
        <is>
          <t>GÄVLEBORGS LÄN</t>
        </is>
      </c>
      <c r="G226" t="inlineStr">
        <is>
          <t>SÖDERHAMN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46237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46237</v>
      </c>
      <c r="F228" t="inlineStr">
        <is>
          <t>GÄVLEBORGS LÄN</t>
        </is>
      </c>
      <c r="G228" t="inlineStr">
        <is>
          <t>SÖDERHAMN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46237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46237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46237</v>
      </c>
      <c r="F231" t="inlineStr">
        <is>
          <t>GÄVLEBORGS LÄN</t>
        </is>
      </c>
      <c r="G231" t="inlineStr">
        <is>
          <t>SÖDERHAMN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46237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46237</v>
      </c>
      <c r="F233" t="inlineStr">
        <is>
          <t>GÄVLEBORGS LÄN</t>
        </is>
      </c>
      <c r="G233" t="inlineStr">
        <is>
          <t>SÖDERHAMN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46237</v>
      </c>
      <c r="F234" t="inlineStr">
        <is>
          <t>GÄVLEBORGS LÄN</t>
        </is>
      </c>
      <c r="G234" t="inlineStr">
        <is>
          <t>SÖDERHAMN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46237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46237</v>
      </c>
      <c r="F236" t="inlineStr">
        <is>
          <t>GÄVLEBORGS LÄN</t>
        </is>
      </c>
      <c r="G236" t="inlineStr">
        <is>
          <t>SÖDERHAMN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44795</v>
      </c>
      <c r="E237" s="1" t="n">
        <v>46237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46237</v>
      </c>
      <c r="F238" t="inlineStr">
        <is>
          <t>GÄVLEBORGS LÄN</t>
        </is>
      </c>
      <c r="G238" t="inlineStr">
        <is>
          <t>SÖDERHAMN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46237</v>
      </c>
      <c r="F239" t="inlineStr">
        <is>
          <t>GÄVLEBORGS LÄN</t>
        </is>
      </c>
      <c r="G239" t="inlineStr">
        <is>
          <t>SÖDERHAMN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46237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46237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46237</v>
      </c>
      <c r="F242" t="inlineStr">
        <is>
          <t>GÄVLEBORGS LÄN</t>
        </is>
      </c>
      <c r="G242" t="inlineStr">
        <is>
          <t>SÖDERHAMN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46237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46237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46237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46237</v>
      </c>
      <c r="F246" t="inlineStr">
        <is>
          <t>GÄVLEBORGS LÄN</t>
        </is>
      </c>
      <c r="G246" t="inlineStr">
        <is>
          <t>SÖDERHAMN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46237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46237</v>
      </c>
      <c r="F248" t="inlineStr">
        <is>
          <t>GÄVLEBORGS LÄN</t>
        </is>
      </c>
      <c r="G248" t="inlineStr">
        <is>
          <t>SÖDERHAMN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46237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46237</v>
      </c>
      <c r="F250" t="inlineStr">
        <is>
          <t>GÄVLEBORGS LÄN</t>
        </is>
      </c>
      <c r="G250" t="inlineStr">
        <is>
          <t>SÖDERHAMN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45722</v>
      </c>
      <c r="E251" s="1" t="n">
        <v>46237</v>
      </c>
      <c r="F251" t="inlineStr">
        <is>
          <t>GÄVLEBORGS LÄN</t>
        </is>
      </c>
      <c r="G251" t="inlineStr">
        <is>
          <t>SÖDERHAMN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46237</v>
      </c>
      <c r="F252" t="inlineStr">
        <is>
          <t>GÄVLEBORGS LÄN</t>
        </is>
      </c>
      <c r="G252" t="inlineStr">
        <is>
          <t>SÖDERHAMN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46237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46237</v>
      </c>
      <c r="F254" t="inlineStr">
        <is>
          <t>GÄVLEBORGS LÄN</t>
        </is>
      </c>
      <c r="G254" t="inlineStr">
        <is>
          <t>SÖDERHAMN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46237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46237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46237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57500-2023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45246</v>
      </c>
      <c r="E258" s="1" t="n">
        <v>46237</v>
      </c>
      <c r="F258" t="inlineStr">
        <is>
          <t>GÄVLEBORGS LÄN</t>
        </is>
      </c>
      <c r="G258" t="inlineStr">
        <is>
          <t>SÖDERHAMN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46237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46237</v>
      </c>
      <c r="F260" t="inlineStr">
        <is>
          <t>GÄVLEBORGS LÄN</t>
        </is>
      </c>
      <c r="G260" t="inlineStr">
        <is>
          <t>SÖDERHAMN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46237</v>
      </c>
      <c r="F261" t="inlineStr">
        <is>
          <t>GÄVLEBORGS LÄN</t>
        </is>
      </c>
      <c r="G261" t="inlineStr">
        <is>
          <t>SÖDERHAMN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46237</v>
      </c>
      <c r="F262" t="inlineStr">
        <is>
          <t>GÄVLEBORGS LÄN</t>
        </is>
      </c>
      <c r="G262" t="inlineStr">
        <is>
          <t>SÖDERHAMN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46237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55711-2025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45972</v>
      </c>
      <c r="E264" s="1" t="n">
        <v>46237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46237</v>
      </c>
      <c r="F265" t="inlineStr">
        <is>
          <t>GÄVLEBORGS LÄN</t>
        </is>
      </c>
      <c r="G265" t="inlineStr">
        <is>
          <t>SÖDERHAMN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46237</v>
      </c>
      <c r="F266" t="inlineStr">
        <is>
          <t>GÄVLEBORGS LÄN</t>
        </is>
      </c>
      <c r="G266" t="inlineStr">
        <is>
          <t>SÖDERHAMN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46237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46237</v>
      </c>
      <c r="F268" t="inlineStr">
        <is>
          <t>GÄVLEBORGS LÄN</t>
        </is>
      </c>
      <c r="G268" t="inlineStr">
        <is>
          <t>SÖDERHAMN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46237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46157</v>
      </c>
      <c r="E270" s="1" t="n">
        <v>46237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46237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46237</v>
      </c>
      <c r="F272" t="inlineStr">
        <is>
          <t>GÄVLEBORGS LÄN</t>
        </is>
      </c>
      <c r="G272" t="inlineStr">
        <is>
          <t>SÖDERHAMN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44824</v>
      </c>
      <c r="E273" s="1" t="n">
        <v>46237</v>
      </c>
      <c r="F273" t="inlineStr">
        <is>
          <t>GÄVLEBORGS LÄN</t>
        </is>
      </c>
      <c r="G273" t="inlineStr">
        <is>
          <t>SÖDERHAMN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46237</v>
      </c>
      <c r="F274" t="inlineStr">
        <is>
          <t>GÄVLEBORGS LÄN</t>
        </is>
      </c>
      <c r="G274" t="inlineStr">
        <is>
          <t>SÖDERHAMN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46237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46237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46237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46157</v>
      </c>
      <c r="E278" s="1" t="n">
        <v>46237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22726-2026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46157</v>
      </c>
      <c r="E279" s="1" t="n">
        <v>46237</v>
      </c>
      <c r="F279" t="inlineStr">
        <is>
          <t>GÄVLEBORGS LÄN</t>
        </is>
      </c>
      <c r="G279" t="inlineStr">
        <is>
          <t>SÖDERHAMN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46237</v>
      </c>
      <c r="F280" t="inlineStr">
        <is>
          <t>GÄVLEBORGS LÄN</t>
        </is>
      </c>
      <c r="G280" t="inlineStr">
        <is>
          <t>SÖDERHAMN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46157</v>
      </c>
      <c r="E281" s="1" t="n">
        <v>46237</v>
      </c>
      <c r="F281" t="inlineStr">
        <is>
          <t>GÄVLEBORGS LÄN</t>
        </is>
      </c>
      <c r="G281" t="inlineStr">
        <is>
          <t>SÖDERHAMN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46237</v>
      </c>
      <c r="F282" t="inlineStr">
        <is>
          <t>GÄVLEBORGS LÄN</t>
        </is>
      </c>
      <c r="G282" t="inlineStr">
        <is>
          <t>SÖDERHAMN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46237</v>
      </c>
      <c r="F283" t="inlineStr">
        <is>
          <t>GÄVLEBORGS LÄN</t>
        </is>
      </c>
      <c r="G283" t="inlineStr">
        <is>
          <t>SÖDERHAMN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46237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46237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46237</v>
      </c>
      <c r="F286" t="inlineStr">
        <is>
          <t>GÄVLEBORGS LÄN</t>
        </is>
      </c>
      <c r="G286" t="inlineStr">
        <is>
          <t>SÖDERHAMN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46237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46237</v>
      </c>
      <c r="F288" t="inlineStr">
        <is>
          <t>GÄVLEBORGS LÄN</t>
        </is>
      </c>
      <c r="G288" t="inlineStr">
        <is>
          <t>SÖDERHAMN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46237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46237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46237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40736-2021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44420</v>
      </c>
      <c r="E292" s="1" t="n">
        <v>46237</v>
      </c>
      <c r="F292" t="inlineStr">
        <is>
          <t>GÄVLEBORGS LÄN</t>
        </is>
      </c>
      <c r="G292" t="inlineStr">
        <is>
          <t>SÖDERHAMN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46237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46162</v>
      </c>
      <c r="E294" s="1" t="n">
        <v>46237</v>
      </c>
      <c r="F294" t="inlineStr">
        <is>
          <t>GÄVLEBORGS LÄN</t>
        </is>
      </c>
      <c r="G294" t="inlineStr">
        <is>
          <t>SÖDERHAMN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46237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46237</v>
      </c>
      <c r="F296" t="inlineStr">
        <is>
          <t>GÄVLEBORGS LÄN</t>
        </is>
      </c>
      <c r="G296" t="inlineStr">
        <is>
          <t>SÖDERHAMN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46237</v>
      </c>
      <c r="F297" t="inlineStr">
        <is>
          <t>GÄVLEBORGS LÄN</t>
        </is>
      </c>
      <c r="G297" t="inlineStr">
        <is>
          <t>SÖDERHAMN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46237</v>
      </c>
      <c r="F298" t="inlineStr">
        <is>
          <t>GÄVLEBORGS LÄN</t>
        </is>
      </c>
      <c r="G298" t="inlineStr">
        <is>
          <t>SÖDERHAMN</t>
        </is>
      </c>
      <c r="H298" t="inlineStr">
        <is>
          <t>Kommuner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46237</v>
      </c>
      <c r="F299" t="inlineStr">
        <is>
          <t>GÄVLEBORGS LÄN</t>
        </is>
      </c>
      <c r="G299" t="inlineStr">
        <is>
          <t>SÖDERHAMN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46237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46237</v>
      </c>
      <c r="F301" t="inlineStr">
        <is>
          <t>GÄVLEBORGS LÄN</t>
        </is>
      </c>
      <c r="G301" t="inlineStr">
        <is>
          <t>SÖDERHAMN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46237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46237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46237</v>
      </c>
      <c r="F304" t="inlineStr">
        <is>
          <t>GÄVLEBORGS LÄN</t>
        </is>
      </c>
      <c r="G304" t="inlineStr">
        <is>
          <t>SÖDERHAMN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46237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46237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46237</v>
      </c>
      <c r="F307" t="inlineStr">
        <is>
          <t>GÄVLEBORGS LÄN</t>
        </is>
      </c>
      <c r="G307" t="inlineStr">
        <is>
          <t>SÖDERHAMN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44760</v>
      </c>
      <c r="E308" s="1" t="n">
        <v>46237</v>
      </c>
      <c r="F308" t="inlineStr">
        <is>
          <t>GÄVLEBORGS LÄN</t>
        </is>
      </c>
      <c r="G308" t="inlineStr">
        <is>
          <t>SÖDERHAMN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46237</v>
      </c>
      <c r="F309" t="inlineStr">
        <is>
          <t>GÄVLEBORGS LÄN</t>
        </is>
      </c>
      <c r="G309" t="inlineStr">
        <is>
          <t>SÖDERHAMN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46237</v>
      </c>
      <c r="F310" t="inlineStr">
        <is>
          <t>GÄVLEBORGS LÄN</t>
        </is>
      </c>
      <c r="G310" t="inlineStr">
        <is>
          <t>SÖDERHAMN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46237</v>
      </c>
      <c r="F311" t="inlineStr">
        <is>
          <t>GÄVLEBORGS LÄN</t>
        </is>
      </c>
      <c r="G311" t="inlineStr">
        <is>
          <t>SÖDERHAMN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46237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56933-2024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46237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46237</v>
      </c>
      <c r="F314" t="inlineStr">
        <is>
          <t>GÄVLEBORGS LÄN</t>
        </is>
      </c>
      <c r="G314" t="inlineStr">
        <is>
          <t>SÖDERHAMN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46237</v>
      </c>
      <c r="F315" t="inlineStr">
        <is>
          <t>GÄVLEBORGS LÄN</t>
        </is>
      </c>
      <c r="G315" t="inlineStr">
        <is>
          <t>SÖDERHAMN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46237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46237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46237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46237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46237</v>
      </c>
      <c r="F320" t="inlineStr">
        <is>
          <t>GÄVLEBORGS LÄN</t>
        </is>
      </c>
      <c r="G320" t="inlineStr">
        <is>
          <t>SÖDERHAMN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46237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46237</v>
      </c>
      <c r="F322" t="inlineStr">
        <is>
          <t>GÄVLEBORGS LÄN</t>
        </is>
      </c>
      <c r="G322" t="inlineStr">
        <is>
          <t>SÖDERHAMN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46237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46207</v>
      </c>
      <c r="E324" s="1" t="n">
        <v>46237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46237</v>
      </c>
      <c r="F325" t="inlineStr">
        <is>
          <t>GÄVLEBORGS LÄN</t>
        </is>
      </c>
      <c r="G325" t="inlineStr">
        <is>
          <t>SÖDERHAMN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46237</v>
      </c>
      <c r="F326" t="inlineStr">
        <is>
          <t>GÄVLEBORGS LÄN</t>
        </is>
      </c>
      <c r="G326" t="inlineStr">
        <is>
          <t>SÖDERHAMN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46237</v>
      </c>
      <c r="F327" t="inlineStr">
        <is>
          <t>GÄVLEBORGS LÄN</t>
        </is>
      </c>
      <c r="G327" t="inlineStr">
        <is>
          <t>SÖDERHAMN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46237</v>
      </c>
      <c r="F328" t="inlineStr">
        <is>
          <t>GÄVLEBORGS LÄN</t>
        </is>
      </c>
      <c r="G328" t="inlineStr">
        <is>
          <t>SÖDERHAMN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46237</v>
      </c>
      <c r="F329" t="inlineStr">
        <is>
          <t>GÄVLEBORGS LÄN</t>
        </is>
      </c>
      <c r="G329" t="inlineStr">
        <is>
          <t>SÖDERHAMN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46237</v>
      </c>
      <c r="F330" t="inlineStr">
        <is>
          <t>GÄVLEBORGS LÄN</t>
        </is>
      </c>
      <c r="G330" t="inlineStr">
        <is>
          <t>SÖDERHAMN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46165</v>
      </c>
      <c r="E331" s="1" t="n">
        <v>46237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46237</v>
      </c>
      <c r="F332" t="inlineStr">
        <is>
          <t>GÄVLEBORGS LÄN</t>
        </is>
      </c>
      <c r="G332" t="inlineStr">
        <is>
          <t>SÖDERHAMN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46237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46237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46237</v>
      </c>
      <c r="F335" t="inlineStr">
        <is>
          <t>GÄVLEBORGS LÄN</t>
        </is>
      </c>
      <c r="G335" t="inlineStr">
        <is>
          <t>SÖDERHAMN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61416-2025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46001</v>
      </c>
      <c r="E336" s="1" t="n">
        <v>46237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46237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46237</v>
      </c>
      <c r="F338" t="inlineStr">
        <is>
          <t>GÄVLEBORGS LÄN</t>
        </is>
      </c>
      <c r="G338" t="inlineStr">
        <is>
          <t>SÖDERHAMN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46237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46237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46237</v>
      </c>
      <c r="F341" t="inlineStr">
        <is>
          <t>GÄVLEBORGS LÄN</t>
        </is>
      </c>
      <c r="G341" t="inlineStr">
        <is>
          <t>SÖDERHAMN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45636</v>
      </c>
      <c r="E342" s="1" t="n">
        <v>46237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58544-2023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45251</v>
      </c>
      <c r="E343" s="1" t="n">
        <v>46237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46237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46237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11075-2023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44992</v>
      </c>
      <c r="E346" s="1" t="n">
        <v>46237</v>
      </c>
      <c r="F346" t="inlineStr">
        <is>
          <t>GÄVLEBORGS LÄN</t>
        </is>
      </c>
      <c r="G346" t="inlineStr">
        <is>
          <t>SÖDERHAMN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46211</v>
      </c>
      <c r="E347" s="1" t="n">
        <v>46237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44907</v>
      </c>
      <c r="E348" s="1" t="n">
        <v>46237</v>
      </c>
      <c r="F348" t="inlineStr">
        <is>
          <t>GÄVLEBORGS LÄN</t>
        </is>
      </c>
      <c r="G348" t="inlineStr">
        <is>
          <t>SÖDERHAMN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46237</v>
      </c>
      <c r="F349" t="inlineStr">
        <is>
          <t>GÄVLEBORGS LÄN</t>
        </is>
      </c>
      <c r="G349" t="inlineStr">
        <is>
          <t>SÖDERHAMN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46237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46237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46212</v>
      </c>
      <c r="E352" s="1" t="n">
        <v>46237</v>
      </c>
      <c r="F352" t="inlineStr">
        <is>
          <t>GÄVLEBORGS LÄN</t>
        </is>
      </c>
      <c r="G352" t="inlineStr">
        <is>
          <t>SÖDERHAMN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46212</v>
      </c>
      <c r="E353" s="1" t="n">
        <v>46237</v>
      </c>
      <c r="F353" t="inlineStr">
        <is>
          <t>GÄVLEBORGS LÄN</t>
        </is>
      </c>
      <c r="G353" t="inlineStr">
        <is>
          <t>SÖDERHAMN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46237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46237</v>
      </c>
      <c r="F355" t="inlineStr">
        <is>
          <t>GÄVLEBORGS LÄN</t>
        </is>
      </c>
      <c r="G355" t="inlineStr">
        <is>
          <t>SÖDERHAMN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45098</v>
      </c>
      <c r="E356" s="1" t="n">
        <v>46237</v>
      </c>
      <c r="F356" t="inlineStr">
        <is>
          <t>GÄVLEBORGS LÄN</t>
        </is>
      </c>
      <c r="G356" t="inlineStr">
        <is>
          <t>SÖDERHAMN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46237</v>
      </c>
      <c r="F357" t="inlineStr">
        <is>
          <t>GÄVLEBORGS LÄN</t>
        </is>
      </c>
      <c r="G357" t="inlineStr">
        <is>
          <t>SÖDERHAMN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41221-2022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44826</v>
      </c>
      <c r="E358" s="1" t="n">
        <v>46237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24766-2023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45084</v>
      </c>
      <c r="E359" s="1" t="n">
        <v>46237</v>
      </c>
      <c r="F359" t="inlineStr">
        <is>
          <t>GÄVLEBORGS LÄN</t>
        </is>
      </c>
      <c r="G359" t="inlineStr">
        <is>
          <t>SÖDERHAMN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46237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45580</v>
      </c>
      <c r="E361" s="1" t="n">
        <v>46237</v>
      </c>
      <c r="F361" t="inlineStr">
        <is>
          <t>GÄVLEBORGS LÄN</t>
        </is>
      </c>
      <c r="G361" t="inlineStr">
        <is>
          <t>SÖDERHAMN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46237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46237</v>
      </c>
      <c r="F363" t="inlineStr">
        <is>
          <t>GÄVLEBORGS LÄN</t>
        </is>
      </c>
      <c r="G363" t="inlineStr">
        <is>
          <t>SÖDERHAMN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46237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46237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46026</v>
      </c>
      <c r="E366" s="1" t="n">
        <v>46237</v>
      </c>
      <c r="F366" t="inlineStr">
        <is>
          <t>GÄVLEBORGS LÄN</t>
        </is>
      </c>
      <c r="G366" t="inlineStr">
        <is>
          <t>SÖDERHAMN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46026</v>
      </c>
      <c r="E367" s="1" t="n">
        <v>46237</v>
      </c>
      <c r="F367" t="inlineStr">
        <is>
          <t>GÄVLEBORGS LÄN</t>
        </is>
      </c>
      <c r="G367" t="inlineStr">
        <is>
          <t>SÖDERHAMN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46026</v>
      </c>
      <c r="E368" s="1" t="n">
        <v>46237</v>
      </c>
      <c r="F368" t="inlineStr">
        <is>
          <t>GÄVLEBORGS LÄN</t>
        </is>
      </c>
      <c r="G368" t="inlineStr">
        <is>
          <t>SÖDERHAMN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46237</v>
      </c>
      <c r="F369" t="inlineStr">
        <is>
          <t>GÄVLEBORGS LÄN</t>
        </is>
      </c>
      <c r="G369" t="inlineStr">
        <is>
          <t>SÖDERHAMN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46218</v>
      </c>
      <c r="E370" s="1" t="n">
        <v>46237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46026</v>
      </c>
      <c r="E371" s="1" t="n">
        <v>46237</v>
      </c>
      <c r="F371" t="inlineStr">
        <is>
          <t>GÄVLEBORGS LÄN</t>
        </is>
      </c>
      <c r="G371" t="inlineStr">
        <is>
          <t>SÖDERHAMN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46237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46237</v>
      </c>
      <c r="F373" t="inlineStr">
        <is>
          <t>GÄVLEBORGS LÄN</t>
        </is>
      </c>
      <c r="G373" t="inlineStr">
        <is>
          <t>SÖDERHAMN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46237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46237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46237</v>
      </c>
      <c r="F376" t="inlineStr">
        <is>
          <t>GÄVLEBORGS LÄN</t>
        </is>
      </c>
      <c r="G376" t="inlineStr">
        <is>
          <t>SÖDERHAMN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46237</v>
      </c>
      <c r="F377" t="inlineStr">
        <is>
          <t>GÄVLEBORGS LÄN</t>
        </is>
      </c>
      <c r="G377" t="inlineStr">
        <is>
          <t>SÖDERHAMN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46237</v>
      </c>
      <c r="F378" t="inlineStr">
        <is>
          <t>GÄVLEBORGS LÄN</t>
        </is>
      </c>
      <c r="G378" t="inlineStr">
        <is>
          <t>SÖDERHAMN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46237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46024</v>
      </c>
      <c r="E380" s="1" t="n">
        <v>46237</v>
      </c>
      <c r="F380" t="inlineStr">
        <is>
          <t>GÄVLEBORGS LÄN</t>
        </is>
      </c>
      <c r="G380" t="inlineStr">
        <is>
          <t>SÖDERHAMN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46237</v>
      </c>
      <c r="F381" t="inlineStr">
        <is>
          <t>GÄVLEBORGS LÄN</t>
        </is>
      </c>
      <c r="G381" t="inlineStr">
        <is>
          <t>SÖDERHAMN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46237</v>
      </c>
      <c r="F382" t="inlineStr">
        <is>
          <t>GÄVLEBORGS LÄN</t>
        </is>
      </c>
      <c r="G382" t="inlineStr">
        <is>
          <t>SÖDERHAMN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46237</v>
      </c>
      <c r="F383" t="inlineStr">
        <is>
          <t>GÄVLEBORGS LÄN</t>
        </is>
      </c>
      <c r="G383" t="inlineStr">
        <is>
          <t>SÖDERHAMN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46237</v>
      </c>
      <c r="F384" t="inlineStr">
        <is>
          <t>GÄVLEBORGS LÄN</t>
        </is>
      </c>
      <c r="G384" t="inlineStr">
        <is>
          <t>SÖDERHAMN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46237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45707</v>
      </c>
      <c r="E386" s="1" t="n">
        <v>46237</v>
      </c>
      <c r="F386" t="inlineStr">
        <is>
          <t>GÄVLEBORGS LÄN</t>
        </is>
      </c>
      <c r="G386" t="inlineStr">
        <is>
          <t>SÖDERHAMN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46237</v>
      </c>
      <c r="F387" t="inlineStr">
        <is>
          <t>GÄVLEBORGS LÄN</t>
        </is>
      </c>
      <c r="G387" t="inlineStr">
        <is>
          <t>SÖDERHAMN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46237</v>
      </c>
      <c r="F388" t="inlineStr">
        <is>
          <t>GÄVLEBORGS LÄN</t>
        </is>
      </c>
      <c r="G388" t="inlineStr">
        <is>
          <t>SÖDERHAMN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46237</v>
      </c>
      <c r="F389" t="inlineStr">
        <is>
          <t>GÄVLEBORGS LÄN</t>
        </is>
      </c>
      <c r="G389" t="inlineStr">
        <is>
          <t>SÖDERHAMN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46237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46237</v>
      </c>
      <c r="F391" t="inlineStr">
        <is>
          <t>GÄVLEBORGS LÄN</t>
        </is>
      </c>
      <c r="G391" t="inlineStr">
        <is>
          <t>SÖDERHAMN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45600</v>
      </c>
      <c r="E392" s="1" t="n">
        <v>46237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46237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46237</v>
      </c>
      <c r="F394" t="inlineStr">
        <is>
          <t>GÄVLEBORGS LÄN</t>
        </is>
      </c>
      <c r="G394" t="inlineStr">
        <is>
          <t>SÖDERHAMN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45108</v>
      </c>
      <c r="E395" s="1" t="n">
        <v>46237</v>
      </c>
      <c r="F395" t="inlineStr">
        <is>
          <t>GÄVLEBORGS LÄN</t>
        </is>
      </c>
      <c r="G395" t="inlineStr">
        <is>
          <t>SÖDERHAMN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46237</v>
      </c>
      <c r="F396" t="inlineStr">
        <is>
          <t>GÄVLEBORGS LÄN</t>
        </is>
      </c>
      <c r="G396" t="inlineStr">
        <is>
          <t>SÖDERHAMN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46237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46237</v>
      </c>
      <c r="F398" t="inlineStr">
        <is>
          <t>GÄVLEBORGS LÄN</t>
        </is>
      </c>
      <c r="G398" t="inlineStr">
        <is>
          <t>SÖDERHAMN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46237</v>
      </c>
      <c r="F399" t="inlineStr">
        <is>
          <t>GÄVLEBORGS LÄN</t>
        </is>
      </c>
      <c r="G399" t="inlineStr">
        <is>
          <t>SÖDERHAMN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46237</v>
      </c>
      <c r="F400" t="inlineStr">
        <is>
          <t>GÄVLEBORGS LÄN</t>
        </is>
      </c>
      <c r="G400" t="inlineStr">
        <is>
          <t>SÖDERHAMN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46237</v>
      </c>
      <c r="F401" t="inlineStr">
        <is>
          <t>GÄVLEBORGS LÄN</t>
        </is>
      </c>
      <c r="G401" t="inlineStr">
        <is>
          <t>SÖDERHAMN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46237</v>
      </c>
      <c r="F402" t="inlineStr">
        <is>
          <t>GÄVLEBORGS LÄN</t>
        </is>
      </c>
      <c r="G402" t="inlineStr">
        <is>
          <t>SÖDERHAMN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46237</v>
      </c>
      <c r="F403" t="inlineStr">
        <is>
          <t>GÄVLEBORGS LÄN</t>
        </is>
      </c>
      <c r="G403" t="inlineStr">
        <is>
          <t>SÖDERHAMN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46237</v>
      </c>
      <c r="F404" t="inlineStr">
        <is>
          <t>GÄVLEBORGS LÄN</t>
        </is>
      </c>
      <c r="G404" t="inlineStr">
        <is>
          <t>SÖDERHAMN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46219</v>
      </c>
      <c r="E405" s="1" t="n">
        <v>46237</v>
      </c>
      <c r="F405" t="inlineStr">
        <is>
          <t>GÄVLEBORGS LÄN</t>
        </is>
      </c>
      <c r="G405" t="inlineStr">
        <is>
          <t>SÖDERHAMN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45028</v>
      </c>
      <c r="E406" s="1" t="n">
        <v>46237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46237</v>
      </c>
      <c r="F407" t="inlineStr">
        <is>
          <t>GÄVLEBORGS LÄN</t>
        </is>
      </c>
      <c r="G407" t="inlineStr">
        <is>
          <t>SÖDERHAMN</t>
        </is>
      </c>
      <c r="I407" t="n">
        <v>20.9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46237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46237</v>
      </c>
      <c r="F409" t="inlineStr">
        <is>
          <t>GÄVLEBORGS LÄN</t>
        </is>
      </c>
      <c r="G409" t="inlineStr">
        <is>
          <t>SÖDERHAMN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46237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46219</v>
      </c>
      <c r="E411" s="1" t="n">
        <v>46237</v>
      </c>
      <c r="F411" t="inlineStr">
        <is>
          <t>GÄVLEBORGS LÄN</t>
        </is>
      </c>
      <c r="G411" t="inlineStr">
        <is>
          <t>SÖDERHAMN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46219</v>
      </c>
      <c r="E412" s="1" t="n">
        <v>46237</v>
      </c>
      <c r="F412" t="inlineStr">
        <is>
          <t>GÄVLEBORGS LÄN</t>
        </is>
      </c>
      <c r="G412" t="inlineStr">
        <is>
          <t>SÖDERHAMN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24933-2024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45461</v>
      </c>
      <c r="E413" s="1" t="n">
        <v>46237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46237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46237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46237</v>
      </c>
      <c r="F416" t="inlineStr">
        <is>
          <t>GÄVLEBORGS LÄN</t>
        </is>
      </c>
      <c r="G416" t="inlineStr">
        <is>
          <t>SÖDERHAMN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45595</v>
      </c>
      <c r="E417" s="1" t="n">
        <v>46237</v>
      </c>
      <c r="F417" t="inlineStr">
        <is>
          <t>GÄVLEBORGS LÄN</t>
        </is>
      </c>
      <c r="G417" t="inlineStr">
        <is>
          <t>SÖDERHAMN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46237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46223</v>
      </c>
      <c r="E419" s="1" t="n">
        <v>46237</v>
      </c>
      <c r="F419" t="inlineStr">
        <is>
          <t>GÄVLEBORGS LÄN</t>
        </is>
      </c>
      <c r="G419" t="inlineStr">
        <is>
          <t>SÖDERHAMN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44938</v>
      </c>
      <c r="E420" s="1" t="n">
        <v>46237</v>
      </c>
      <c r="F420" t="inlineStr">
        <is>
          <t>GÄVLEBORGS LÄN</t>
        </is>
      </c>
      <c r="G420" t="inlineStr">
        <is>
          <t>SÖDERHAMN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46237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46237</v>
      </c>
      <c r="F422" t="inlineStr">
        <is>
          <t>GÄVLEBORGS LÄN</t>
        </is>
      </c>
      <c r="G422" t="inlineStr">
        <is>
          <t>SÖDERHAMN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46237</v>
      </c>
      <c r="F423" t="inlineStr">
        <is>
          <t>GÄVLEBORGS LÄN</t>
        </is>
      </c>
      <c r="G423" t="inlineStr">
        <is>
          <t>SÖDERHAMN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18140-2023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46237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46237</v>
      </c>
      <c r="F425" t="inlineStr">
        <is>
          <t>GÄVLEBORGS LÄN</t>
        </is>
      </c>
      <c r="G425" t="inlineStr">
        <is>
          <t>SÖDERHAMN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45394</v>
      </c>
      <c r="E426" s="1" t="n">
        <v>46237</v>
      </c>
      <c r="F426" t="inlineStr">
        <is>
          <t>GÄVLEBORGS LÄN</t>
        </is>
      </c>
      <c r="G426" t="inlineStr">
        <is>
          <t>SÖDERHAMN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46237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46237</v>
      </c>
      <c r="F428" t="inlineStr">
        <is>
          <t>GÄVLEBORGS LÄN</t>
        </is>
      </c>
      <c r="G428" t="inlineStr">
        <is>
          <t>SÖDERHAMN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46237</v>
      </c>
      <c r="F429" t="inlineStr">
        <is>
          <t>GÄVLEBORGS LÄN</t>
        </is>
      </c>
      <c r="G429" t="inlineStr">
        <is>
          <t>SÖDERHAMN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46237</v>
      </c>
      <c r="F430" t="inlineStr">
        <is>
          <t>GÄVLEBORGS LÄN</t>
        </is>
      </c>
      <c r="G430" t="inlineStr">
        <is>
          <t>SÖDERHAMN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46237</v>
      </c>
      <c r="F431" t="inlineStr">
        <is>
          <t>GÄVLEBORGS LÄN</t>
        </is>
      </c>
      <c r="G431" t="inlineStr">
        <is>
          <t>SÖDERHAMN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45212</v>
      </c>
      <c r="E432" s="1" t="n">
        <v>46237</v>
      </c>
      <c r="F432" t="inlineStr">
        <is>
          <t>GÄVLEBORGS LÄN</t>
        </is>
      </c>
      <c r="G432" t="inlineStr">
        <is>
          <t>SÖDERHAMN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46237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45761</v>
      </c>
      <c r="E434" s="1" t="n">
        <v>46237</v>
      </c>
      <c r="F434" t="inlineStr">
        <is>
          <t>GÄVLEBORGS LÄN</t>
        </is>
      </c>
      <c r="G434" t="inlineStr">
        <is>
          <t>SÖDERHAMN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46237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26042-2026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46177</v>
      </c>
      <c r="E436" s="1" t="n">
        <v>46237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46237</v>
      </c>
      <c r="F437" t="inlineStr">
        <is>
          <t>GÄVLEBORGS LÄN</t>
        </is>
      </c>
      <c r="G437" t="inlineStr">
        <is>
          <t>SÖDERHAMN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46237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46237</v>
      </c>
      <c r="F439" t="inlineStr">
        <is>
          <t>GÄVLEBORGS LÄN</t>
        </is>
      </c>
      <c r="G439" t="inlineStr">
        <is>
          <t>SÖDERHAMN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45108</v>
      </c>
      <c r="E440" s="1" t="n">
        <v>46237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45108</v>
      </c>
      <c r="E441" s="1" t="n">
        <v>46237</v>
      </c>
      <c r="F441" t="inlineStr">
        <is>
          <t>GÄVLEBORGS LÄN</t>
        </is>
      </c>
      <c r="G441" t="inlineStr">
        <is>
          <t>SÖDERHAMN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46237</v>
      </c>
      <c r="F442" t="inlineStr">
        <is>
          <t>GÄVLEBORGS LÄN</t>
        </is>
      </c>
      <c r="G442" t="inlineStr">
        <is>
          <t>SÖDERHAMN</t>
        </is>
      </c>
      <c r="I442" t="n">
        <v>14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46237</v>
      </c>
      <c r="F443" t="inlineStr">
        <is>
          <t>GÄVLEBORGS LÄN</t>
        </is>
      </c>
      <c r="G443" t="inlineStr">
        <is>
          <t>SÖDERHAMN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46237</v>
      </c>
      <c r="F444" t="inlineStr">
        <is>
          <t>GÄVLEBORGS LÄN</t>
        </is>
      </c>
      <c r="G444" t="inlineStr">
        <is>
          <t>SÖDERHAMN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46237</v>
      </c>
      <c r="F445" t="inlineStr">
        <is>
          <t>GÄVLEBORGS LÄN</t>
        </is>
      </c>
      <c r="G445" t="inlineStr">
        <is>
          <t>SÖDERHAMN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46237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46237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46237</v>
      </c>
      <c r="F448" t="inlineStr">
        <is>
          <t>GÄVLEBORGS LÄN</t>
        </is>
      </c>
      <c r="G448" t="inlineStr">
        <is>
          <t>SÖDERHAMN</t>
        </is>
      </c>
      <c r="H448" t="inlineStr">
        <is>
          <t>Övriga statliga verk och myndigheter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46237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Kommuner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44564</v>
      </c>
      <c r="E450" s="1" t="n">
        <v>46237</v>
      </c>
      <c r="F450" t="inlineStr">
        <is>
          <t>GÄVLEBORGS LÄN</t>
        </is>
      </c>
      <c r="G450" t="inlineStr">
        <is>
          <t>SÖDERHAMN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46237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45027</v>
      </c>
      <c r="E452" s="1" t="n">
        <v>46237</v>
      </c>
      <c r="F452" t="inlineStr">
        <is>
          <t>GÄVLEBORGS LÄN</t>
        </is>
      </c>
      <c r="G452" t="inlineStr">
        <is>
          <t>SÖDERHAMN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46237</v>
      </c>
      <c r="F453" t="inlineStr">
        <is>
          <t>GÄVLEBORGS LÄN</t>
        </is>
      </c>
      <c r="G453" t="inlineStr">
        <is>
          <t>SÖDERHAMN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46237</v>
      </c>
      <c r="F454" t="inlineStr">
        <is>
          <t>GÄVLEBORGS LÄN</t>
        </is>
      </c>
      <c r="G454" t="inlineStr">
        <is>
          <t>SÖDERHAMN</t>
        </is>
      </c>
      <c r="I454" t="n">
        <v>11.8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46237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45602</v>
      </c>
      <c r="E456" s="1" t="n">
        <v>46237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46237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46237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46237</v>
      </c>
      <c r="F459" t="inlineStr">
        <is>
          <t>GÄVLEBORGS LÄN</t>
        </is>
      </c>
      <c r="G459" t="inlineStr">
        <is>
          <t>SÖDERHAMN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46237</v>
      </c>
      <c r="F460" t="inlineStr">
        <is>
          <t>GÄVLEBORGS LÄN</t>
        </is>
      </c>
      <c r="G460" t="inlineStr">
        <is>
          <t>SÖDERHAMN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46237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46237</v>
      </c>
      <c r="F462" t="inlineStr">
        <is>
          <t>GÄVLEBORGS LÄN</t>
        </is>
      </c>
      <c r="G462" t="inlineStr">
        <is>
          <t>SÖDERHAMN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46237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46237</v>
      </c>
      <c r="F464" t="inlineStr">
        <is>
          <t>GÄVLEBORGS LÄN</t>
        </is>
      </c>
      <c r="G464" t="inlineStr">
        <is>
          <t>SÖDERHAMN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46237</v>
      </c>
      <c r="F465" t="inlineStr">
        <is>
          <t>GÄVLEBORGS LÄN</t>
        </is>
      </c>
      <c r="G465" t="inlineStr">
        <is>
          <t>SÖDERHAMN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46066</v>
      </c>
      <c r="E466" s="1" t="n">
        <v>46237</v>
      </c>
      <c r="F466" t="inlineStr">
        <is>
          <t>GÄVLEBORGS LÄN</t>
        </is>
      </c>
      <c r="G466" t="inlineStr">
        <is>
          <t>SÖDERHAMN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46237</v>
      </c>
      <c r="F467" t="inlineStr">
        <is>
          <t>GÄVLEBORGS LÄN</t>
        </is>
      </c>
      <c r="G467" t="inlineStr">
        <is>
          <t>SÖDERHAMN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46066</v>
      </c>
      <c r="E468" s="1" t="n">
        <v>46237</v>
      </c>
      <c r="F468" t="inlineStr">
        <is>
          <t>GÄVLEBORGS LÄN</t>
        </is>
      </c>
      <c r="G468" t="inlineStr">
        <is>
          <t>SÖDERHAMN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45670</v>
      </c>
      <c r="E469" s="1" t="n">
        <v>46237</v>
      </c>
      <c r="F469" t="inlineStr">
        <is>
          <t>GÄVLEBORGS LÄN</t>
        </is>
      </c>
      <c r="G469" t="inlineStr">
        <is>
          <t>SÖDERHAMN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46237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46237</v>
      </c>
      <c r="F471" t="inlineStr">
        <is>
          <t>GÄVLEBORGS LÄN</t>
        </is>
      </c>
      <c r="G471" t="inlineStr">
        <is>
          <t>SÖDERHAMN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46227</v>
      </c>
      <c r="E472" s="1" t="n">
        <v>46237</v>
      </c>
      <c r="F472" t="inlineStr">
        <is>
          <t>GÄVLEBORGS LÄN</t>
        </is>
      </c>
      <c r="G472" t="inlineStr">
        <is>
          <t>SÖDERHAMN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46237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46237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46237</v>
      </c>
      <c r="F475" t="inlineStr">
        <is>
          <t>GÄVLEBORGS LÄN</t>
        </is>
      </c>
      <c r="G475" t="inlineStr">
        <is>
          <t>SÖDERHAMN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46237</v>
      </c>
      <c r="F476" t="inlineStr">
        <is>
          <t>GÄVLEBORGS LÄN</t>
        </is>
      </c>
      <c r="G476" t="inlineStr">
        <is>
          <t>SÖDERHAMN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46237</v>
      </c>
      <c r="F477" t="inlineStr">
        <is>
          <t>GÄVLEBORGS LÄN</t>
        </is>
      </c>
      <c r="G477" t="inlineStr">
        <is>
          <t>SÖDERHAMN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45590</v>
      </c>
      <c r="E478" s="1" t="n">
        <v>46237</v>
      </c>
      <c r="F478" t="inlineStr">
        <is>
          <t>GÄVLEBORGS LÄN</t>
        </is>
      </c>
      <c r="G478" t="inlineStr">
        <is>
          <t>SÖDERHAMN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46237</v>
      </c>
      <c r="F479" t="inlineStr">
        <is>
          <t>GÄVLEBORGS LÄN</t>
        </is>
      </c>
      <c r="G479" t="inlineStr">
        <is>
          <t>SÖDERHAMN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45219</v>
      </c>
      <c r="E480" s="1" t="n">
        <v>46237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46237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46237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46237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46237</v>
      </c>
      <c r="F484" t="inlineStr">
        <is>
          <t>GÄVLEBORGS LÄN</t>
        </is>
      </c>
      <c r="G484" t="inlineStr">
        <is>
          <t>SÖDERHAMN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46237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46237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46237</v>
      </c>
      <c r="F487" t="inlineStr">
        <is>
          <t>GÄVLEBORGS LÄN</t>
        </is>
      </c>
      <c r="G487" t="inlineStr">
        <is>
          <t>SÖDERHAMN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49765-2024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46237</v>
      </c>
      <c r="F488" t="inlineStr">
        <is>
          <t>GÄVLEBORGS LÄN</t>
        </is>
      </c>
      <c r="G488" t="inlineStr">
        <is>
          <t>SÖDERHAMN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9921-2026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46073</v>
      </c>
      <c r="E489" s="1" t="n">
        <v>46237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46076</v>
      </c>
      <c r="E490" s="1" t="n">
        <v>46237</v>
      </c>
      <c r="F490" t="inlineStr">
        <is>
          <t>GÄVLEBORGS LÄN</t>
        </is>
      </c>
      <c r="G490" t="inlineStr">
        <is>
          <t>SÖDERHAMN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46237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Kyrkan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46237</v>
      </c>
      <c r="F492" t="inlineStr">
        <is>
          <t>GÄVLEBORGS LÄN</t>
        </is>
      </c>
      <c r="G492" t="inlineStr">
        <is>
          <t>SÖDERHAMN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45069</v>
      </c>
      <c r="E493" s="1" t="n">
        <v>46237</v>
      </c>
      <c r="F493" t="inlineStr">
        <is>
          <t>GÄVLEBORGS LÄN</t>
        </is>
      </c>
      <c r="G493" t="inlineStr">
        <is>
          <t>SÖDERHAMN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45747</v>
      </c>
      <c r="E494" s="1" t="n">
        <v>46237</v>
      </c>
      <c r="F494" t="inlineStr">
        <is>
          <t>GÄVLEBORGS LÄN</t>
        </is>
      </c>
      <c r="G494" t="inlineStr">
        <is>
          <t>SÖDERHAMN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46237</v>
      </c>
      <c r="F495" t="inlineStr">
        <is>
          <t>GÄVLEBORGS LÄN</t>
        </is>
      </c>
      <c r="G495" t="inlineStr">
        <is>
          <t>SÖDERHAMN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46237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46237</v>
      </c>
      <c r="F497" t="inlineStr">
        <is>
          <t>GÄVLEBORGS LÄN</t>
        </is>
      </c>
      <c r="G497" t="inlineStr">
        <is>
          <t>SÖDERHAMN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38355-2022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44812</v>
      </c>
      <c r="E498" s="1" t="n">
        <v>46237</v>
      </c>
      <c r="F498" t="inlineStr">
        <is>
          <t>GÄVLEBORGS LÄN</t>
        </is>
      </c>
      <c r="G498" t="inlineStr">
        <is>
          <t>SÖDERHAMN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46237</v>
      </c>
      <c r="F499" t="inlineStr">
        <is>
          <t>GÄVLEBORGS LÄN</t>
        </is>
      </c>
      <c r="G499" t="inlineStr">
        <is>
          <t>SÖDERHAMN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46237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46237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46237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46237</v>
      </c>
      <c r="F503" t="inlineStr">
        <is>
          <t>GÄVLEBORGS LÄN</t>
        </is>
      </c>
      <c r="G503" t="inlineStr">
        <is>
          <t>SÖDERHAMN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45597</v>
      </c>
      <c r="E504" s="1" t="n">
        <v>46237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46237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45639</v>
      </c>
      <c r="E506" s="1" t="n">
        <v>46237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43191-2024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46237</v>
      </c>
      <c r="F507" t="inlineStr">
        <is>
          <t>GÄVLEBORGS LÄN</t>
        </is>
      </c>
      <c r="G507" t="inlineStr">
        <is>
          <t>SÖDERHAMN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46237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46237</v>
      </c>
      <c r="F509" t="inlineStr">
        <is>
          <t>GÄVLEBORGS LÄN</t>
        </is>
      </c>
      <c r="G509" t="inlineStr">
        <is>
          <t>SÖDERHAMN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4497-2024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45327</v>
      </c>
      <c r="E510" s="1" t="n">
        <v>46237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45432</v>
      </c>
      <c r="E511" s="1" t="n">
        <v>46237</v>
      </c>
      <c r="F511" t="inlineStr">
        <is>
          <t>GÄVLEBORGS LÄN</t>
        </is>
      </c>
      <c r="G511" t="inlineStr">
        <is>
          <t>SÖDERHAMN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46237</v>
      </c>
      <c r="F512" t="inlineStr">
        <is>
          <t>GÄVLEBORGS LÄN</t>
        </is>
      </c>
      <c r="G512" t="inlineStr">
        <is>
          <t>SÖDERHAMN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46237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46237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46237</v>
      </c>
      <c r="F515" t="inlineStr">
        <is>
          <t>GÄVLEBORGS LÄN</t>
        </is>
      </c>
      <c r="G515" t="inlineStr">
        <is>
          <t>SÖDERHAMN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46237</v>
      </c>
      <c r="F516" t="inlineStr">
        <is>
          <t>GÄVLEBORGS LÄN</t>
        </is>
      </c>
      <c r="G516" t="inlineStr">
        <is>
          <t>SÖDERHAMN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46237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7972-2025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45707</v>
      </c>
      <c r="E518" s="1" t="n">
        <v>46237</v>
      </c>
      <c r="F518" t="inlineStr">
        <is>
          <t>GÄVLEBORGS LÄN</t>
        </is>
      </c>
      <c r="G518" t="inlineStr">
        <is>
          <t>SÖDERHAMN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15024-2026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46237</v>
      </c>
      <c r="F519" t="inlineStr">
        <is>
          <t>GÄVLEBORGS LÄN</t>
        </is>
      </c>
      <c r="G519" t="inlineStr">
        <is>
          <t>SÖDERHAMN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15066-2026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46237</v>
      </c>
      <c r="F520" t="inlineStr">
        <is>
          <t>GÄVLEBORGS LÄN</t>
        </is>
      </c>
      <c r="G520" t="inlineStr">
        <is>
          <t>SÖDERHAMN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58281-2024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46237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46237</v>
      </c>
      <c r="F522" t="inlineStr">
        <is>
          <t>GÄVLEBORGS LÄN</t>
        </is>
      </c>
      <c r="G522" t="inlineStr">
        <is>
          <t>SÖDERHAMN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46237</v>
      </c>
      <c r="F523" t="inlineStr">
        <is>
          <t>GÄVLEBORGS LÄN</t>
        </is>
      </c>
      <c r="G523" t="inlineStr">
        <is>
          <t>SÖDERHAMN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46237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46237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46237</v>
      </c>
      <c r="F526" t="inlineStr">
        <is>
          <t>GÄVLEBORGS LÄN</t>
        </is>
      </c>
      <c r="G526" t="inlineStr">
        <is>
          <t>SÖDERHAMN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46237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45757</v>
      </c>
      <c r="E528" s="1" t="n">
        <v>46237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45265</v>
      </c>
      <c r="E529" s="1" t="n">
        <v>46237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46237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46237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46237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46113</v>
      </c>
      <c r="E533" s="1" t="n">
        <v>46237</v>
      </c>
      <c r="F533" t="inlineStr">
        <is>
          <t>GÄVLEBORGS LÄN</t>
        </is>
      </c>
      <c r="G533" t="inlineStr">
        <is>
          <t>SÖDERHAMN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46113</v>
      </c>
      <c r="E534" s="1" t="n">
        <v>46237</v>
      </c>
      <c r="F534" t="inlineStr">
        <is>
          <t>GÄVLEBORGS LÄN</t>
        </is>
      </c>
      <c r="G534" t="inlineStr">
        <is>
          <t>SÖDERHAMN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46237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46237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44341-2023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45188</v>
      </c>
      <c r="E537" s="1" t="n">
        <v>46237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Kommuner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44662</v>
      </c>
      <c r="E538" s="1" t="n">
        <v>46237</v>
      </c>
      <c r="F538" t="inlineStr">
        <is>
          <t>GÄVLEBORGS LÄN</t>
        </is>
      </c>
      <c r="G538" t="inlineStr">
        <is>
          <t>SÖDERHAMN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46117</v>
      </c>
      <c r="E539" s="1" t="n">
        <v>46237</v>
      </c>
      <c r="F539" t="inlineStr">
        <is>
          <t>GÄVLEBORGS LÄN</t>
        </is>
      </c>
      <c r="G539" t="inlineStr">
        <is>
          <t>SÖDERHAMN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46117</v>
      </c>
      <c r="E540" s="1" t="n">
        <v>46237</v>
      </c>
      <c r="F540" t="inlineStr">
        <is>
          <t>GÄVLEBORGS LÄN</t>
        </is>
      </c>
      <c r="G540" t="inlineStr">
        <is>
          <t>SÖDERHAMN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46117</v>
      </c>
      <c r="E541" s="1" t="n">
        <v>46237</v>
      </c>
      <c r="F541" t="inlineStr">
        <is>
          <t>GÄVLEBORGS LÄN</t>
        </is>
      </c>
      <c r="G541" t="inlineStr">
        <is>
          <t>SÖDERHAMN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46117</v>
      </c>
      <c r="E542" s="1" t="n">
        <v>46237</v>
      </c>
      <c r="F542" t="inlineStr">
        <is>
          <t>GÄVLEBORGS LÄN</t>
        </is>
      </c>
      <c r="G542" t="inlineStr">
        <is>
          <t>SÖDERHAMN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46237</v>
      </c>
      <c r="F543" t="inlineStr">
        <is>
          <t>GÄVLEBORGS LÄN</t>
        </is>
      </c>
      <c r="G543" t="inlineStr">
        <is>
          <t>SÖDERHAMN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46237</v>
      </c>
      <c r="F544" t="inlineStr">
        <is>
          <t>GÄVLEBORGS LÄN</t>
        </is>
      </c>
      <c r="G544" t="inlineStr">
        <is>
          <t>SÖDERHAMN</t>
        </is>
      </c>
      <c r="H544" t="inlineStr">
        <is>
          <t>Kommuner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45779</v>
      </c>
      <c r="E545" s="1" t="n">
        <v>46237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46237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46237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39916-2021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44417</v>
      </c>
      <c r="E548" s="1" t="n">
        <v>46237</v>
      </c>
      <c r="F548" t="inlineStr">
        <is>
          <t>GÄVLEBORGS LÄN</t>
        </is>
      </c>
      <c r="G548" t="inlineStr">
        <is>
          <t>SÖDERHAMN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45257</v>
      </c>
      <c r="E549" s="1" t="n">
        <v>46237</v>
      </c>
      <c r="F549" t="inlineStr">
        <is>
          <t>GÄVLEBORGS LÄN</t>
        </is>
      </c>
      <c r="G549" t="inlineStr">
        <is>
          <t>SÖDERHAMN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45420</v>
      </c>
      <c r="E550" s="1" t="n">
        <v>46237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44490</v>
      </c>
      <c r="E551" s="1" t="n">
        <v>46237</v>
      </c>
      <c r="F551" t="inlineStr">
        <is>
          <t>GÄVLEBORGS LÄN</t>
        </is>
      </c>
      <c r="G551" t="inlineStr">
        <is>
          <t>SÖDERHAMN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46237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63632-2023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46237</v>
      </c>
      <c r="F553" t="inlineStr">
        <is>
          <t>GÄVLEBORGS LÄN</t>
        </is>
      </c>
      <c r="G553" t="inlineStr">
        <is>
          <t>SÖDERHAMN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46237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46237</v>
      </c>
      <c r="F555" t="inlineStr">
        <is>
          <t>GÄVLEBORGS LÄN</t>
        </is>
      </c>
      <c r="G555" t="inlineStr">
        <is>
          <t>SÖDERHAMN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14960-2024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45398</v>
      </c>
      <c r="E556" s="1" t="n">
        <v>46237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46237</v>
      </c>
      <c r="F557" t="inlineStr">
        <is>
          <t>GÄVLEBORGS LÄN</t>
        </is>
      </c>
      <c r="G557" t="inlineStr">
        <is>
          <t>SÖDERHAMN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46237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46237</v>
      </c>
      <c r="F559" t="inlineStr">
        <is>
          <t>GÄVLEBORGS LÄN</t>
        </is>
      </c>
      <c r="G559" t="inlineStr">
        <is>
          <t>SÖDERHAMN</t>
        </is>
      </c>
      <c r="H559" t="inlineStr">
        <is>
          <t>Övriga statliga verk och myndigheter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46237</v>
      </c>
      <c r="F560" t="inlineStr">
        <is>
          <t>GÄVLEBORGS LÄN</t>
        </is>
      </c>
      <c r="G560" t="inlineStr">
        <is>
          <t>SÖDERHAMN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46237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46237</v>
      </c>
      <c r="F562" t="inlineStr">
        <is>
          <t>GÄVLEBORGS LÄN</t>
        </is>
      </c>
      <c r="G562" t="inlineStr">
        <is>
          <t>SÖDERHAMN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46237</v>
      </c>
      <c r="F563" t="inlineStr">
        <is>
          <t>GÄVLEBORGS LÄN</t>
        </is>
      </c>
      <c r="G563" t="inlineStr">
        <is>
          <t>SÖDERHAMN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46237</v>
      </c>
      <c r="F564" t="inlineStr">
        <is>
          <t>GÄVLEBORGS LÄN</t>
        </is>
      </c>
      <c r="G564" t="inlineStr">
        <is>
          <t>SÖDERHAMN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46237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46237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46237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46237</v>
      </c>
      <c r="F568" t="inlineStr">
        <is>
          <t>GÄVLEBORGS LÄN</t>
        </is>
      </c>
      <c r="G568" t="inlineStr">
        <is>
          <t>SÖDERHAMN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45905</v>
      </c>
      <c r="E569" s="1" t="n">
        <v>46237</v>
      </c>
      <c r="F569" t="inlineStr">
        <is>
          <t>GÄVLEBORGS LÄN</t>
        </is>
      </c>
      <c r="G569" t="inlineStr">
        <is>
          <t>SÖDERHAMN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46237</v>
      </c>
      <c r="F570" t="inlineStr">
        <is>
          <t>GÄVLEBORGS LÄN</t>
        </is>
      </c>
      <c r="G570" t="inlineStr">
        <is>
          <t>SÖDERHAMN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46237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46237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46237</v>
      </c>
      <c r="F573" t="inlineStr">
        <is>
          <t>GÄVLEBORGS LÄN</t>
        </is>
      </c>
      <c r="G573" t="inlineStr">
        <is>
          <t>SÖDERHAMN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46237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46237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46237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45602</v>
      </c>
      <c r="E577" s="1" t="n">
        <v>46237</v>
      </c>
      <c r="F577" t="inlineStr">
        <is>
          <t>GÄVLEBORGS LÄN</t>
        </is>
      </c>
      <c r="G577" t="inlineStr">
        <is>
          <t>SÖDERHAMN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46237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46237</v>
      </c>
      <c r="F579" t="inlineStr">
        <is>
          <t>GÄVLEBORGS LÄN</t>
        </is>
      </c>
      <c r="G579" t="inlineStr">
        <is>
          <t>SÖDERHAMN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45393</v>
      </c>
      <c r="E580" s="1" t="n">
        <v>46237</v>
      </c>
      <c r="F580" t="inlineStr">
        <is>
          <t>GÄVLEBORGS LÄN</t>
        </is>
      </c>
      <c r="G580" t="inlineStr">
        <is>
          <t>SÖDERHAMN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46237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46237</v>
      </c>
      <c r="F582" t="inlineStr">
        <is>
          <t>GÄVLEBORGS LÄN</t>
        </is>
      </c>
      <c r="G582" t="inlineStr">
        <is>
          <t>SÖDERHAMN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45510</v>
      </c>
      <c r="E583" s="1" t="n">
        <v>46237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46237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46237</v>
      </c>
      <c r="F585" t="inlineStr">
        <is>
          <t>GÄVLEBORGS LÄN</t>
        </is>
      </c>
      <c r="G585" t="inlineStr">
        <is>
          <t>SÖDERHAMN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44698</v>
      </c>
      <c r="E586" s="1" t="n">
        <v>46237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46237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45798</v>
      </c>
      <c r="E588" s="1" t="n">
        <v>46237</v>
      </c>
      <c r="F588" t="inlineStr">
        <is>
          <t>GÄVLEBORGS LÄN</t>
        </is>
      </c>
      <c r="G588" t="inlineStr">
        <is>
          <t>SÖDERHAMN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45797</v>
      </c>
      <c r="E589" s="1" t="n">
        <v>46237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46237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31676-2022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44776</v>
      </c>
      <c r="E591" s="1" t="n">
        <v>46237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45467</v>
      </c>
      <c r="E592" s="1" t="n">
        <v>46237</v>
      </c>
      <c r="F592" t="inlineStr">
        <is>
          <t>GÄVLEBORGS LÄN</t>
        </is>
      </c>
      <c r="G592" t="inlineStr">
        <is>
          <t>SÖDERHAMN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46237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45799</v>
      </c>
      <c r="E594" s="1" t="n">
        <v>46237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45428</v>
      </c>
      <c r="E595" s="1" t="n">
        <v>46237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45805</v>
      </c>
      <c r="E596" s="1" t="n">
        <v>46237</v>
      </c>
      <c r="F596" t="inlineStr">
        <is>
          <t>GÄVLEBORGS LÄN</t>
        </is>
      </c>
      <c r="G596" t="inlineStr">
        <is>
          <t>SÖDERHAMN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46237</v>
      </c>
      <c r="F597" t="inlineStr">
        <is>
          <t>GÄVLEBORGS LÄN</t>
        </is>
      </c>
      <c r="G597" t="inlineStr">
        <is>
          <t>SÖDERHAMN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44883</v>
      </c>
      <c r="E598" s="1" t="n">
        <v>46237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45272</v>
      </c>
      <c r="E599" s="1" t="n">
        <v>46237</v>
      </c>
      <c r="F599" t="inlineStr">
        <is>
          <t>GÄVLEBORGS LÄN</t>
        </is>
      </c>
      <c r="G599" t="inlineStr">
        <is>
          <t>SÖDERHAMN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45810</v>
      </c>
      <c r="E600" s="1" t="n">
        <v>46237</v>
      </c>
      <c r="F600" t="inlineStr">
        <is>
          <t>GÄVLEBORGS LÄN</t>
        </is>
      </c>
      <c r="G600" t="inlineStr">
        <is>
          <t>SÖDERHAMN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46237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18466-2025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45762</v>
      </c>
      <c r="E602" s="1" t="n">
        <v>46237</v>
      </c>
      <c r="F602" t="inlineStr">
        <is>
          <t>GÄVLEBORGS LÄN</t>
        </is>
      </c>
      <c r="G602" t="inlineStr">
        <is>
          <t>SÖDERHAMN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46237</v>
      </c>
      <c r="F603" t="inlineStr">
        <is>
          <t>GÄVLEBORGS LÄN</t>
        </is>
      </c>
      <c r="G603" t="inlineStr">
        <is>
          <t>SÖDERHAMN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46237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46237</v>
      </c>
      <c r="F605" t="inlineStr">
        <is>
          <t>GÄVLEBORGS LÄN</t>
        </is>
      </c>
      <c r="G605" t="inlineStr">
        <is>
          <t>SÖDERHAMN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45825</v>
      </c>
      <c r="E606" s="1" t="n">
        <v>46237</v>
      </c>
      <c r="F606" t="inlineStr">
        <is>
          <t>GÄVLEBORGS LÄN</t>
        </is>
      </c>
      <c r="G606" t="inlineStr">
        <is>
          <t>SÖDERHAMN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30058-2025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46237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46237</v>
      </c>
      <c r="F608" t="inlineStr">
        <is>
          <t>GÄVLEBORGS LÄN</t>
        </is>
      </c>
      <c r="G608" t="inlineStr">
        <is>
          <t>SÖDERHAMN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20717-2024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45436</v>
      </c>
      <c r="E609" s="1" t="n">
        <v>46237</v>
      </c>
      <c r="F609" t="inlineStr">
        <is>
          <t>GÄVLEBORGS LÄN</t>
        </is>
      </c>
      <c r="G609" t="inlineStr">
        <is>
          <t>SÖDERHAMN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45817</v>
      </c>
      <c r="E610" s="1" t="n">
        <v>46237</v>
      </c>
      <c r="F610" t="inlineStr">
        <is>
          <t>GÄVLEBORGS LÄN</t>
        </is>
      </c>
      <c r="G610" t="inlineStr">
        <is>
          <t>SÖDERHAMN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46237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45847</v>
      </c>
      <c r="E612" s="1" t="n">
        <v>46237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46237</v>
      </c>
      <c r="F613" t="inlineStr">
        <is>
          <t>GÄVLEBORGS LÄN</t>
        </is>
      </c>
      <c r="G613" t="inlineStr">
        <is>
          <t>SÖDERHAMN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45863</v>
      </c>
      <c r="E614" s="1" t="n">
        <v>46237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45811</v>
      </c>
      <c r="E615" s="1" t="n">
        <v>46237</v>
      </c>
      <c r="F615" t="inlineStr">
        <is>
          <t>GÄVLEBORGS LÄN</t>
        </is>
      </c>
      <c r="G615" t="inlineStr">
        <is>
          <t>SÖDERHAMN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46237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37541-2025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45879</v>
      </c>
      <c r="E617" s="1" t="n">
        <v>46237</v>
      </c>
      <c r="F617" t="inlineStr">
        <is>
          <t>GÄVLEBORGS LÄN</t>
        </is>
      </c>
      <c r="G617" t="inlineStr">
        <is>
          <t>SÖDERHAMN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45879</v>
      </c>
      <c r="E618" s="1" t="n">
        <v>46237</v>
      </c>
      <c r="F618" t="inlineStr">
        <is>
          <t>GÄVLEBORGS LÄN</t>
        </is>
      </c>
      <c r="G618" t="inlineStr">
        <is>
          <t>SÖDERHAMN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45821</v>
      </c>
      <c r="E619" s="1" t="n">
        <v>46237</v>
      </c>
      <c r="F619" t="inlineStr">
        <is>
          <t>GÄVLEBORGS LÄN</t>
        </is>
      </c>
      <c r="G619" t="inlineStr">
        <is>
          <t>SÖDERHAMN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168-2022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46237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56.6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170-2022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46237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87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175-2022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46237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46237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3155-2025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45973</v>
      </c>
      <c r="E624" s="1" t="n">
        <v>46237</v>
      </c>
      <c r="F624" t="inlineStr">
        <is>
          <t>GÄVLEBORGS LÄN</t>
        </is>
      </c>
      <c r="G624" t="inlineStr">
        <is>
          <t>SÖDERHAMN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2026-08-03T01:55:13Z</dcterms:created>
  <dcterms:modified xmlns:dcterms="http://purl.org/dc/terms/" xmlns:xsi="http://www.w3.org/2001/XMLSchema-instance" xsi:type="dcterms:W3CDTF">2026-08-03T01:55:13Z</dcterms:modified>
</cp:coreProperties>
</file>