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46265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46265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46265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46265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46265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46265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46265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46265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46265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46265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46265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46265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18.6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46265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31803-2024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45509</v>
      </c>
      <c r="E27" s="1" t="n">
        <v>46265</v>
      </c>
      <c r="F27" t="inlineStr">
        <is>
          <t>GÄVLEBORGS LÄN</t>
        </is>
      </c>
      <c r="G27" t="inlineStr">
        <is>
          <t>SÖDERHAMN</t>
        </is>
      </c>
      <c r="I27" t="n">
        <v>3.4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5</v>
      </c>
      <c r="V27" s="2" t="inlineStr">
        <is>
          <t>Knärot</t>
        </is>
      </c>
      <c r="W27">
        <f>HYPERLINK("https://klasma.github.io/Logging_2182/artfynd/A 31803-2024 artfynd.xlsx", "A 31803-2024")</f>
        <v/>
      </c>
      <c r="X27">
        <f>HYPERLINK("https://klasma.github.io/Logging_2182/kartor/A 31803-2024 karta.png", "A 31803-2024")</f>
        <v/>
      </c>
      <c r="Y27">
        <f>HYPERLINK("https://klasma.github.io/Logging_2182/kartor_geotiff/A 31803-2024 georefererad karta.tif", "A 31803-2024")</f>
        <v/>
      </c>
      <c r="Z27">
        <f>HYPERLINK("https://klasma.github.io/Logging_2182/knärot/A 31803-2024 karta knärot.png", "A 31803-2024")</f>
        <v/>
      </c>
      <c r="AA27">
        <f>HYPERLINK("https://klasma.github.io/Logging_2182/klagomål/A 31803-2024 FSC-klagomål.docx", "A 31803-2024")</f>
        <v/>
      </c>
      <c r="AB27">
        <f>HYPERLINK("https://klasma.github.io/Logging_2182/klagomålsmail/A 31803-2024 FSC-klagomål mail.docx", "A 31803-2024")</f>
        <v/>
      </c>
      <c r="AC27">
        <f>HYPERLINK("https://klasma.github.io/Logging_2182/tillsyn/A 31803-2024 tillsynsbegäran.docx", "A 31803-2024")</f>
        <v/>
      </c>
      <c r="AD27">
        <f>HYPERLINK("https://klasma.github.io/Logging_2182/tillsynsmail/A 31803-2024 tillsynsbegäran mail.docx", "A 31803-2024")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46265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46265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45992</v>
      </c>
      <c r="E30" s="1" t="n">
        <v>46265</v>
      </c>
      <c r="F30" t="inlineStr">
        <is>
          <t>GÄVLEBORGS LÄN</t>
        </is>
      </c>
      <c r="G30" t="inlineStr">
        <is>
          <t>SÖDERHAMN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HYPERLINK("https://klasma.github.io/Logging_2182/artfynd/A 59848-2025 artfynd.xlsx", "A 59848-2025")</f>
        <v/>
      </c>
      <c r="X30">
        <f>HYPERLINK("https://klasma.github.io/Logging_2182/kartor/A 59848-2025 karta.png", "A 59848-2025")</f>
        <v/>
      </c>
      <c r="Y30">
        <f>HYPERLINK("https://klasma.github.io/Logging_2182/kartor_geotiff/A 59848-2025 georefererad karta.tif", "A 59848-2025")</f>
        <v/>
      </c>
      <c r="AA30">
        <f>HYPERLINK("https://klasma.github.io/Logging_2182/klagomål/A 59848-2025 FSC-klagomål.docx", "A 59848-2025")</f>
        <v/>
      </c>
      <c r="AB30">
        <f>HYPERLINK("https://klasma.github.io/Logging_2182/klagomålsmail/A 59848-2025 FSC-klagomål mail.docx", "A 59848-2025")</f>
        <v/>
      </c>
      <c r="AC30">
        <f>HYPERLINK("https://klasma.github.io/Logging_2182/tillsyn/A 59848-2025 tillsynsbegäran.docx", "A 59848-2025")</f>
        <v/>
      </c>
      <c r="AD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45994</v>
      </c>
      <c r="E31" s="1" t="n">
        <v>46265</v>
      </c>
      <c r="F31" t="inlineStr">
        <is>
          <t>GÄVLEBORGS LÄN</t>
        </is>
      </c>
      <c r="G31" t="inlineStr">
        <is>
          <t>SÖDERHAMN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HYPERLINK("https://klasma.github.io/Logging_2182/artfynd/A 60322-2025 artfynd.xlsx", "A 60322-2025")</f>
        <v/>
      </c>
      <c r="X31">
        <f>HYPERLINK("https://klasma.github.io/Logging_2182/kartor/A 60322-2025 karta.png", "A 60322-2025")</f>
        <v/>
      </c>
      <c r="Y31">
        <f>HYPERLINK("https://klasma.github.io/Logging_2182/kartor_geotiff/A 60322-2025 georefererad karta.tif", "A 60322-2025")</f>
        <v/>
      </c>
      <c r="AA31">
        <f>HYPERLINK("https://klasma.github.io/Logging_2182/klagomål/A 60322-2025 FSC-klagomål.docx", "A 60322-2025")</f>
        <v/>
      </c>
      <c r="AB31">
        <f>HYPERLINK("https://klasma.github.io/Logging_2182/klagomålsmail/A 60322-2025 FSC-klagomål mail.docx", "A 60322-2025")</f>
        <v/>
      </c>
      <c r="AC31">
        <f>HYPERLINK("https://klasma.github.io/Logging_2182/tillsyn/A 60322-2025 tillsynsbegäran.docx", "A 60322-2025")</f>
        <v/>
      </c>
      <c r="AD31">
        <f>HYPERLINK("https://klasma.github.io/Logging_2182/tillsynsmail/A 60322-2025 tillsynsbegäran mail.docx", "A 60322-2025")</f>
        <v/>
      </c>
    </row>
    <row r="32" ht="15" customHeight="1">
      <c r="A32" t="inlineStr">
        <is>
          <t>A 60318-2025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45994</v>
      </c>
      <c r="E32" s="1" t="n">
        <v>46265</v>
      </c>
      <c r="F32" t="inlineStr">
        <is>
          <t>GÄVLEBORGS LÄN</t>
        </is>
      </c>
      <c r="G32" t="inlineStr">
        <is>
          <t>SÖDERHAMN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HYPERLINK("https://klasma.github.io/Logging_2182/artfynd/A 60318-2025 artfynd.xlsx", "A 60318-2025")</f>
        <v/>
      </c>
      <c r="X32">
        <f>HYPERLINK("https://klasma.github.io/Logging_2182/kartor/A 60318-2025 karta.png", "A 60318-2025")</f>
        <v/>
      </c>
      <c r="Y32">
        <f>HYPERLINK("https://klasma.github.io/Logging_2182/kartor_geotiff/A 60318-2025 georefererad karta.tif", "A 60318-2025")</f>
        <v/>
      </c>
      <c r="AA32">
        <f>HYPERLINK("https://klasma.github.io/Logging_2182/klagomål/A 60318-2025 FSC-klagomål.docx", "A 60318-2025")</f>
        <v/>
      </c>
      <c r="AB32">
        <f>HYPERLINK("https://klasma.github.io/Logging_2182/klagomålsmail/A 60318-2025 FSC-klagomål mail.docx", "A 60318-2025")</f>
        <v/>
      </c>
      <c r="AC32">
        <f>HYPERLINK("https://klasma.github.io/Logging_2182/tillsyn/A 60318-2025 tillsynsbegäran.docx", "A 60318-2025")</f>
        <v/>
      </c>
      <c r="AD32">
        <f>HYPERLINK("https://klasma.github.io/Logging_2182/tillsynsmail/A 60318-2025 tillsynsbegäran mail.docx", "A 60318-2025")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46265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29834-2025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45825</v>
      </c>
      <c r="E34" s="1" t="n">
        <v>46265</v>
      </c>
      <c r="F34" t="inlineStr">
        <is>
          <t>GÄVLEBORGS LÄN</t>
        </is>
      </c>
      <c r="G34" t="inlineStr">
        <is>
          <t>SÖDERHAMN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HYPERLINK("https://klasma.github.io/Logging_2182/artfynd/A 29834-2025 artfynd.xlsx", "A 29834-2025")</f>
        <v/>
      </c>
      <c r="X34">
        <f>HYPERLINK("https://klasma.github.io/Logging_2182/kartor/A 29834-2025 karta.png", "A 29834-2025")</f>
        <v/>
      </c>
      <c r="Y34">
        <f>HYPERLINK("https://klasma.github.io/Logging_2182/kartor_geotiff/A 29834-2025 georefererad karta.tif", "A 29834-2025")</f>
        <v/>
      </c>
      <c r="AA34">
        <f>HYPERLINK("https://klasma.github.io/Logging_2182/klagomål/A 29834-2025 FSC-klagomål.docx", "A 29834-2025")</f>
        <v/>
      </c>
      <c r="AB34">
        <f>HYPERLINK("https://klasma.github.io/Logging_2182/klagomålsmail/A 29834-2025 FSC-klagomål mail.docx", "A 29834-2025")</f>
        <v/>
      </c>
      <c r="AC34">
        <f>HYPERLINK("https://klasma.github.io/Logging_2182/tillsyn/A 29834-2025 tillsynsbegäran.docx", "A 29834-2025")</f>
        <v/>
      </c>
      <c r="AD34">
        <f>HYPERLINK("https://klasma.github.io/Logging_2182/tillsynsmail/A 29834-2025 tillsynsbegäran mail.docx", "A 29834-2025")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46265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46265</v>
      </c>
      <c r="F36" t="inlineStr">
        <is>
          <t>GÄVLEBORGS LÄN</t>
        </is>
      </c>
      <c r="G36" t="inlineStr">
        <is>
          <t>SÖDERHAMN</t>
        </is>
      </c>
      <c r="I36" t="n">
        <v>8.800000000000001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aspticka</t>
        </is>
      </c>
      <c r="W36">
        <f>HYPERLINK("https://klasma.github.io/Logging_2182/artfynd/A 5946-2026 artfynd.xlsx", "A 5946-2026")</f>
        <v/>
      </c>
      <c r="X36">
        <f>HYPERLINK("https://klasma.github.io/Logging_2182/kartor/A 5946-2026 karta.png", "A 5946-2026")</f>
        <v/>
      </c>
      <c r="Y36">
        <f>HYPERLINK("https://klasma.github.io/Logging_2182/kartor_geotiff/A 5946-2026 georefererad karta.tif", "A 5946-2026")</f>
        <v/>
      </c>
      <c r="AA36">
        <f>HYPERLINK("https://klasma.github.io/Logging_2182/klagomål/A 5946-2026 FSC-klagomål.docx", "A 5946-2026")</f>
        <v/>
      </c>
      <c r="AB36">
        <f>HYPERLINK("https://klasma.github.io/Logging_2182/klagomålsmail/A 5946-2026 FSC-klagomål mail.docx", "A 5946-2026")</f>
        <v/>
      </c>
      <c r="AC36">
        <f>HYPERLINK("https://klasma.github.io/Logging_2182/tillsyn/A 5946-2026 tillsynsbegäran.docx", "A 5946-2026")</f>
        <v/>
      </c>
      <c r="AD36">
        <f>HYPERLINK("https://klasma.github.io/Logging_2182/tillsynsmail/A 5946-2026 tillsynsbegäran mail.docx", "A 5946-2026")</f>
        <v/>
      </c>
    </row>
    <row r="37" ht="15" customHeight="1">
      <c r="A37" t="inlineStr">
        <is>
          <t>A 6060-2026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46265</v>
      </c>
      <c r="F37" t="inlineStr">
        <is>
          <t>GÄVLEBORGS LÄN</t>
        </is>
      </c>
      <c r="G37" t="inlineStr">
        <is>
          <t>SÖDERHAMN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Barkticka</t>
        </is>
      </c>
      <c r="W37">
        <f>HYPERLINK("https://klasma.github.io/Logging_2182/artfynd/A 6060-2026 artfynd.xlsx", "A 6060-2026")</f>
        <v/>
      </c>
      <c r="X37">
        <f>HYPERLINK("https://klasma.github.io/Logging_2182/kartor/A 6060-2026 karta.png", "A 6060-2026")</f>
        <v/>
      </c>
      <c r="Y37">
        <f>HYPERLINK("https://klasma.github.io/Logging_2182/kartor_geotiff/A 6060-2026 georefererad karta.tif", "A 6060-2026")</f>
        <v/>
      </c>
      <c r="AA37">
        <f>HYPERLINK("https://klasma.github.io/Logging_2182/klagomål/A 6060-2026 FSC-klagomål.docx", "A 6060-2026")</f>
        <v/>
      </c>
      <c r="AB37">
        <f>HYPERLINK("https://klasma.github.io/Logging_2182/klagomålsmail/A 6060-2026 FSC-klagomål mail.docx", "A 6060-2026")</f>
        <v/>
      </c>
      <c r="AC37">
        <f>HYPERLINK("https://klasma.github.io/Logging_2182/tillsyn/A 6060-2026 tillsynsbegäran.docx", "A 6060-2026")</f>
        <v/>
      </c>
      <c r="AD37">
        <f>HYPERLINK("https://klasma.github.io/Logging_2182/tillsynsmail/A 6060-2026 tillsynsbegäran mail.docx", "A 6060-2026")</f>
        <v/>
      </c>
    </row>
    <row r="38" ht="15" customHeight="1">
      <c r="A38" t="inlineStr">
        <is>
          <t>A 9284-2026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46265</v>
      </c>
      <c r="F38" t="inlineStr">
        <is>
          <t>GÄVLEBORGS LÄN</t>
        </is>
      </c>
      <c r="G38" t="inlineStr">
        <is>
          <t>SÖDERHAMN</t>
        </is>
      </c>
      <c r="I38" t="n">
        <v>0.2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HYPERLINK("https://klasma.github.io/Logging_2182/artfynd/A 9284-2026 artfynd.xlsx", "A 9284-2026")</f>
        <v/>
      </c>
      <c r="X38">
        <f>HYPERLINK("https://klasma.github.io/Logging_2182/kartor/A 9284-2026 karta.png", "A 9284-2026")</f>
        <v/>
      </c>
      <c r="Y38">
        <f>HYPERLINK("https://klasma.github.io/Logging_2182/kartor_geotiff/A 9284-2026 georefererad karta.tif", "A 9284-2026")</f>
        <v/>
      </c>
      <c r="Z38">
        <f>HYPERLINK("https://klasma.github.io/Logging_2182/knärot/A 9284-2026 karta knärot.png", "A 9284-2026")</f>
        <v/>
      </c>
      <c r="AA38">
        <f>HYPERLINK("https://klasma.github.io/Logging_2182/klagomål/A 9284-2026 FSC-klagomål.docx", "A 9284-2026")</f>
        <v/>
      </c>
      <c r="AB38">
        <f>HYPERLINK("https://klasma.github.io/Logging_2182/klagomålsmail/A 9284-2026 FSC-klagomål mail.docx", "A 9284-2026")</f>
        <v/>
      </c>
      <c r="AC38">
        <f>HYPERLINK("https://klasma.github.io/Logging_2182/tillsyn/A 9284-2026 tillsynsbegäran.docx", "A 9284-2026")</f>
        <v/>
      </c>
      <c r="AD38">
        <f>HYPERLINK("https://klasma.github.io/Logging_2182/tillsynsmail/A 9284-2026 tillsynsbegäran mail.docx", "A 9284-2026")</f>
        <v/>
      </c>
    </row>
    <row r="39" ht="15" customHeight="1">
      <c r="A39" t="inlineStr">
        <is>
          <t>A 11791-2026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46085</v>
      </c>
      <c r="E39" s="1" t="n">
        <v>46265</v>
      </c>
      <c r="F39" t="inlineStr">
        <is>
          <t>GÄVLEBORGS LÄN</t>
        </is>
      </c>
      <c r="G39" t="inlineStr">
        <is>
          <t>SÖDERHAMN</t>
        </is>
      </c>
      <c r="I39" t="n">
        <v>8.1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HYPERLINK("https://klasma.github.io/Logging_2182/artfynd/A 11791-2026 artfynd.xlsx", "A 11791-2026")</f>
        <v/>
      </c>
      <c r="X39">
        <f>HYPERLINK("https://klasma.github.io/Logging_2182/kartor/A 11791-2026 karta.png", "A 11791-2026")</f>
        <v/>
      </c>
      <c r="Y39">
        <f>HYPERLINK("https://klasma.github.io/Logging_2182/kartor_geotiff/A 11791-2026 georefererad karta.tif", "A 11791-2026")</f>
        <v/>
      </c>
      <c r="AA39">
        <f>HYPERLINK("https://klasma.github.io/Logging_2182/klagomål/A 11791-2026 FSC-klagomål.docx", "A 11791-2026")</f>
        <v/>
      </c>
      <c r="AB39">
        <f>HYPERLINK("https://klasma.github.io/Logging_2182/klagomålsmail/A 11791-2026 FSC-klagomål mail.docx", "A 11791-2026")</f>
        <v/>
      </c>
      <c r="AC39">
        <f>HYPERLINK("https://klasma.github.io/Logging_2182/tillsyn/A 11791-2026 tillsynsbegäran.docx", "A 11791-2026")</f>
        <v/>
      </c>
      <c r="AD39">
        <f>HYPERLINK("https://klasma.github.io/Logging_2182/tillsynsmail/A 11791-2026 tillsynsbegäran mail.docx", "A 11791-2026")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46265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40097-2024 artfynd.xlsx", "A 40097-2024")</f>
        <v/>
      </c>
      <c r="X40">
        <f>HYPERLINK("https://klasma.github.io/Logging_2182/kartor/A 40097-2024 karta.png", "A 40097-2024")</f>
        <v/>
      </c>
      <c r="Y40">
        <f>HYPERLINK("https://klasma.github.io/Logging_2182/kartor_geotiff/A 40097-2024 georefererad karta.tif", "A 40097-2024")</f>
        <v/>
      </c>
      <c r="AA40">
        <f>HYPERLINK("https://klasma.github.io/Logging_2182/klagomål/A 40097-2024 FSC-klagomål.docx", "A 40097-2024")</f>
        <v/>
      </c>
      <c r="AB40">
        <f>HYPERLINK("https://klasma.github.io/Logging_2182/klagomålsmail/A 40097-2024 FSC-klagomål mail.docx", "A 40097-2024")</f>
        <v/>
      </c>
      <c r="AC40">
        <f>HYPERLINK("https://klasma.github.io/Logging_2182/tillsyn/A 40097-2024 tillsynsbegäran.docx", "A 40097-2024")</f>
        <v/>
      </c>
      <c r="AD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46265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46265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46265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19700-2023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45051</v>
      </c>
      <c r="E44" s="1" t="n">
        <v>46265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Ängsblåvinge</t>
        </is>
      </c>
      <c r="W44">
        <f>HYPERLINK("https://klasma.github.io/Logging_2182/artfynd/A 19700-2023 artfynd.xlsx", "A 19700-2023")</f>
        <v/>
      </c>
      <c r="X44">
        <f>HYPERLINK("https://klasma.github.io/Logging_2182/kartor/A 19700-2023 karta.png", "A 19700-2023")</f>
        <v/>
      </c>
      <c r="Y44">
        <f>HYPERLINK("https://klasma.github.io/Logging_2182/kartor_geotiff/A 19700-2023 georefererad karta.tif", "A 19700-2023")</f>
        <v/>
      </c>
      <c r="AA44">
        <f>HYPERLINK("https://klasma.github.io/Logging_2182/klagomål/A 19700-2023 FSC-klagomål.docx", "A 19700-2023")</f>
        <v/>
      </c>
      <c r="AB44">
        <f>HYPERLINK("https://klasma.github.io/Logging_2182/klagomålsmail/A 19700-2023 FSC-klagomål mail.docx", "A 19700-2023")</f>
        <v/>
      </c>
      <c r="AC44">
        <f>HYPERLINK("https://klasma.github.io/Logging_2182/tillsyn/A 19700-2023 tillsynsbegäran.docx", "A 19700-2023")</f>
        <v/>
      </c>
      <c r="AD44">
        <f>HYPERLINK("https://klasma.github.io/Logging_2182/tillsynsmail/A 19700-2023 tillsynsbegäran mail.docx", "A 19700-2023")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46265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46265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54608-2024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46265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HYPERLINK("https://klasma.github.io/Logging_2182/artfynd/A 54608-2024 artfynd.xlsx", "A 54608-2024")</f>
        <v/>
      </c>
      <c r="X47">
        <f>HYPERLINK("https://klasma.github.io/Logging_2182/kartor/A 54608-2024 karta.png", "A 54608-2024")</f>
        <v/>
      </c>
      <c r="Y47">
        <f>HYPERLINK("https://klasma.github.io/Logging_2182/kartor_geotiff/A 54608-2024 georefererad karta.tif", "A 54608-2024")</f>
        <v/>
      </c>
      <c r="AA47">
        <f>HYPERLINK("https://klasma.github.io/Logging_2182/klagomål/A 54608-2024 FSC-klagomål.docx", "A 54608-2024")</f>
        <v/>
      </c>
      <c r="AB47">
        <f>HYPERLINK("https://klasma.github.io/Logging_2182/klagomålsmail/A 54608-2024 FSC-klagomål mail.docx", "A 54608-2024")</f>
        <v/>
      </c>
      <c r="AC47">
        <f>HYPERLINK("https://klasma.github.io/Logging_2182/tillsyn/A 54608-2024 tillsynsbegäran.docx", "A 54608-2024")</f>
        <v/>
      </c>
      <c r="AD47">
        <f>HYPERLINK("https://klasma.github.io/Logging_2182/tillsynsmail/A 54608-2024 tillsynsbegäran mail.docx", "A 54608-2024")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46265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HYPERLINK("https://klasma.github.io/Logging_2182/artfynd/A 57441-2024 artfynd.xlsx", "A 57441-2024")</f>
        <v/>
      </c>
      <c r="X48">
        <f>HYPERLINK("https://klasma.github.io/Logging_2182/kartor/A 57441-2024 karta.png", "A 57441-2024")</f>
        <v/>
      </c>
      <c r="Y48">
        <f>HYPERLINK("https://klasma.github.io/Logging_2182/kartor_geotiff/A 57441-2024 georefererad karta.tif", "A 57441-2024")</f>
        <v/>
      </c>
      <c r="AA48">
        <f>HYPERLINK("https://klasma.github.io/Logging_2182/klagomål/A 57441-2024 FSC-klagomål.docx", "A 57441-2024")</f>
        <v/>
      </c>
      <c r="AB48">
        <f>HYPERLINK("https://klasma.github.io/Logging_2182/klagomålsmail/A 57441-2024 FSC-klagomål mail.docx", "A 57441-2024")</f>
        <v/>
      </c>
      <c r="AC48">
        <f>HYPERLINK("https://klasma.github.io/Logging_2182/tillsyn/A 57441-2024 tillsynsbegäran.docx", "A 57441-2024")</f>
        <v/>
      </c>
      <c r="AD48">
        <f>HYPERLINK("https://klasma.github.io/Logging_2182/tillsynsmail/A 57441-2024 tillsynsbegäran mail.docx", "A 57441-2024")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46265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46265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46265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46265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46265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46265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46265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46265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46265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46265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46265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46265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46265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46265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46265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46265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46265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46265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46265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46265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46265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46265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46265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46265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46265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46265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46265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46265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46265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46265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46265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46265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46265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46265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45327</v>
      </c>
      <c r="E84" s="1" t="n">
        <v>46265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46265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46265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45008</v>
      </c>
      <c r="E87" s="1" t="n">
        <v>46265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45698</v>
      </c>
      <c r="E88" s="1" t="n">
        <v>46265</v>
      </c>
      <c r="F88" t="inlineStr">
        <is>
          <t>GÄVLEBORGS LÄN</t>
        </is>
      </c>
      <c r="G88" t="inlineStr">
        <is>
          <t>SÖDERHAMN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46265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46265</v>
      </c>
      <c r="F90" t="inlineStr">
        <is>
          <t>GÄVLEBORGS LÄN</t>
        </is>
      </c>
      <c r="G90" t="inlineStr">
        <is>
          <t>SÖDERHAMN</t>
        </is>
      </c>
      <c r="I90" t="n">
        <v>11.2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46265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46265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46265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46265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45779</v>
      </c>
      <c r="E95" s="1" t="n">
        <v>46265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46265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46265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46265</v>
      </c>
      <c r="F98" t="inlineStr">
        <is>
          <t>GÄVLEBORGS LÄN</t>
        </is>
      </c>
      <c r="G98" t="inlineStr">
        <is>
          <t>SÖDERHAMN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46265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46265</v>
      </c>
      <c r="F100" t="inlineStr">
        <is>
          <t>GÄVLEBORGS LÄN</t>
        </is>
      </c>
      <c r="G100" t="inlineStr">
        <is>
          <t>SÖDERHAMN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46265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46265</v>
      </c>
      <c r="F102" t="inlineStr">
        <is>
          <t>GÄVLEBORGS LÄN</t>
        </is>
      </c>
      <c r="G102" t="inlineStr">
        <is>
          <t>SÖDERHAMN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46265</v>
      </c>
      <c r="F103" t="inlineStr">
        <is>
          <t>GÄVLEBORGS LÄN</t>
        </is>
      </c>
      <c r="G103" t="inlineStr">
        <is>
          <t>SÖDERHAMN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46265</v>
      </c>
      <c r="F104" t="inlineStr">
        <is>
          <t>GÄVLEBORGS LÄN</t>
        </is>
      </c>
      <c r="G104" t="inlineStr">
        <is>
          <t>SÖDERHAMN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46265</v>
      </c>
      <c r="F105" t="inlineStr">
        <is>
          <t>GÄVLEBORGS LÄN</t>
        </is>
      </c>
      <c r="G105" t="inlineStr">
        <is>
          <t>SÖDERHAMN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46265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46265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46265</v>
      </c>
      <c r="F108" t="inlineStr">
        <is>
          <t>GÄVLEBORGS LÄN</t>
        </is>
      </c>
      <c r="G108" t="inlineStr">
        <is>
          <t>SÖDERHAMN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46265</v>
      </c>
      <c r="F109" t="inlineStr">
        <is>
          <t>GÄVLEBORGS LÄN</t>
        </is>
      </c>
      <c r="G109" t="inlineStr">
        <is>
          <t>SÖDERHAMN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54266-2025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46265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46265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46265</v>
      </c>
      <c r="F112" t="inlineStr">
        <is>
          <t>GÄVLEBORGS LÄN</t>
        </is>
      </c>
      <c r="G112" t="inlineStr">
        <is>
          <t>SÖDERHAMN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46265</v>
      </c>
      <c r="F113" t="inlineStr">
        <is>
          <t>GÄVLEBORGS LÄN</t>
        </is>
      </c>
      <c r="G113" t="inlineStr">
        <is>
          <t>SÖDERHAMN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45966</v>
      </c>
      <c r="E114" s="1" t="n">
        <v>46265</v>
      </c>
      <c r="F114" t="inlineStr">
        <is>
          <t>GÄVLEBORGS LÄN</t>
        </is>
      </c>
      <c r="G114" t="inlineStr">
        <is>
          <t>SÖDERHAMN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46265</v>
      </c>
      <c r="F115" t="inlineStr">
        <is>
          <t>GÄVLEBORGS LÄN</t>
        </is>
      </c>
      <c r="G115" t="inlineStr">
        <is>
          <t>SÖDERHAMN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46265</v>
      </c>
      <c r="F116" t="inlineStr">
        <is>
          <t>GÄVLEBORGS LÄN</t>
        </is>
      </c>
      <c r="G116" t="inlineStr">
        <is>
          <t>SÖDERHAMN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46265</v>
      </c>
      <c r="F117" t="inlineStr">
        <is>
          <t>GÄVLEBORGS LÄN</t>
        </is>
      </c>
      <c r="G117" t="inlineStr">
        <is>
          <t>SÖDERHAMN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46265</v>
      </c>
      <c r="F118" t="inlineStr">
        <is>
          <t>GÄVLEBORGS LÄN</t>
        </is>
      </c>
      <c r="G118" t="inlineStr">
        <is>
          <t>SÖDERHAMN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46265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46265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46265</v>
      </c>
      <c r="F121" t="inlineStr">
        <is>
          <t>GÄVLEBORGS LÄN</t>
        </is>
      </c>
      <c r="G121" t="inlineStr">
        <is>
          <t>SÖDERHAMN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46265</v>
      </c>
      <c r="F122" t="inlineStr">
        <is>
          <t>GÄVLEBORGS LÄN</t>
        </is>
      </c>
      <c r="G122" t="inlineStr">
        <is>
          <t>SÖDERHAMN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46265</v>
      </c>
      <c r="F123" t="inlineStr">
        <is>
          <t>GÄVLEBORGS LÄN</t>
        </is>
      </c>
      <c r="G123" t="inlineStr">
        <is>
          <t>SÖDERHAMN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72644-2021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44546</v>
      </c>
      <c r="E124" s="1" t="n">
        <v>46265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45967</v>
      </c>
      <c r="E125" s="1" t="n">
        <v>46265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46265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46265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46265</v>
      </c>
      <c r="F128" t="inlineStr">
        <is>
          <t>GÄVLEBORGS LÄN</t>
        </is>
      </c>
      <c r="G128" t="inlineStr">
        <is>
          <t>SÖDERHAMN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46265</v>
      </c>
      <c r="F129" t="inlineStr">
        <is>
          <t>GÄVLEBORGS LÄN</t>
        </is>
      </c>
      <c r="G129" t="inlineStr">
        <is>
          <t>SÖDERHAMN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46265</v>
      </c>
      <c r="F130" t="inlineStr">
        <is>
          <t>GÄVLEBORGS LÄN</t>
        </is>
      </c>
      <c r="G130" t="inlineStr">
        <is>
          <t>SÖDERHAMN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45972</v>
      </c>
      <c r="E131" s="1" t="n">
        <v>46265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46265</v>
      </c>
      <c r="F132" t="inlineStr">
        <is>
          <t>GÄVLEBORGS LÄN</t>
        </is>
      </c>
      <c r="G132" t="inlineStr">
        <is>
          <t>SÖDERHAMN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63932-2023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46265</v>
      </c>
      <c r="F133" t="inlineStr">
        <is>
          <t>GÄVLEBORGS LÄN</t>
        </is>
      </c>
      <c r="G133" t="inlineStr">
        <is>
          <t>SÖDERHAMN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55730-2025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45972</v>
      </c>
      <c r="E134" s="1" t="n">
        <v>46265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46265</v>
      </c>
      <c r="F135" t="inlineStr">
        <is>
          <t>GÄVLEBORGS LÄN</t>
        </is>
      </c>
      <c r="G135" t="inlineStr">
        <is>
          <t>SÖDERHAMN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46265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13.5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46265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45545</v>
      </c>
      <c r="E138" s="1" t="n">
        <v>46265</v>
      </c>
      <c r="F138" t="inlineStr">
        <is>
          <t>GÄVLEBORGS LÄN</t>
        </is>
      </c>
      <c r="G138" t="inlineStr">
        <is>
          <t>SÖDERHAMN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45545</v>
      </c>
      <c r="E139" s="1" t="n">
        <v>46265</v>
      </c>
      <c r="F139" t="inlineStr">
        <is>
          <t>GÄVLEBORGS LÄN</t>
        </is>
      </c>
      <c r="G139" t="inlineStr">
        <is>
          <t>SÖDERHAMN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46265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46265</v>
      </c>
      <c r="F141" t="inlineStr">
        <is>
          <t>GÄVLEBORGS LÄN</t>
        </is>
      </c>
      <c r="G141" t="inlineStr">
        <is>
          <t>SÖDERHAMN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45899</v>
      </c>
      <c r="E142" s="1" t="n">
        <v>46265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46265</v>
      </c>
      <c r="F143" t="inlineStr">
        <is>
          <t>GÄVLEBORGS LÄN</t>
        </is>
      </c>
      <c r="G143" t="inlineStr">
        <is>
          <t>SÖDERHAMN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46265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46265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46265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46265</v>
      </c>
      <c r="F147" t="inlineStr">
        <is>
          <t>GÄVLEBORGS LÄN</t>
        </is>
      </c>
      <c r="G147" t="inlineStr">
        <is>
          <t>SÖDERHAMN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45527</v>
      </c>
      <c r="E148" s="1" t="n">
        <v>46265</v>
      </c>
      <c r="F148" t="inlineStr">
        <is>
          <t>GÄVLEBORGS LÄN</t>
        </is>
      </c>
      <c r="G148" t="inlineStr">
        <is>
          <t>SÖDERHAMN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45442</v>
      </c>
      <c r="E149" s="1" t="n">
        <v>46265</v>
      </c>
      <c r="F149" t="inlineStr">
        <is>
          <t>GÄVLEBORGS LÄN</t>
        </is>
      </c>
      <c r="G149" t="inlineStr">
        <is>
          <t>SÖDERHAMN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46265</v>
      </c>
      <c r="F150" t="inlineStr">
        <is>
          <t>GÄVLEBORGS LÄN</t>
        </is>
      </c>
      <c r="G150" t="inlineStr">
        <is>
          <t>SÖDERHAMN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46265</v>
      </c>
      <c r="F151" t="inlineStr">
        <is>
          <t>GÄVLEBORGS LÄN</t>
        </is>
      </c>
      <c r="G151" t="inlineStr">
        <is>
          <t>SÖDERHAMN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46265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46265</v>
      </c>
      <c r="F153" t="inlineStr">
        <is>
          <t>GÄVLEBORGS LÄN</t>
        </is>
      </c>
      <c r="G153" t="inlineStr">
        <is>
          <t>SÖDERHAMN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46265</v>
      </c>
      <c r="F154" t="inlineStr">
        <is>
          <t>GÄVLEBORGS LÄN</t>
        </is>
      </c>
      <c r="G154" t="inlineStr">
        <is>
          <t>SÖDERHAMN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46265</v>
      </c>
      <c r="F155" t="inlineStr">
        <is>
          <t>GÄVLEBORGS LÄN</t>
        </is>
      </c>
      <c r="G155" t="inlineStr">
        <is>
          <t>SÖDERHAMN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46265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45978</v>
      </c>
      <c r="E157" s="1" t="n">
        <v>46265</v>
      </c>
      <c r="F157" t="inlineStr">
        <is>
          <t>GÄVLEBORGS LÄN</t>
        </is>
      </c>
      <c r="G157" t="inlineStr">
        <is>
          <t>SÖDERHAMN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46265</v>
      </c>
      <c r="F158" t="inlineStr">
        <is>
          <t>GÄVLEBORGS LÄN</t>
        </is>
      </c>
      <c r="G158" t="inlineStr">
        <is>
          <t>SÖDERHAMN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31676-2022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44776</v>
      </c>
      <c r="E159" s="1" t="n">
        <v>46265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45961</v>
      </c>
      <c r="E160" s="1" t="n">
        <v>46265</v>
      </c>
      <c r="F160" t="inlineStr">
        <is>
          <t>GÄVLEBORGS LÄN</t>
        </is>
      </c>
      <c r="G160" t="inlineStr">
        <is>
          <t>SÖDERHAMN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46265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46265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46265</v>
      </c>
      <c r="F163" t="inlineStr">
        <is>
          <t>GÄVLEBORGS LÄN</t>
        </is>
      </c>
      <c r="G163" t="inlineStr">
        <is>
          <t>SÖDERHAMN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46265</v>
      </c>
      <c r="F164" t="inlineStr">
        <is>
          <t>GÄVLEBORGS LÄN</t>
        </is>
      </c>
      <c r="G164" t="inlineStr">
        <is>
          <t>SÖDERHAMN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45471</v>
      </c>
      <c r="E165" s="1" t="n">
        <v>46265</v>
      </c>
      <c r="F165" t="inlineStr">
        <is>
          <t>GÄVLEBORGS LÄN</t>
        </is>
      </c>
      <c r="G165" t="inlineStr">
        <is>
          <t>SÖDERHAMN</t>
        </is>
      </c>
      <c r="H165" t="inlineStr">
        <is>
          <t>Kommuner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46265</v>
      </c>
      <c r="F166" t="inlineStr">
        <is>
          <t>GÄVLEBORGS LÄN</t>
        </is>
      </c>
      <c r="G166" t="inlineStr">
        <is>
          <t>SÖDERHAMN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46265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46265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46265</v>
      </c>
      <c r="F169" t="inlineStr">
        <is>
          <t>GÄVLEBORGS LÄN</t>
        </is>
      </c>
      <c r="G169" t="inlineStr">
        <is>
          <t>SÖDERHAMN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45428</v>
      </c>
      <c r="E170" s="1" t="n">
        <v>46265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46265</v>
      </c>
      <c r="F171" t="inlineStr">
        <is>
          <t>GÄVLEBORGS LÄN</t>
        </is>
      </c>
      <c r="G171" t="inlineStr">
        <is>
          <t>SÖDERHAMN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46265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46265</v>
      </c>
      <c r="F173" t="inlineStr">
        <is>
          <t>GÄVLEBORGS LÄN</t>
        </is>
      </c>
      <c r="G173" t="inlineStr">
        <is>
          <t>SÖDERHAMN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44883</v>
      </c>
      <c r="E174" s="1" t="n">
        <v>46265</v>
      </c>
      <c r="F174" t="inlineStr">
        <is>
          <t>GÄVLEBORGS LÄN</t>
        </is>
      </c>
      <c r="G174" t="inlineStr">
        <is>
          <t>SÖDERHAMN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46265</v>
      </c>
      <c r="F175" t="inlineStr">
        <is>
          <t>GÄVLEBORGS LÄN</t>
        </is>
      </c>
      <c r="G175" t="inlineStr">
        <is>
          <t>SÖDERHAMN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46265</v>
      </c>
      <c r="F176" t="inlineStr">
        <is>
          <t>GÄVLEBORGS LÄN</t>
        </is>
      </c>
      <c r="G176" t="inlineStr">
        <is>
          <t>SÖDERHAMN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46265</v>
      </c>
      <c r="F177" t="inlineStr">
        <is>
          <t>GÄVLEBORGS LÄN</t>
        </is>
      </c>
      <c r="G177" t="inlineStr">
        <is>
          <t>SÖDERHAMN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45545</v>
      </c>
      <c r="E178" s="1" t="n">
        <v>46265</v>
      </c>
      <c r="F178" t="inlineStr">
        <is>
          <t>GÄVLEBORGS LÄN</t>
        </is>
      </c>
      <c r="G178" t="inlineStr">
        <is>
          <t>SÖDERHAMN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46265</v>
      </c>
      <c r="F179" t="inlineStr">
        <is>
          <t>GÄVLEBORGS LÄN</t>
        </is>
      </c>
      <c r="G179" t="inlineStr">
        <is>
          <t>SÖDERHAMN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46265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46265</v>
      </c>
      <c r="F181" t="inlineStr">
        <is>
          <t>GÄVLEBORGS LÄN</t>
        </is>
      </c>
      <c r="G181" t="inlineStr">
        <is>
          <t>SÖDERHAMN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46265</v>
      </c>
      <c r="F182" t="inlineStr">
        <is>
          <t>GÄVLEBORGS LÄN</t>
        </is>
      </c>
      <c r="G182" t="inlineStr">
        <is>
          <t>SÖDERHAMN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46265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45810</v>
      </c>
      <c r="E184" s="1" t="n">
        <v>46265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46265</v>
      </c>
      <c r="F185" t="inlineStr">
        <is>
          <t>GÄVLEBORGS LÄN</t>
        </is>
      </c>
      <c r="G185" t="inlineStr">
        <is>
          <t>SÖDERHAMN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46265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45762</v>
      </c>
      <c r="E187" s="1" t="n">
        <v>46265</v>
      </c>
      <c r="F187" t="inlineStr">
        <is>
          <t>GÄVLEBORGS LÄN</t>
        </is>
      </c>
      <c r="G187" t="inlineStr">
        <is>
          <t>SÖDERHAMN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46265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46265</v>
      </c>
      <c r="F189" t="inlineStr">
        <is>
          <t>GÄVLEBORGS LÄN</t>
        </is>
      </c>
      <c r="G189" t="inlineStr">
        <is>
          <t>SÖDERHAMN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46265</v>
      </c>
      <c r="F190" t="inlineStr">
        <is>
          <t>GÄVLEBORGS LÄN</t>
        </is>
      </c>
      <c r="G190" t="inlineStr">
        <is>
          <t>SÖDERHAMN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46265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46265</v>
      </c>
      <c r="F192" t="inlineStr">
        <is>
          <t>GÄVLEBORGS LÄN</t>
        </is>
      </c>
      <c r="G192" t="inlineStr">
        <is>
          <t>SÖDERHAMN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46265</v>
      </c>
      <c r="F193" t="inlineStr">
        <is>
          <t>GÄVLEBORGS LÄN</t>
        </is>
      </c>
      <c r="G193" t="inlineStr">
        <is>
          <t>SÖDERHAMN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46265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46265</v>
      </c>
      <c r="F195" t="inlineStr">
        <is>
          <t>GÄVLEBORGS LÄN</t>
        </is>
      </c>
      <c r="G195" t="inlineStr">
        <is>
          <t>SÖDERHAMN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46265</v>
      </c>
      <c r="F196" t="inlineStr">
        <is>
          <t>GÄVLEBORGS LÄN</t>
        </is>
      </c>
      <c r="G196" t="inlineStr">
        <is>
          <t>SÖDERHAMN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46265</v>
      </c>
      <c r="F197" t="inlineStr">
        <is>
          <t>GÄVLEBORGS LÄN</t>
        </is>
      </c>
      <c r="G197" t="inlineStr">
        <is>
          <t>SÖDERHAMN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45995</v>
      </c>
      <c r="E198" s="1" t="n">
        <v>46265</v>
      </c>
      <c r="F198" t="inlineStr">
        <is>
          <t>GÄVLEBORGS LÄN</t>
        </is>
      </c>
      <c r="G198" t="inlineStr">
        <is>
          <t>SÖDERHAMN</t>
        </is>
      </c>
      <c r="I198" t="n">
        <v>14.1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46265</v>
      </c>
      <c r="F199" t="inlineStr">
        <is>
          <t>GÄVLEBORGS LÄN</t>
        </is>
      </c>
      <c r="G199" t="inlineStr">
        <is>
          <t>SÖDERHAMN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46265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46265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46265</v>
      </c>
      <c r="F202" t="inlineStr">
        <is>
          <t>GÄVLEBORGS LÄN</t>
        </is>
      </c>
      <c r="G202" t="inlineStr">
        <is>
          <t>SÖDERHAMN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46265</v>
      </c>
      <c r="F203" t="inlineStr">
        <is>
          <t>GÄVLEBORGS LÄN</t>
        </is>
      </c>
      <c r="G203" t="inlineStr">
        <is>
          <t>SÖDERHAMN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46265</v>
      </c>
      <c r="F204" t="inlineStr">
        <is>
          <t>GÄVLEBORGS LÄN</t>
        </is>
      </c>
      <c r="G204" t="inlineStr">
        <is>
          <t>SÖDERHAMN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46265</v>
      </c>
      <c r="F205" t="inlineStr">
        <is>
          <t>GÄVLEBORGS LÄN</t>
        </is>
      </c>
      <c r="G205" t="inlineStr">
        <is>
          <t>SÖDERHAMN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46265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46265</v>
      </c>
      <c r="F207" t="inlineStr">
        <is>
          <t>GÄVLEBORGS LÄN</t>
        </is>
      </c>
      <c r="G207" t="inlineStr">
        <is>
          <t>SÖDERHAMN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46265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46265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46265</v>
      </c>
      <c r="F210" t="inlineStr">
        <is>
          <t>GÄVLEBORGS LÄN</t>
        </is>
      </c>
      <c r="G210" t="inlineStr">
        <is>
          <t>SÖDERHAMN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44937</v>
      </c>
      <c r="E211" s="1" t="n">
        <v>46265</v>
      </c>
      <c r="F211" t="inlineStr">
        <is>
          <t>GÄVLEBORGS LÄN</t>
        </is>
      </c>
      <c r="G211" t="inlineStr">
        <is>
          <t>SÖDERHAMN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44869</v>
      </c>
      <c r="E212" s="1" t="n">
        <v>46265</v>
      </c>
      <c r="F212" t="inlineStr">
        <is>
          <t>GÄVLEBORGS LÄN</t>
        </is>
      </c>
      <c r="G212" t="inlineStr">
        <is>
          <t>SÖDERHAMN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61416-2025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46001</v>
      </c>
      <c r="E213" s="1" t="n">
        <v>46265</v>
      </c>
      <c r="F213" t="inlineStr">
        <is>
          <t>GÄVLEBORGS LÄN</t>
        </is>
      </c>
      <c r="G213" t="inlineStr">
        <is>
          <t>SÖDERHAMN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46265</v>
      </c>
      <c r="F214" t="inlineStr">
        <is>
          <t>GÄVLEBORGS LÄN</t>
        </is>
      </c>
      <c r="G214" t="inlineStr">
        <is>
          <t>SÖDERHAMN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46265</v>
      </c>
      <c r="F215" t="inlineStr">
        <is>
          <t>GÄVLEBORGS LÄN</t>
        </is>
      </c>
      <c r="G215" t="inlineStr">
        <is>
          <t>SÖDERHAMN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46265</v>
      </c>
      <c r="F216" t="inlineStr">
        <is>
          <t>GÄVLEBORGS LÄN</t>
        </is>
      </c>
      <c r="G216" t="inlineStr">
        <is>
          <t>SÖDERHAMN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46265</v>
      </c>
      <c r="F217" t="inlineStr">
        <is>
          <t>GÄVLEBORGS LÄN</t>
        </is>
      </c>
      <c r="G217" t="inlineStr">
        <is>
          <t>SÖDERHAMN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46265</v>
      </c>
      <c r="F218" t="inlineStr">
        <is>
          <t>GÄVLEBORGS LÄN</t>
        </is>
      </c>
      <c r="G218" t="inlineStr">
        <is>
          <t>SÖDERHAMN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46265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34752-2024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46265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46265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46265</v>
      </c>
      <c r="F222" t="inlineStr">
        <is>
          <t>GÄVLEBORGS LÄN</t>
        </is>
      </c>
      <c r="G222" t="inlineStr">
        <is>
          <t>SÖDERHAMN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46265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46265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46265</v>
      </c>
      <c r="F225" t="inlineStr">
        <is>
          <t>GÄVLEBORGS LÄN</t>
        </is>
      </c>
      <c r="G225" t="inlineStr">
        <is>
          <t>SÖDERHAMN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46265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46265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44956</v>
      </c>
      <c r="E228" s="1" t="n">
        <v>46265</v>
      </c>
      <c r="F228" t="inlineStr">
        <is>
          <t>GÄVLEBORGS LÄN</t>
        </is>
      </c>
      <c r="G228" t="inlineStr">
        <is>
          <t>SÖDERHAMN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46265</v>
      </c>
      <c r="F229" t="inlineStr">
        <is>
          <t>GÄVLEBORGS LÄN</t>
        </is>
      </c>
      <c r="G229" t="inlineStr">
        <is>
          <t>SÖDERHAMN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44703-2024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45574</v>
      </c>
      <c r="E230" s="1" t="n">
        <v>46265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45863</v>
      </c>
      <c r="E231" s="1" t="n">
        <v>46265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46265</v>
      </c>
      <c r="F232" t="inlineStr">
        <is>
          <t>GÄVLEBORGS LÄN</t>
        </is>
      </c>
      <c r="G232" t="inlineStr">
        <is>
          <t>SÖDERHAMN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46265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45609</v>
      </c>
      <c r="E234" s="1" t="n">
        <v>46265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45609</v>
      </c>
      <c r="E235" s="1" t="n">
        <v>46265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55240-2024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45621</v>
      </c>
      <c r="E236" s="1" t="n">
        <v>46265</v>
      </c>
      <c r="F236" t="inlineStr">
        <is>
          <t>GÄVLEBORGS LÄN</t>
        </is>
      </c>
      <c r="G236" t="inlineStr">
        <is>
          <t>SÖDERHAMN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45597</v>
      </c>
      <c r="E237" s="1" t="n">
        <v>46265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44460</v>
      </c>
      <c r="E238" s="1" t="n">
        <v>46265</v>
      </c>
      <c r="F238" t="inlineStr">
        <is>
          <t>GÄVLEBORGS LÄN</t>
        </is>
      </c>
      <c r="G238" t="inlineStr">
        <is>
          <t>SÖDERHAMN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45879</v>
      </c>
      <c r="E239" s="1" t="n">
        <v>46265</v>
      </c>
      <c r="F239" t="inlineStr">
        <is>
          <t>GÄVLEBORGS LÄN</t>
        </is>
      </c>
      <c r="G239" t="inlineStr">
        <is>
          <t>SÖDERHAMN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45879</v>
      </c>
      <c r="E240" s="1" t="n">
        <v>46265</v>
      </c>
      <c r="F240" t="inlineStr">
        <is>
          <t>GÄVLEBORGS LÄN</t>
        </is>
      </c>
      <c r="G240" t="inlineStr">
        <is>
          <t>SÖDERHAMN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45821</v>
      </c>
      <c r="E241" s="1" t="n">
        <v>46265</v>
      </c>
      <c r="F241" t="inlineStr">
        <is>
          <t>GÄVLEBORGS LÄN</t>
        </is>
      </c>
      <c r="G241" t="inlineStr">
        <is>
          <t>SÖDERHAMN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46265</v>
      </c>
      <c r="F242" t="inlineStr">
        <is>
          <t>GÄVLEBORGS LÄN</t>
        </is>
      </c>
      <c r="G242" t="inlineStr">
        <is>
          <t>SÖDERHAMN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46265</v>
      </c>
      <c r="F243" t="inlineStr">
        <is>
          <t>GÄVLEBORGS LÄN</t>
        </is>
      </c>
      <c r="G243" t="inlineStr">
        <is>
          <t>SÖDERHAMN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46008</v>
      </c>
      <c r="E244" s="1" t="n">
        <v>46265</v>
      </c>
      <c r="F244" t="inlineStr">
        <is>
          <t>GÄVLEBORGS LÄN</t>
        </is>
      </c>
      <c r="G244" t="inlineStr">
        <is>
          <t>SÖDERHAMN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45548</v>
      </c>
      <c r="E245" s="1" t="n">
        <v>46265</v>
      </c>
      <c r="F245" t="inlineStr">
        <is>
          <t>GÄVLEBORGS LÄN</t>
        </is>
      </c>
      <c r="G245" t="inlineStr">
        <is>
          <t>SÖDERHAMN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46265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46265</v>
      </c>
      <c r="F247" t="inlineStr">
        <is>
          <t>GÄVLEBORGS LÄN</t>
        </is>
      </c>
      <c r="G247" t="inlineStr">
        <is>
          <t>SÖDERHAMN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46265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44795</v>
      </c>
      <c r="E249" s="1" t="n">
        <v>46265</v>
      </c>
      <c r="F249" t="inlineStr">
        <is>
          <t>GÄVLEBORGS LÄN</t>
        </is>
      </c>
      <c r="G249" t="inlineStr">
        <is>
          <t>SÖDERHAMN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46265</v>
      </c>
      <c r="F250" t="inlineStr">
        <is>
          <t>GÄVLEBORGS LÄN</t>
        </is>
      </c>
      <c r="G250" t="inlineStr">
        <is>
          <t>SÖDERHAMN</t>
        </is>
      </c>
      <c r="H250" t="inlineStr">
        <is>
          <t>Kommuner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45722</v>
      </c>
      <c r="E251" s="1" t="n">
        <v>46265</v>
      </c>
      <c r="F251" t="inlineStr">
        <is>
          <t>GÄVLEBORGS LÄN</t>
        </is>
      </c>
      <c r="G251" t="inlineStr">
        <is>
          <t>SÖDERHAMN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46265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Kommuner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57500-2023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45246</v>
      </c>
      <c r="E253" s="1" t="n">
        <v>46265</v>
      </c>
      <c r="F253" t="inlineStr">
        <is>
          <t>GÄVLEBORGS LÄN</t>
        </is>
      </c>
      <c r="G253" t="inlineStr">
        <is>
          <t>SÖDERHAMN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46265</v>
      </c>
      <c r="F254" t="inlineStr">
        <is>
          <t>GÄVLEBORGS LÄN</t>
        </is>
      </c>
      <c r="G254" t="inlineStr">
        <is>
          <t>SÖDERHAMN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44837</v>
      </c>
      <c r="E255" s="1" t="n">
        <v>46265</v>
      </c>
      <c r="F255" t="inlineStr">
        <is>
          <t>GÄVLEBORGS LÄN</t>
        </is>
      </c>
      <c r="G255" t="inlineStr">
        <is>
          <t>SÖDERHAMN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45705</v>
      </c>
      <c r="E256" s="1" t="n">
        <v>46265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46265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46265</v>
      </c>
      <c r="F258" t="inlineStr">
        <is>
          <t>GÄVLEBORGS LÄN</t>
        </is>
      </c>
      <c r="G258" t="inlineStr">
        <is>
          <t>SÖDERHAMN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46265</v>
      </c>
      <c r="F259" t="inlineStr">
        <is>
          <t>GÄVLEBORGS LÄN</t>
        </is>
      </c>
      <c r="G259" t="inlineStr">
        <is>
          <t>SÖDERHAMN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40811-2022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44824</v>
      </c>
      <c r="E260" s="1" t="n">
        <v>46265</v>
      </c>
      <c r="F260" t="inlineStr">
        <is>
          <t>GÄVLEBORGS LÄN</t>
        </is>
      </c>
      <c r="G260" t="inlineStr">
        <is>
          <t>SÖDERHAMN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46265</v>
      </c>
      <c r="F261" t="inlineStr">
        <is>
          <t>GÄVLEBORGS LÄN</t>
        </is>
      </c>
      <c r="G261" t="inlineStr">
        <is>
          <t>SÖDERHAMN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46265</v>
      </c>
      <c r="F262" t="inlineStr">
        <is>
          <t>GÄVLEBORGS LÄN</t>
        </is>
      </c>
      <c r="G262" t="inlineStr">
        <is>
          <t>SÖDERHAMN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46265</v>
      </c>
      <c r="F263" t="inlineStr">
        <is>
          <t>GÄVLEBORGS LÄN</t>
        </is>
      </c>
      <c r="G263" t="inlineStr">
        <is>
          <t>SÖDERHAMN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46265</v>
      </c>
      <c r="F264" t="inlineStr">
        <is>
          <t>GÄVLEBORGS LÄN</t>
        </is>
      </c>
      <c r="G264" t="inlineStr">
        <is>
          <t>SÖDERHAMN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46265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40745-2023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45170</v>
      </c>
      <c r="E266" s="1" t="n">
        <v>46265</v>
      </c>
      <c r="F266" t="inlineStr">
        <is>
          <t>GÄVLEBORGS LÄN</t>
        </is>
      </c>
      <c r="G266" t="inlineStr">
        <is>
          <t>SÖDERHAMN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46265</v>
      </c>
      <c r="F267" t="inlineStr">
        <is>
          <t>GÄVLEBORGS LÄN</t>
        </is>
      </c>
      <c r="G267" t="inlineStr">
        <is>
          <t>SÖDERHAMN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46026</v>
      </c>
      <c r="E268" s="1" t="n">
        <v>46265</v>
      </c>
      <c r="F268" t="inlineStr">
        <is>
          <t>GÄVLEBORGS LÄN</t>
        </is>
      </c>
      <c r="G268" t="inlineStr">
        <is>
          <t>SÖDERHAMN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46265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46265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46265</v>
      </c>
      <c r="F271" t="inlineStr">
        <is>
          <t>GÄVLEBORGS LÄN</t>
        </is>
      </c>
      <c r="G271" t="inlineStr">
        <is>
          <t>SÖDERHAMN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46265</v>
      </c>
      <c r="F272" t="inlineStr">
        <is>
          <t>GÄVLEBORGS LÄN</t>
        </is>
      </c>
      <c r="G272" t="inlineStr">
        <is>
          <t>SÖDERHAMN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46265</v>
      </c>
      <c r="F273" t="inlineStr">
        <is>
          <t>GÄVLEBORGS LÄN</t>
        </is>
      </c>
      <c r="G273" t="inlineStr">
        <is>
          <t>SÖDERHAMN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46265</v>
      </c>
      <c r="F274" t="inlineStr">
        <is>
          <t>GÄVLEBORGS LÄN</t>
        </is>
      </c>
      <c r="G274" t="inlineStr">
        <is>
          <t>SÖDERHAMN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46024</v>
      </c>
      <c r="E275" s="1" t="n">
        <v>46265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46265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46265</v>
      </c>
      <c r="F277" t="inlineStr">
        <is>
          <t>GÄVLEBORGS LÄN</t>
        </is>
      </c>
      <c r="G277" t="inlineStr">
        <is>
          <t>SÖDERHAMN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46265</v>
      </c>
      <c r="F278" t="inlineStr">
        <is>
          <t>GÄVLEBORGS LÄN</t>
        </is>
      </c>
      <c r="G278" t="inlineStr">
        <is>
          <t>SÖDERHAMN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46265</v>
      </c>
      <c r="F279" t="inlineStr">
        <is>
          <t>GÄVLEBORGS LÄN</t>
        </is>
      </c>
      <c r="G279" t="inlineStr">
        <is>
          <t>SÖDERHAMN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46265</v>
      </c>
      <c r="F280" t="inlineStr">
        <is>
          <t>GÄVLEBORGS LÄN</t>
        </is>
      </c>
      <c r="G280" t="inlineStr">
        <is>
          <t>SÖDERHAMN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46265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46265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46265</v>
      </c>
      <c r="F283" t="inlineStr">
        <is>
          <t>GÄVLEBORGS LÄN</t>
        </is>
      </c>
      <c r="G283" t="inlineStr">
        <is>
          <t>SÖDERHAMN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46265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46265</v>
      </c>
      <c r="F285" t="inlineStr">
        <is>
          <t>GÄVLEBORGS LÄN</t>
        </is>
      </c>
      <c r="G285" t="inlineStr">
        <is>
          <t>SÖDERHAMN</t>
        </is>
      </c>
      <c r="I285" t="n">
        <v>12.5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46265</v>
      </c>
      <c r="F286" t="inlineStr">
        <is>
          <t>GÄVLEBORGS LÄN</t>
        </is>
      </c>
      <c r="G286" t="inlineStr">
        <is>
          <t>SÖDERHAMN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46265</v>
      </c>
      <c r="F287" t="inlineStr">
        <is>
          <t>GÄVLEBORGS LÄN</t>
        </is>
      </c>
      <c r="G287" t="inlineStr">
        <is>
          <t>SÖDERHAMN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46265</v>
      </c>
      <c r="F288" t="inlineStr">
        <is>
          <t>GÄVLEBORGS LÄN</t>
        </is>
      </c>
      <c r="G288" t="inlineStr">
        <is>
          <t>SÖDERHAMN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46265</v>
      </c>
      <c r="F289" t="inlineStr">
        <is>
          <t>GÄVLEBORGS LÄN</t>
        </is>
      </c>
      <c r="G289" t="inlineStr">
        <is>
          <t>SÖDERHAMN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46265</v>
      </c>
      <c r="F290" t="inlineStr">
        <is>
          <t>GÄVLEBORGS LÄN</t>
        </is>
      </c>
      <c r="G290" t="inlineStr">
        <is>
          <t>SÖDERHAMN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46265</v>
      </c>
      <c r="F291" t="inlineStr">
        <is>
          <t>GÄVLEBORGS LÄN</t>
        </is>
      </c>
      <c r="G291" t="inlineStr">
        <is>
          <t>SÖDERHAMN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46265</v>
      </c>
      <c r="F292" t="inlineStr">
        <is>
          <t>GÄVLEBORGS LÄN</t>
        </is>
      </c>
      <c r="G292" t="inlineStr">
        <is>
          <t>SÖDERHAMN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46265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46265</v>
      </c>
      <c r="F294" t="inlineStr">
        <is>
          <t>GÄVLEBORGS LÄN</t>
        </is>
      </c>
      <c r="G294" t="inlineStr">
        <is>
          <t>SÖDERHAMN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46265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46265</v>
      </c>
      <c r="F296" t="inlineStr">
        <is>
          <t>GÄVLEBORGS LÄN</t>
        </is>
      </c>
      <c r="G296" t="inlineStr">
        <is>
          <t>SÖDERHAMN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46265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46265</v>
      </c>
      <c r="F298" t="inlineStr">
        <is>
          <t>GÄVLEBORGS LÄN</t>
        </is>
      </c>
      <c r="G298" t="inlineStr">
        <is>
          <t>SÖDERHAMN</t>
        </is>
      </c>
      <c r="H298" t="inlineStr">
        <is>
          <t>Kommuner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46265</v>
      </c>
      <c r="F299" t="inlineStr">
        <is>
          <t>GÄVLEBORGS LÄN</t>
        </is>
      </c>
      <c r="G299" t="inlineStr">
        <is>
          <t>SÖDERHAMN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46265</v>
      </c>
      <c r="F300" t="inlineStr">
        <is>
          <t>GÄVLEBORGS LÄN</t>
        </is>
      </c>
      <c r="G300" t="inlineStr">
        <is>
          <t>SÖDERHAMN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46052</v>
      </c>
      <c r="E301" s="1" t="n">
        <v>46265</v>
      </c>
      <c r="F301" t="inlineStr">
        <is>
          <t>GÄVLEBORGS LÄN</t>
        </is>
      </c>
      <c r="G301" t="inlineStr">
        <is>
          <t>SÖDERHAMN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46265</v>
      </c>
      <c r="F302" t="inlineStr">
        <is>
          <t>GÄVLEBORGS LÄN</t>
        </is>
      </c>
      <c r="G302" t="inlineStr">
        <is>
          <t>SÖDERHAMN</t>
        </is>
      </c>
      <c r="I302" t="n">
        <v>14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46265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46265</v>
      </c>
      <c r="F304" t="inlineStr">
        <is>
          <t>GÄVLEBORGS LÄN</t>
        </is>
      </c>
      <c r="G304" t="inlineStr">
        <is>
          <t>SÖDERHAMN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46265</v>
      </c>
      <c r="F305" t="inlineStr">
        <is>
          <t>GÄVLEBORGS LÄN</t>
        </is>
      </c>
      <c r="G305" t="inlineStr">
        <is>
          <t>SÖDERHAMN</t>
        </is>
      </c>
      <c r="H305" t="inlineStr">
        <is>
          <t>Övriga statliga verk och myndigheter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46265</v>
      </c>
      <c r="F306" t="inlineStr">
        <is>
          <t>GÄVLEBORGS LÄN</t>
        </is>
      </c>
      <c r="G306" t="inlineStr">
        <is>
          <t>SÖDERHAMN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58544-2023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45251</v>
      </c>
      <c r="E307" s="1" t="n">
        <v>46265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46265</v>
      </c>
      <c r="F308" t="inlineStr">
        <is>
          <t>GÄVLEBORGS LÄN</t>
        </is>
      </c>
      <c r="G308" t="inlineStr">
        <is>
          <t>SÖDERHAMN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11075-2023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44992</v>
      </c>
      <c r="E309" s="1" t="n">
        <v>46265</v>
      </c>
      <c r="F309" t="inlineStr">
        <is>
          <t>GÄVLEBORGS LÄN</t>
        </is>
      </c>
      <c r="G309" t="inlineStr">
        <is>
          <t>SÖDERHAMN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46265</v>
      </c>
      <c r="F310" t="inlineStr">
        <is>
          <t>GÄVLEBORGS LÄN</t>
        </is>
      </c>
      <c r="G310" t="inlineStr">
        <is>
          <t>SÖDERHAMN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24766-2023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45084</v>
      </c>
      <c r="E311" s="1" t="n">
        <v>46265</v>
      </c>
      <c r="F311" t="inlineStr">
        <is>
          <t>GÄVLEBORGS LÄN</t>
        </is>
      </c>
      <c r="G311" t="inlineStr">
        <is>
          <t>SÖDERHAMN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46265</v>
      </c>
      <c r="F312" t="inlineStr">
        <is>
          <t>GÄVLEBORGS LÄN</t>
        </is>
      </c>
      <c r="G312" t="inlineStr">
        <is>
          <t>SÖDERHAMN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46265</v>
      </c>
      <c r="F313" t="inlineStr">
        <is>
          <t>GÄVLEBORGS LÄN</t>
        </is>
      </c>
      <c r="G313" t="inlineStr">
        <is>
          <t>SÖDERHAMN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46265</v>
      </c>
      <c r="F314" t="inlineStr">
        <is>
          <t>GÄVLEBORGS LÄN</t>
        </is>
      </c>
      <c r="G314" t="inlineStr">
        <is>
          <t>SÖDERHAMN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46265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46265</v>
      </c>
      <c r="F316" t="inlineStr">
        <is>
          <t>GÄVLEBORGS LÄN</t>
        </is>
      </c>
      <c r="G316" t="inlineStr">
        <is>
          <t>SÖDERHAMN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46265</v>
      </c>
      <c r="F317" t="inlineStr">
        <is>
          <t>GÄVLEBORGS LÄN</t>
        </is>
      </c>
      <c r="G317" t="inlineStr">
        <is>
          <t>SÖDERHAMN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46265</v>
      </c>
      <c r="F318" t="inlineStr">
        <is>
          <t>GÄVLEBORGS LÄN</t>
        </is>
      </c>
      <c r="G318" t="inlineStr">
        <is>
          <t>SÖDERHAMN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46265</v>
      </c>
      <c r="F319" t="inlineStr">
        <is>
          <t>GÄVLEBORGS LÄN</t>
        </is>
      </c>
      <c r="G319" t="inlineStr">
        <is>
          <t>SÖDERHAMN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46265</v>
      </c>
      <c r="F320" t="inlineStr">
        <is>
          <t>GÄVLEBORGS LÄN</t>
        </is>
      </c>
      <c r="G320" t="inlineStr">
        <is>
          <t>SÖDERHAMN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46265</v>
      </c>
      <c r="F321" t="inlineStr">
        <is>
          <t>GÄVLEBORGS LÄN</t>
        </is>
      </c>
      <c r="G321" t="inlineStr">
        <is>
          <t>SÖDERHAMN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46265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46265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46265</v>
      </c>
      <c r="F324" t="inlineStr">
        <is>
          <t>GÄVLEBORGS LÄN</t>
        </is>
      </c>
      <c r="G324" t="inlineStr">
        <is>
          <t>SÖDERHAMN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46265</v>
      </c>
      <c r="F325" t="inlineStr">
        <is>
          <t>GÄVLEBORGS LÄN</t>
        </is>
      </c>
      <c r="G325" t="inlineStr">
        <is>
          <t>SÖDERHAMN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46265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46265</v>
      </c>
      <c r="F327" t="inlineStr">
        <is>
          <t>GÄVLEBORGS LÄN</t>
        </is>
      </c>
      <c r="G327" t="inlineStr">
        <is>
          <t>SÖDERHAMN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46265</v>
      </c>
      <c r="F328" t="inlineStr">
        <is>
          <t>GÄVLEBORGS LÄN</t>
        </is>
      </c>
      <c r="G328" t="inlineStr">
        <is>
          <t>SÖDERHAMN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45461</v>
      </c>
      <c r="E329" s="1" t="n">
        <v>46265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46265</v>
      </c>
      <c r="F330" t="inlineStr">
        <is>
          <t>GÄVLEBORGS LÄN</t>
        </is>
      </c>
      <c r="G330" t="inlineStr">
        <is>
          <t>SÖDERHAMN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46265</v>
      </c>
      <c r="F331" t="inlineStr">
        <is>
          <t>GÄVLEBORGS LÄN</t>
        </is>
      </c>
      <c r="G331" t="inlineStr">
        <is>
          <t>SÖDERHAMN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45040</v>
      </c>
      <c r="E332" s="1" t="n">
        <v>46265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46265</v>
      </c>
      <c r="F333" t="inlineStr">
        <is>
          <t>GÄVLEBORGS LÄN</t>
        </is>
      </c>
      <c r="G333" t="inlineStr">
        <is>
          <t>SÖDERHAMN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46265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46265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46265</v>
      </c>
      <c r="F336" t="inlineStr">
        <is>
          <t>GÄVLEBORGS LÄN</t>
        </is>
      </c>
      <c r="G336" t="inlineStr">
        <is>
          <t>SÖDERHAMN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46265</v>
      </c>
      <c r="F337" t="inlineStr">
        <is>
          <t>GÄVLEBORGS LÄN</t>
        </is>
      </c>
      <c r="G337" t="inlineStr">
        <is>
          <t>SÖDERHAMN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46265</v>
      </c>
      <c r="F338" t="inlineStr">
        <is>
          <t>GÄVLEBORGS LÄN</t>
        </is>
      </c>
      <c r="G338" t="inlineStr">
        <is>
          <t>SÖDERHAMN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46265</v>
      </c>
      <c r="F339" t="inlineStr">
        <is>
          <t>GÄVLEBORGS LÄN</t>
        </is>
      </c>
      <c r="G339" t="inlineStr">
        <is>
          <t>SÖDERHAMN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45212</v>
      </c>
      <c r="E340" s="1" t="n">
        <v>46265</v>
      </c>
      <c r="F340" t="inlineStr">
        <is>
          <t>GÄVLEBORGS LÄN</t>
        </is>
      </c>
      <c r="G340" t="inlineStr">
        <is>
          <t>SÖDERHAMN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46265</v>
      </c>
      <c r="F341" t="inlineStr">
        <is>
          <t>GÄVLEBORGS LÄN</t>
        </is>
      </c>
      <c r="G341" t="inlineStr">
        <is>
          <t>SÖDERHAMN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46265</v>
      </c>
      <c r="F342" t="inlineStr">
        <is>
          <t>GÄVLEBORGS LÄN</t>
        </is>
      </c>
      <c r="G342" t="inlineStr">
        <is>
          <t>SÖDERHAMN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46265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46265</v>
      </c>
      <c r="F344" t="inlineStr">
        <is>
          <t>GÄVLEBORGS LÄN</t>
        </is>
      </c>
      <c r="G344" t="inlineStr">
        <is>
          <t>SÖDERHAMN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46265</v>
      </c>
      <c r="F345" t="inlineStr">
        <is>
          <t>GÄVLEBORGS LÄN</t>
        </is>
      </c>
      <c r="G345" t="inlineStr">
        <is>
          <t>SÖDERHAMN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46265</v>
      </c>
      <c r="F346" t="inlineStr">
        <is>
          <t>GÄVLEBORGS LÄN</t>
        </is>
      </c>
      <c r="G346" t="inlineStr">
        <is>
          <t>SÖDERHAMN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45108</v>
      </c>
      <c r="E347" s="1" t="n">
        <v>46265</v>
      </c>
      <c r="F347" t="inlineStr">
        <is>
          <t>GÄVLEBORGS LÄN</t>
        </is>
      </c>
      <c r="G347" t="inlineStr">
        <is>
          <t>SÖDERHAMN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45108</v>
      </c>
      <c r="E348" s="1" t="n">
        <v>46265</v>
      </c>
      <c r="F348" t="inlineStr">
        <is>
          <t>GÄVLEBORGS LÄN</t>
        </is>
      </c>
      <c r="G348" t="inlineStr">
        <is>
          <t>SÖDERHAMN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46265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46265</v>
      </c>
      <c r="F350" t="inlineStr">
        <is>
          <t>GÄVLEBORGS LÄN</t>
        </is>
      </c>
      <c r="G350" t="inlineStr">
        <is>
          <t>SÖDERHAMN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46265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46265</v>
      </c>
      <c r="F352" t="inlineStr">
        <is>
          <t>GÄVLEBORGS LÄN</t>
        </is>
      </c>
      <c r="G352" t="inlineStr">
        <is>
          <t>SÖDERHAMN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46265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44564</v>
      </c>
      <c r="E354" s="1" t="n">
        <v>46265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46265</v>
      </c>
      <c r="F355" t="inlineStr">
        <is>
          <t>GÄVLEBORGS LÄN</t>
        </is>
      </c>
      <c r="G355" t="inlineStr">
        <is>
          <t>SÖDERHAMN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46265</v>
      </c>
      <c r="F356" t="inlineStr">
        <is>
          <t>GÄVLEBORGS LÄN</t>
        </is>
      </c>
      <c r="G356" t="inlineStr">
        <is>
          <t>SÖDERHAMN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46265</v>
      </c>
      <c r="F357" t="inlineStr">
        <is>
          <t>GÄVLEBORGS LÄN</t>
        </is>
      </c>
      <c r="G357" t="inlineStr">
        <is>
          <t>SÖDERHAMN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46265</v>
      </c>
      <c r="F358" t="inlineStr">
        <is>
          <t>GÄVLEBORGS LÄN</t>
        </is>
      </c>
      <c r="G358" t="inlineStr">
        <is>
          <t>SÖDERHAMN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46265</v>
      </c>
      <c r="F359" t="inlineStr">
        <is>
          <t>GÄVLEBORGS LÄN</t>
        </is>
      </c>
      <c r="G359" t="inlineStr">
        <is>
          <t>SÖDERHAMN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46265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45622</v>
      </c>
      <c r="E361" s="1" t="n">
        <v>46265</v>
      </c>
      <c r="F361" t="inlineStr">
        <is>
          <t>GÄVLEBORGS LÄN</t>
        </is>
      </c>
      <c r="G361" t="inlineStr">
        <is>
          <t>SÖDERHAMN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46265</v>
      </c>
      <c r="F362" t="inlineStr">
        <is>
          <t>GÄVLEBORGS LÄN</t>
        </is>
      </c>
      <c r="G362" t="inlineStr">
        <is>
          <t>SÖDERHAMN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46265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46265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46265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45615</v>
      </c>
      <c r="E366" s="1" t="n">
        <v>46265</v>
      </c>
      <c r="F366" t="inlineStr">
        <is>
          <t>GÄVLEBORGS LÄN</t>
        </is>
      </c>
      <c r="G366" t="inlineStr">
        <is>
          <t>SÖDERHAMN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45590</v>
      </c>
      <c r="E367" s="1" t="n">
        <v>46265</v>
      </c>
      <c r="F367" t="inlineStr">
        <is>
          <t>GÄVLEBORGS LÄN</t>
        </is>
      </c>
      <c r="G367" t="inlineStr">
        <is>
          <t>SÖDERHAMN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45632</v>
      </c>
      <c r="E368" s="1" t="n">
        <v>46265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46265</v>
      </c>
      <c r="F369" t="inlineStr">
        <is>
          <t>GÄVLEBORGS LÄN</t>
        </is>
      </c>
      <c r="G369" t="inlineStr">
        <is>
          <t>SÖDERHAMN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49765-2024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46265</v>
      </c>
      <c r="F370" t="inlineStr">
        <is>
          <t>GÄVLEBORGS LÄN</t>
        </is>
      </c>
      <c r="G370" t="inlineStr">
        <is>
          <t>SÖDERHAMN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46265</v>
      </c>
      <c r="F371" t="inlineStr">
        <is>
          <t>GÄVLEBORGS LÄN</t>
        </is>
      </c>
      <c r="G371" t="inlineStr">
        <is>
          <t>SÖDERHAMN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46265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46265</v>
      </c>
      <c r="F373" t="inlineStr">
        <is>
          <t>GÄVLEBORGS LÄN</t>
        </is>
      </c>
      <c r="G373" t="inlineStr">
        <is>
          <t>SÖDERHAMN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46265</v>
      </c>
      <c r="F374" t="inlineStr">
        <is>
          <t>GÄVLEBORGS LÄN</t>
        </is>
      </c>
      <c r="G374" t="inlineStr">
        <is>
          <t>SÖDERHAMN</t>
        </is>
      </c>
      <c r="I374" t="n">
        <v>11.2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46265</v>
      </c>
      <c r="F375" t="inlineStr">
        <is>
          <t>GÄVLEBORGS LÄN</t>
        </is>
      </c>
      <c r="G375" t="inlineStr">
        <is>
          <t>SÖDERHAMN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46265</v>
      </c>
      <c r="F376" t="inlineStr">
        <is>
          <t>GÄVLEBORGS LÄN</t>
        </is>
      </c>
      <c r="G376" t="inlineStr">
        <is>
          <t>SÖDERHAMN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46099</v>
      </c>
      <c r="E377" s="1" t="n">
        <v>46265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16.2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46265</v>
      </c>
      <c r="F378" t="inlineStr">
        <is>
          <t>GÄVLEBORGS LÄN</t>
        </is>
      </c>
      <c r="G378" t="inlineStr">
        <is>
          <t>SÖDERHAMN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46265</v>
      </c>
      <c r="F379" t="inlineStr">
        <is>
          <t>GÄVLEBORGS LÄN</t>
        </is>
      </c>
      <c r="G379" t="inlineStr">
        <is>
          <t>SÖDERHAMN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46265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45331</v>
      </c>
      <c r="E381" s="1" t="n">
        <v>46265</v>
      </c>
      <c r="F381" t="inlineStr">
        <is>
          <t>GÄVLEBORGS LÄN</t>
        </is>
      </c>
      <c r="G381" t="inlineStr">
        <is>
          <t>SÖDERHAMN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46265</v>
      </c>
      <c r="F382" t="inlineStr">
        <is>
          <t>GÄVLEBORGS LÄN</t>
        </is>
      </c>
      <c r="G382" t="inlineStr">
        <is>
          <t>SÖDERHAMN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38355-2022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44812</v>
      </c>
      <c r="E383" s="1" t="n">
        <v>46265</v>
      </c>
      <c r="F383" t="inlineStr">
        <is>
          <t>GÄVLEBORGS LÄN</t>
        </is>
      </c>
      <c r="G383" t="inlineStr">
        <is>
          <t>SÖDERHAMN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46265</v>
      </c>
      <c r="F384" t="inlineStr">
        <is>
          <t>GÄVLEBORGS LÄN</t>
        </is>
      </c>
      <c r="G384" t="inlineStr">
        <is>
          <t>SÖDERHAMN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46265</v>
      </c>
      <c r="F385" t="inlineStr">
        <is>
          <t>GÄVLEBORGS LÄN</t>
        </is>
      </c>
      <c r="G385" t="inlineStr">
        <is>
          <t>SÖDERHAMN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46265</v>
      </c>
      <c r="F386" t="inlineStr">
        <is>
          <t>GÄVLEBORGS LÄN</t>
        </is>
      </c>
      <c r="G386" t="inlineStr">
        <is>
          <t>SÖDERHAMN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45757</v>
      </c>
      <c r="E387" s="1" t="n">
        <v>46265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46265</v>
      </c>
      <c r="F388" t="inlineStr">
        <is>
          <t>GÄVLEBORGS LÄN</t>
        </is>
      </c>
      <c r="G388" t="inlineStr">
        <is>
          <t>SÖDERHAMN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46265</v>
      </c>
      <c r="F389" t="inlineStr">
        <is>
          <t>GÄVLEBORGS LÄN</t>
        </is>
      </c>
      <c r="G389" t="inlineStr">
        <is>
          <t>SÖDERHAMN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46265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46265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45639</v>
      </c>
      <c r="E392" s="1" t="n">
        <v>46265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46265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46265</v>
      </c>
      <c r="F394" t="inlineStr">
        <is>
          <t>GÄVLEBORGS LÄN</t>
        </is>
      </c>
      <c r="G394" t="inlineStr">
        <is>
          <t>SÖDERHAMN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46265</v>
      </c>
      <c r="F395" t="inlineStr">
        <is>
          <t>GÄVLEBORGS LÄN</t>
        </is>
      </c>
      <c r="G395" t="inlineStr">
        <is>
          <t>SÖDERHAMN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46265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46117</v>
      </c>
      <c r="E397" s="1" t="n">
        <v>46265</v>
      </c>
      <c r="F397" t="inlineStr">
        <is>
          <t>GÄVLEBORGS LÄN</t>
        </is>
      </c>
      <c r="G397" t="inlineStr">
        <is>
          <t>SÖDERHAMN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46117</v>
      </c>
      <c r="E398" s="1" t="n">
        <v>46265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46117</v>
      </c>
      <c r="E399" s="1" t="n">
        <v>46265</v>
      </c>
      <c r="F399" t="inlineStr">
        <is>
          <t>GÄVLEBORGS LÄN</t>
        </is>
      </c>
      <c r="G399" t="inlineStr">
        <is>
          <t>SÖDERHAMN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46117</v>
      </c>
      <c r="E400" s="1" t="n">
        <v>46265</v>
      </c>
      <c r="F400" t="inlineStr">
        <is>
          <t>GÄVLEBORGS LÄN</t>
        </is>
      </c>
      <c r="G400" t="inlineStr">
        <is>
          <t>SÖDERHAMN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46265</v>
      </c>
      <c r="F401" t="inlineStr">
        <is>
          <t>GÄVLEBORGS LÄN</t>
        </is>
      </c>
      <c r="G401" t="inlineStr">
        <is>
          <t>SÖDERHAMN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46265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46265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59216-2021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44490</v>
      </c>
      <c r="E404" s="1" t="n">
        <v>46265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46265</v>
      </c>
      <c r="F405" t="inlineStr">
        <is>
          <t>GÄVLEBORGS LÄN</t>
        </is>
      </c>
      <c r="G405" t="inlineStr">
        <is>
          <t>SÖDERHAMN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46265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46265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46265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46265</v>
      </c>
      <c r="F409" t="inlineStr">
        <is>
          <t>GÄVLEBORGS LÄN</t>
        </is>
      </c>
      <c r="G409" t="inlineStr">
        <is>
          <t>SÖDERHAMN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46265</v>
      </c>
      <c r="F410" t="inlineStr">
        <is>
          <t>GÄVLEBORGS LÄN</t>
        </is>
      </c>
      <c r="G410" t="inlineStr">
        <is>
          <t>SÖDERHAMN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45398</v>
      </c>
      <c r="E411" s="1" t="n">
        <v>46265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46265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46265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46265</v>
      </c>
      <c r="F414" t="inlineStr">
        <is>
          <t>GÄVLEBORGS LÄN</t>
        </is>
      </c>
      <c r="G414" t="inlineStr">
        <is>
          <t>SÖDERHAMN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46265</v>
      </c>
      <c r="F415" t="inlineStr">
        <is>
          <t>GÄVLEBORGS LÄN</t>
        </is>
      </c>
      <c r="G415" t="inlineStr">
        <is>
          <t>SÖDERHAMN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45188</v>
      </c>
      <c r="E416" s="1" t="n">
        <v>46265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45188</v>
      </c>
      <c r="E417" s="1" t="n">
        <v>46265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44662</v>
      </c>
      <c r="E418" s="1" t="n">
        <v>46265</v>
      </c>
      <c r="F418" t="inlineStr">
        <is>
          <t>GÄVLEBORGS LÄN</t>
        </is>
      </c>
      <c r="G418" t="inlineStr">
        <is>
          <t>SÖDERHAMN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46265</v>
      </c>
      <c r="F419" t="inlineStr">
        <is>
          <t>GÄVLEBORGS LÄN</t>
        </is>
      </c>
      <c r="G419" t="inlineStr">
        <is>
          <t>SÖDERHAMN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46265</v>
      </c>
      <c r="F420" t="inlineStr">
        <is>
          <t>GÄVLEBORGS LÄN</t>
        </is>
      </c>
      <c r="G420" t="inlineStr">
        <is>
          <t>SÖDERHAMN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44750</v>
      </c>
      <c r="E421" s="1" t="n">
        <v>46265</v>
      </c>
      <c r="F421" t="inlineStr">
        <is>
          <t>GÄVLEBORGS LÄN</t>
        </is>
      </c>
      <c r="G421" t="inlineStr">
        <is>
          <t>SÖDERHAMN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46265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45905</v>
      </c>
      <c r="E423" s="1" t="n">
        <v>46265</v>
      </c>
      <c r="F423" t="inlineStr">
        <is>
          <t>GÄVLEBORGS LÄN</t>
        </is>
      </c>
      <c r="G423" t="inlineStr">
        <is>
          <t>SÖDERHAMN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46265</v>
      </c>
      <c r="F424" t="inlineStr">
        <is>
          <t>GÄVLEBORGS LÄN</t>
        </is>
      </c>
      <c r="G424" t="inlineStr">
        <is>
          <t>SÖDERHAMN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46265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45257</v>
      </c>
      <c r="E426" s="1" t="n">
        <v>46265</v>
      </c>
      <c r="F426" t="inlineStr">
        <is>
          <t>GÄVLEBORGS LÄN</t>
        </is>
      </c>
      <c r="G426" t="inlineStr">
        <is>
          <t>SÖDERHAMN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46265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12227-2026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46087</v>
      </c>
      <c r="E428" s="1" t="n">
        <v>46265</v>
      </c>
      <c r="F428" t="inlineStr">
        <is>
          <t>GÄVLEBORGS LÄN</t>
        </is>
      </c>
      <c r="G428" t="inlineStr">
        <is>
          <t>SÖDERHAMN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46265</v>
      </c>
      <c r="F429" t="inlineStr">
        <is>
          <t>GÄVLEBORGS LÄN</t>
        </is>
      </c>
      <c r="G429" t="inlineStr">
        <is>
          <t>SÖDERHAMN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46265</v>
      </c>
      <c r="F430" t="inlineStr">
        <is>
          <t>GÄVLEBORGS LÄN</t>
        </is>
      </c>
      <c r="G430" t="inlineStr">
        <is>
          <t>SÖDERHAMN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46265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46041</v>
      </c>
      <c r="E432" s="1" t="n">
        <v>46265</v>
      </c>
      <c r="F432" t="inlineStr">
        <is>
          <t>GÄVLEBORGS LÄN</t>
        </is>
      </c>
      <c r="G432" t="inlineStr">
        <is>
          <t>SÖDERHAMN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46265</v>
      </c>
      <c r="F433" t="inlineStr">
        <is>
          <t>GÄVLEBORGS LÄN</t>
        </is>
      </c>
      <c r="G433" t="inlineStr">
        <is>
          <t>SÖDERHAMN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46265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46265</v>
      </c>
      <c r="F435" t="inlineStr">
        <is>
          <t>GÄVLEBORGS LÄN</t>
        </is>
      </c>
      <c r="G435" t="inlineStr">
        <is>
          <t>SÖDERHAMN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46265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45652</v>
      </c>
      <c r="E437" s="1" t="n">
        <v>46265</v>
      </c>
      <c r="F437" t="inlineStr">
        <is>
          <t>GÄVLEBORGS LÄN</t>
        </is>
      </c>
      <c r="G437" t="inlineStr">
        <is>
          <t>SÖDERHAMN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46265</v>
      </c>
      <c r="F438" t="inlineStr">
        <is>
          <t>GÄVLEBORGS LÄN</t>
        </is>
      </c>
      <c r="G438" t="inlineStr">
        <is>
          <t>SÖDERHAMN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46265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46265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45461</v>
      </c>
      <c r="E441" s="1" t="n">
        <v>46265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46265</v>
      </c>
      <c r="F442" t="inlineStr">
        <is>
          <t>GÄVLEBORGS LÄN</t>
        </is>
      </c>
      <c r="G442" t="inlineStr">
        <is>
          <t>SÖDERHAMN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46265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46265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46265</v>
      </c>
      <c r="F445" t="inlineStr">
        <is>
          <t>GÄVLEBORGS LÄN</t>
        </is>
      </c>
      <c r="G445" t="inlineStr">
        <is>
          <t>SÖDERHAMN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44992</v>
      </c>
      <c r="E446" s="1" t="n">
        <v>46265</v>
      </c>
      <c r="F446" t="inlineStr">
        <is>
          <t>GÄVLEBORGS LÄN</t>
        </is>
      </c>
      <c r="G446" t="inlineStr">
        <is>
          <t>SÖDERHAMN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46265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46078</v>
      </c>
      <c r="E448" s="1" t="n">
        <v>46265</v>
      </c>
      <c r="F448" t="inlineStr">
        <is>
          <t>GÄVLEBORGS LÄN</t>
        </is>
      </c>
      <c r="G448" t="inlineStr">
        <is>
          <t>SÖDERHAMN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45817</v>
      </c>
      <c r="E449" s="1" t="n">
        <v>46265</v>
      </c>
      <c r="F449" t="inlineStr">
        <is>
          <t>GÄVLEBORGS LÄN</t>
        </is>
      </c>
      <c r="G449" t="inlineStr">
        <is>
          <t>SÖDERHAMN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46265</v>
      </c>
      <c r="F450" t="inlineStr">
        <is>
          <t>GÄVLEBORGS LÄN</t>
        </is>
      </c>
      <c r="G450" t="inlineStr">
        <is>
          <t>SÖDERHAMN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44957</v>
      </c>
      <c r="E451" s="1" t="n">
        <v>46265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53503-2023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45230</v>
      </c>
      <c r="E452" s="1" t="n">
        <v>46265</v>
      </c>
      <c r="F452" t="inlineStr">
        <is>
          <t>GÄVLEBORGS LÄN</t>
        </is>
      </c>
      <c r="G452" t="inlineStr">
        <is>
          <t>SÖDERHAMN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16137-2022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44665</v>
      </c>
      <c r="E453" s="1" t="n">
        <v>46265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44651</v>
      </c>
      <c r="E454" s="1" t="n">
        <v>46265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29982-2023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45108</v>
      </c>
      <c r="E455" s="1" t="n">
        <v>46265</v>
      </c>
      <c r="F455" t="inlineStr">
        <is>
          <t>GÄVLEBORGS LÄN</t>
        </is>
      </c>
      <c r="G455" t="inlineStr">
        <is>
          <t>SÖDERHAMN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45041</v>
      </c>
      <c r="E456" s="1" t="n">
        <v>46265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44963</v>
      </c>
      <c r="E457" s="1" t="n">
        <v>46265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46265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54007-2023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45231</v>
      </c>
      <c r="E459" s="1" t="n">
        <v>46265</v>
      </c>
      <c r="F459" t="inlineStr">
        <is>
          <t>GÄVLEBORGS LÄN</t>
        </is>
      </c>
      <c r="G459" t="inlineStr">
        <is>
          <t>SÖDERHAMN</t>
        </is>
      </c>
      <c r="H459" t="inlineStr">
        <is>
          <t>Kommuner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45558</v>
      </c>
      <c r="E460" s="1" t="n">
        <v>46265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46265</v>
      </c>
      <c r="F461" t="inlineStr">
        <is>
          <t>GÄVLEBORGS LÄN</t>
        </is>
      </c>
      <c r="G461" t="inlineStr">
        <is>
          <t>SÖDERHAMN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56502-2023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46265</v>
      </c>
      <c r="F462" t="inlineStr">
        <is>
          <t>GÄVLEBORGS LÄN</t>
        </is>
      </c>
      <c r="G462" t="inlineStr">
        <is>
          <t>SÖDERHAMN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46265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46265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26839-2024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45470</v>
      </c>
      <c r="E465" s="1" t="n">
        <v>46265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71645-2021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44543</v>
      </c>
      <c r="E466" s="1" t="n">
        <v>46265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46265</v>
      </c>
      <c r="F467" t="inlineStr">
        <is>
          <t>GÄVLEBORGS LÄN</t>
        </is>
      </c>
      <c r="G467" t="inlineStr">
        <is>
          <t>SÖDERHAMN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46265</v>
      </c>
      <c r="F468" t="inlineStr">
        <is>
          <t>GÄVLEBORGS LÄN</t>
        </is>
      </c>
      <c r="G468" t="inlineStr">
        <is>
          <t>SÖDERHAMN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46265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45747</v>
      </c>
      <c r="E470" s="1" t="n">
        <v>46265</v>
      </c>
      <c r="F470" t="inlineStr">
        <is>
          <t>GÄVLEBORGS LÄN</t>
        </is>
      </c>
      <c r="G470" t="inlineStr">
        <is>
          <t>SÖDERHAMN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46265</v>
      </c>
      <c r="F471" t="inlineStr">
        <is>
          <t>GÄVLEBORGS LÄN</t>
        </is>
      </c>
      <c r="G471" t="inlineStr">
        <is>
          <t>SÖDERHAMN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23189-2025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45791</v>
      </c>
      <c r="E472" s="1" t="n">
        <v>46265</v>
      </c>
      <c r="F472" t="inlineStr">
        <is>
          <t>GÄVLEBORGS LÄN</t>
        </is>
      </c>
      <c r="G472" t="inlineStr">
        <is>
          <t>SÖDERHAMN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46265</v>
      </c>
      <c r="F473" t="inlineStr">
        <is>
          <t>GÄVLEBORGS LÄN</t>
        </is>
      </c>
      <c r="G473" t="inlineStr">
        <is>
          <t>SÖDERHAMN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46265</v>
      </c>
      <c r="F474" t="inlineStr">
        <is>
          <t>GÄVLEBORGS LÄN</t>
        </is>
      </c>
      <c r="G474" t="inlineStr">
        <is>
          <t>SÖDERHAMN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46265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46265</v>
      </c>
      <c r="F476" t="inlineStr">
        <is>
          <t>GÄVLEBORGS LÄN</t>
        </is>
      </c>
      <c r="G476" t="inlineStr">
        <is>
          <t>SÖDERHAMN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63431-2021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46265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55383-2025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46265</v>
      </c>
      <c r="F478" t="inlineStr">
        <is>
          <t>GÄVLEBORGS LÄN</t>
        </is>
      </c>
      <c r="G478" t="inlineStr">
        <is>
          <t>SÖDERHAMN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46024</v>
      </c>
      <c r="E479" s="1" t="n">
        <v>46265</v>
      </c>
      <c r="F479" t="inlineStr">
        <is>
          <t>GÄVLEBORGS LÄN</t>
        </is>
      </c>
      <c r="G479" t="inlineStr">
        <is>
          <t>SÖDERHAMN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46265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46265</v>
      </c>
      <c r="F481" t="inlineStr">
        <is>
          <t>GÄVLEBORGS LÄN</t>
        </is>
      </c>
      <c r="G481" t="inlineStr">
        <is>
          <t>SÖDERHAMN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46265</v>
      </c>
      <c r="F482" t="inlineStr">
        <is>
          <t>GÄVLEBORGS LÄN</t>
        </is>
      </c>
      <c r="G482" t="inlineStr">
        <is>
          <t>SÖDERHAMN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20107-2026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46265</v>
      </c>
      <c r="F483" t="inlineStr">
        <is>
          <t>GÄVLEBORGS LÄN</t>
        </is>
      </c>
      <c r="G483" t="inlineStr">
        <is>
          <t>SÖDERHAMN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46265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46265</v>
      </c>
      <c r="F485" t="inlineStr">
        <is>
          <t>GÄVLEBORGS LÄN</t>
        </is>
      </c>
      <c r="G485" t="inlineStr">
        <is>
          <t>SÖDERHAMN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45527</v>
      </c>
      <c r="E486" s="1" t="n">
        <v>46265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46265</v>
      </c>
      <c r="F487" t="inlineStr">
        <is>
          <t>GÄVLEBORGS LÄN</t>
        </is>
      </c>
      <c r="G487" t="inlineStr">
        <is>
          <t>SÖDERHAMN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56933-2024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45628</v>
      </c>
      <c r="E488" s="1" t="n">
        <v>46265</v>
      </c>
      <c r="F488" t="inlineStr">
        <is>
          <t>GÄVLEBORGS LÄN</t>
        </is>
      </c>
      <c r="G488" t="inlineStr">
        <is>
          <t>SÖDERHAMN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46265</v>
      </c>
      <c r="F489" t="inlineStr">
        <is>
          <t>GÄVLEBORGS LÄN</t>
        </is>
      </c>
      <c r="G489" t="inlineStr">
        <is>
          <t>SÖDERHAMN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46265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46265</v>
      </c>
      <c r="F491" t="inlineStr">
        <is>
          <t>GÄVLEBORGS LÄN</t>
        </is>
      </c>
      <c r="G491" t="inlineStr">
        <is>
          <t>SÖDERHAMN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45673</v>
      </c>
      <c r="E492" s="1" t="n">
        <v>46265</v>
      </c>
      <c r="F492" t="inlineStr">
        <is>
          <t>GÄVLEBORGS LÄN</t>
        </is>
      </c>
      <c r="G492" t="inlineStr">
        <is>
          <t>SÖDERHAMN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58166-2024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46265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19782-2025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45771</v>
      </c>
      <c r="E494" s="1" t="n">
        <v>46265</v>
      </c>
      <c r="F494" t="inlineStr">
        <is>
          <t>GÄVLEBORGS LÄN</t>
        </is>
      </c>
      <c r="G494" t="inlineStr">
        <is>
          <t>SÖDERHAMN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46265</v>
      </c>
      <c r="F495" t="inlineStr">
        <is>
          <t>GÄVLEBORGS LÄN</t>
        </is>
      </c>
      <c r="G495" t="inlineStr">
        <is>
          <t>SÖDERHAMN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45062</v>
      </c>
      <c r="E496" s="1" t="n">
        <v>46265</v>
      </c>
      <c r="F496" t="inlineStr">
        <is>
          <t>GÄVLEBORGS LÄN</t>
        </is>
      </c>
      <c r="G496" t="inlineStr">
        <is>
          <t>SÖDERHAMN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41221-2022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44826</v>
      </c>
      <c r="E497" s="1" t="n">
        <v>46265</v>
      </c>
      <c r="F497" t="inlineStr">
        <is>
          <t>GÄVLEBORGS LÄN</t>
        </is>
      </c>
      <c r="G497" t="inlineStr">
        <is>
          <t>SÖDERHAMN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47794-2024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45588</v>
      </c>
      <c r="E498" s="1" t="n">
        <v>46265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46006-2024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46265</v>
      </c>
      <c r="F499" t="inlineStr">
        <is>
          <t>GÄVLEBORGS LÄN</t>
        </is>
      </c>
      <c r="G499" t="inlineStr">
        <is>
          <t>SÖDERHAMN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45252</v>
      </c>
      <c r="E500" s="1" t="n">
        <v>46265</v>
      </c>
      <c r="F500" t="inlineStr">
        <is>
          <t>GÄVLEBORGS LÄN</t>
        </is>
      </c>
      <c r="G500" t="inlineStr">
        <is>
          <t>SÖDERHAMN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46265</v>
      </c>
      <c r="F501" t="inlineStr">
        <is>
          <t>GÄVLEBORGS LÄN</t>
        </is>
      </c>
      <c r="G501" t="inlineStr">
        <is>
          <t>SÖDERHAMN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46265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45108</v>
      </c>
      <c r="E503" s="1" t="n">
        <v>46265</v>
      </c>
      <c r="F503" t="inlineStr">
        <is>
          <t>GÄVLEBORGS LÄN</t>
        </is>
      </c>
      <c r="G503" t="inlineStr">
        <is>
          <t>SÖDERHAMN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46265</v>
      </c>
      <c r="F504" t="inlineStr">
        <is>
          <t>GÄVLEBORGS LÄN</t>
        </is>
      </c>
      <c r="G504" t="inlineStr">
        <is>
          <t>SÖDERHAMN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46265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45595</v>
      </c>
      <c r="E506" s="1" t="n">
        <v>46265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46265</v>
      </c>
      <c r="F507" t="inlineStr">
        <is>
          <t>GÄVLEBORGS LÄN</t>
        </is>
      </c>
      <c r="G507" t="inlineStr">
        <is>
          <t>SÖDERHAMN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45394</v>
      </c>
      <c r="E508" s="1" t="n">
        <v>46265</v>
      </c>
      <c r="F508" t="inlineStr">
        <is>
          <t>GÄVLEBORGS LÄN</t>
        </is>
      </c>
      <c r="G508" t="inlineStr">
        <is>
          <t>SÖDERHAMN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46265</v>
      </c>
      <c r="F509" t="inlineStr">
        <is>
          <t>GÄVLEBORGS LÄN</t>
        </is>
      </c>
      <c r="G509" t="inlineStr">
        <is>
          <t>SÖDERHAMN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45562</v>
      </c>
      <c r="E510" s="1" t="n">
        <v>46265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45770</v>
      </c>
      <c r="E511" s="1" t="n">
        <v>46265</v>
      </c>
      <c r="F511" t="inlineStr">
        <is>
          <t>GÄVLEBORGS LÄN</t>
        </is>
      </c>
      <c r="G511" t="inlineStr">
        <is>
          <t>SÖDERHAMN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45750</v>
      </c>
      <c r="E512" s="1" t="n">
        <v>46265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46024</v>
      </c>
      <c r="E513" s="1" t="n">
        <v>46265</v>
      </c>
      <c r="F513" t="inlineStr">
        <is>
          <t>GÄVLEBORGS LÄN</t>
        </is>
      </c>
      <c r="G513" t="inlineStr">
        <is>
          <t>SÖDERHAMN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50842-2024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45602</v>
      </c>
      <c r="E514" s="1" t="n">
        <v>46265</v>
      </c>
      <c r="F514" t="inlineStr">
        <is>
          <t>GÄVLEBORGS LÄN</t>
        </is>
      </c>
      <c r="G514" t="inlineStr">
        <is>
          <t>SÖDERHAMN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46265</v>
      </c>
      <c r="F515" t="inlineStr">
        <is>
          <t>GÄVLEBORGS LÄN</t>
        </is>
      </c>
      <c r="G515" t="inlineStr">
        <is>
          <t>SÖDERHAMN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39207-2024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45548</v>
      </c>
      <c r="E516" s="1" t="n">
        <v>46265</v>
      </c>
      <c r="F516" t="inlineStr">
        <is>
          <t>GÄVLEBORGS LÄN</t>
        </is>
      </c>
      <c r="G516" t="inlineStr">
        <is>
          <t>SÖDERHAMN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55765-2025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45972</v>
      </c>
      <c r="E517" s="1" t="n">
        <v>46265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55713-2024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46265</v>
      </c>
      <c r="F518" t="inlineStr">
        <is>
          <t>GÄVLEBORGS LÄN</t>
        </is>
      </c>
      <c r="G518" t="inlineStr">
        <is>
          <t>SÖDERHAMN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46265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46265</v>
      </c>
      <c r="F520" t="inlineStr">
        <is>
          <t>GÄVLEBORGS LÄN</t>
        </is>
      </c>
      <c r="G520" t="inlineStr">
        <is>
          <t>SÖDERHAMN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46265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46265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46265</v>
      </c>
      <c r="F523" t="inlineStr">
        <is>
          <t>GÄVLEBORGS LÄN</t>
        </is>
      </c>
      <c r="G523" t="inlineStr">
        <is>
          <t>SÖDERHAMN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46265</v>
      </c>
      <c r="F524" t="inlineStr">
        <is>
          <t>GÄVLEBORGS LÄN</t>
        </is>
      </c>
      <c r="G524" t="inlineStr">
        <is>
          <t>SÖDERHAMN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46147</v>
      </c>
      <c r="E525" s="1" t="n">
        <v>46265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46087</v>
      </c>
      <c r="E526" s="1" t="n">
        <v>46265</v>
      </c>
      <c r="F526" t="inlineStr">
        <is>
          <t>GÄVLEBORGS LÄN</t>
        </is>
      </c>
      <c r="G526" t="inlineStr">
        <is>
          <t>SÖDERHAMN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45748</v>
      </c>
      <c r="E527" s="1" t="n">
        <v>46265</v>
      </c>
      <c r="F527" t="inlineStr">
        <is>
          <t>GÄVLEBORGS LÄN</t>
        </is>
      </c>
      <c r="G527" t="inlineStr">
        <is>
          <t>SÖDERHAMN</t>
        </is>
      </c>
      <c r="H527" t="inlineStr">
        <is>
          <t>Kommuner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46265</v>
      </c>
      <c r="F528" t="inlineStr">
        <is>
          <t>GÄVLEBORGS LÄN</t>
        </is>
      </c>
      <c r="G528" t="inlineStr">
        <is>
          <t>SÖDERHAMN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21913-2026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46265</v>
      </c>
      <c r="F529" t="inlineStr">
        <is>
          <t>GÄVLEBORGS LÄN</t>
        </is>
      </c>
      <c r="G529" t="inlineStr">
        <is>
          <t>SÖDERHAMN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45069</v>
      </c>
      <c r="E530" s="1" t="n">
        <v>46265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46265</v>
      </c>
      <c r="F531" t="inlineStr">
        <is>
          <t>GÄVLEBORGS LÄN</t>
        </is>
      </c>
      <c r="G531" t="inlineStr">
        <is>
          <t>SÖDERHAMN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46265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46265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46265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46265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46265</v>
      </c>
      <c r="F536" t="inlineStr">
        <is>
          <t>GÄVLEBORGS LÄN</t>
        </is>
      </c>
      <c r="G536" t="inlineStr">
        <is>
          <t>SÖDERHAMN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4497-2024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45327</v>
      </c>
      <c r="E537" s="1" t="n">
        <v>46265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46265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7972-2025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45707</v>
      </c>
      <c r="E539" s="1" t="n">
        <v>46265</v>
      </c>
      <c r="F539" t="inlineStr">
        <is>
          <t>GÄVLEBORGS LÄN</t>
        </is>
      </c>
      <c r="G539" t="inlineStr">
        <is>
          <t>SÖDERHAMN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45632</v>
      </c>
      <c r="E540" s="1" t="n">
        <v>46265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45615</v>
      </c>
      <c r="E541" s="1" t="n">
        <v>46265</v>
      </c>
      <c r="F541" t="inlineStr">
        <is>
          <t>GÄVLEBORGS LÄN</t>
        </is>
      </c>
      <c r="G541" t="inlineStr">
        <is>
          <t>SÖDERHAMN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45265</v>
      </c>
      <c r="E542" s="1" t="n">
        <v>46265</v>
      </c>
      <c r="F542" t="inlineStr">
        <is>
          <t>GÄVLEBORGS LÄN</t>
        </is>
      </c>
      <c r="G542" t="inlineStr">
        <is>
          <t>SÖDERHAMN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46157</v>
      </c>
      <c r="E543" s="1" t="n">
        <v>46265</v>
      </c>
      <c r="F543" t="inlineStr">
        <is>
          <t>GÄVLEBORGS LÄN</t>
        </is>
      </c>
      <c r="G543" t="inlineStr">
        <is>
          <t>SÖDERHAMN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46157</v>
      </c>
      <c r="E544" s="1" t="n">
        <v>46265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46157</v>
      </c>
      <c r="E545" s="1" t="n">
        <v>46265</v>
      </c>
      <c r="F545" t="inlineStr">
        <is>
          <t>GÄVLEBORGS LÄN</t>
        </is>
      </c>
      <c r="G545" t="inlineStr">
        <is>
          <t>SÖDERHAMN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46157</v>
      </c>
      <c r="E546" s="1" t="n">
        <v>46265</v>
      </c>
      <c r="F546" t="inlineStr">
        <is>
          <t>GÄVLEBORGS LÄN</t>
        </is>
      </c>
      <c r="G546" t="inlineStr">
        <is>
          <t>SÖDERHAMN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46157</v>
      </c>
      <c r="E547" s="1" t="n">
        <v>46265</v>
      </c>
      <c r="F547" t="inlineStr">
        <is>
          <t>GÄVLEBORGS LÄN</t>
        </is>
      </c>
      <c r="G547" t="inlineStr">
        <is>
          <t>SÖDERHAMN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46157</v>
      </c>
      <c r="E548" s="1" t="n">
        <v>46265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22737-2026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46157</v>
      </c>
      <c r="E549" s="1" t="n">
        <v>46265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46162</v>
      </c>
      <c r="E550" s="1" t="n">
        <v>46265</v>
      </c>
      <c r="F550" t="inlineStr">
        <is>
          <t>GÄVLEBORGS LÄN</t>
        </is>
      </c>
      <c r="G550" t="inlineStr">
        <is>
          <t>SÖDERHAMN</t>
        </is>
      </c>
      <c r="I550" t="n">
        <v>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46265</v>
      </c>
      <c r="F551" t="inlineStr">
        <is>
          <t>GÄVLEBORGS LÄN</t>
        </is>
      </c>
      <c r="G551" t="inlineStr">
        <is>
          <t>SÖDERHAMN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46164</v>
      </c>
      <c r="E552" s="1" t="n">
        <v>46265</v>
      </c>
      <c r="F552" t="inlineStr">
        <is>
          <t>GÄVLEBORGS LÄN</t>
        </is>
      </c>
      <c r="G552" t="inlineStr">
        <is>
          <t>SÖDERHAMN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46164</v>
      </c>
      <c r="E553" s="1" t="n">
        <v>46265</v>
      </c>
      <c r="F553" t="inlineStr">
        <is>
          <t>GÄVLEBORGS LÄN</t>
        </is>
      </c>
      <c r="G553" t="inlineStr">
        <is>
          <t>SÖDERHAMN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46265</v>
      </c>
      <c r="F554" t="inlineStr">
        <is>
          <t>GÄVLEBORGS LÄN</t>
        </is>
      </c>
      <c r="G554" t="inlineStr">
        <is>
          <t>SÖDERHAMN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48561-2025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45936</v>
      </c>
      <c r="E555" s="1" t="n">
        <v>46265</v>
      </c>
      <c r="F555" t="inlineStr">
        <is>
          <t>GÄVLEBORGS LÄN</t>
        </is>
      </c>
      <c r="G555" t="inlineStr">
        <is>
          <t>SÖDERHAMN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46265</v>
      </c>
      <c r="F556" t="inlineStr">
        <is>
          <t>GÄVLEBORGS LÄN</t>
        </is>
      </c>
      <c r="G556" t="inlineStr">
        <is>
          <t>SÖDERHAMN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46165</v>
      </c>
      <c r="E557" s="1" t="n">
        <v>46265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46265</v>
      </c>
      <c r="F558" t="inlineStr">
        <is>
          <t>GÄVLEBORGS LÄN</t>
        </is>
      </c>
      <c r="G558" t="inlineStr">
        <is>
          <t>SÖDERHAMN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46265</v>
      </c>
      <c r="F559" t="inlineStr">
        <is>
          <t>GÄVLEBORGS LÄN</t>
        </is>
      </c>
      <c r="G559" t="inlineStr">
        <is>
          <t>SÖDERHAMN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46265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46265</v>
      </c>
      <c r="F561" t="inlineStr">
        <is>
          <t>GÄVLEBORGS LÄN</t>
        </is>
      </c>
      <c r="G561" t="inlineStr">
        <is>
          <t>SÖDERHAMN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46265</v>
      </c>
      <c r="F562" t="inlineStr">
        <is>
          <t>GÄVLEBORGS LÄN</t>
        </is>
      </c>
      <c r="G562" t="inlineStr">
        <is>
          <t>SÖDERHAMN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46265</v>
      </c>
      <c r="F563" t="inlineStr">
        <is>
          <t>GÄVLEBORGS LÄN</t>
        </is>
      </c>
      <c r="G563" t="inlineStr">
        <is>
          <t>SÖDERHAMN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46265</v>
      </c>
      <c r="F564" t="inlineStr">
        <is>
          <t>GÄVLEBORGS LÄN</t>
        </is>
      </c>
      <c r="G564" t="inlineStr">
        <is>
          <t>SÖDERHAMN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46265</v>
      </c>
      <c r="F565" t="inlineStr">
        <is>
          <t>GÄVLEBORGS LÄN</t>
        </is>
      </c>
      <c r="G565" t="inlineStr">
        <is>
          <t>SÖDERHAMN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46265</v>
      </c>
      <c r="F566" t="inlineStr">
        <is>
          <t>GÄVLEBORGS LÄN</t>
        </is>
      </c>
      <c r="G566" t="inlineStr">
        <is>
          <t>SÖDERHAMN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46265</v>
      </c>
      <c r="F567" t="inlineStr">
        <is>
          <t>GÄVLEBORGS LÄN</t>
        </is>
      </c>
      <c r="G567" t="inlineStr">
        <is>
          <t>SÖDERHAMN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46265</v>
      </c>
      <c r="F568" t="inlineStr">
        <is>
          <t>GÄVLEBORGS LÄN</t>
        </is>
      </c>
      <c r="G568" t="inlineStr">
        <is>
          <t>SÖDERHAMN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46265</v>
      </c>
      <c r="F569" t="inlineStr">
        <is>
          <t>GÄVLEBORGS LÄN</t>
        </is>
      </c>
      <c r="G569" t="inlineStr">
        <is>
          <t>SÖDERHAMN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46265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46265</v>
      </c>
      <c r="F571" t="inlineStr">
        <is>
          <t>GÄVLEBORGS LÄN</t>
        </is>
      </c>
      <c r="G571" t="inlineStr">
        <is>
          <t>SÖDERHAMN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46265</v>
      </c>
      <c r="F572" t="inlineStr">
        <is>
          <t>GÄVLEBORGS LÄN</t>
        </is>
      </c>
      <c r="G572" t="inlineStr">
        <is>
          <t>SÖDERHAMN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46265</v>
      </c>
      <c r="F573" t="inlineStr">
        <is>
          <t>GÄVLEBORGS LÄN</t>
        </is>
      </c>
      <c r="G573" t="inlineStr">
        <is>
          <t>SÖDERHAMN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46265</v>
      </c>
      <c r="F574" t="inlineStr">
        <is>
          <t>GÄVLEBORGS LÄN</t>
        </is>
      </c>
      <c r="G574" t="inlineStr">
        <is>
          <t>SÖDERHAMN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26042-2026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46177</v>
      </c>
      <c r="E575" s="1" t="n">
        <v>46265</v>
      </c>
      <c r="F575" t="inlineStr">
        <is>
          <t>GÄVLEBORGS LÄN</t>
        </is>
      </c>
      <c r="G575" t="inlineStr">
        <is>
          <t>SÖDERHAMN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46265</v>
      </c>
      <c r="F576" t="inlineStr">
        <is>
          <t>GÄVLEBORGS LÄN</t>
        </is>
      </c>
      <c r="G576" t="inlineStr">
        <is>
          <t>SÖDERHAMN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46265</v>
      </c>
      <c r="F577" t="inlineStr">
        <is>
          <t>GÄVLEBORGS LÄN</t>
        </is>
      </c>
      <c r="G577" t="inlineStr">
        <is>
          <t>SÖDERHAMN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46265</v>
      </c>
      <c r="F578" t="inlineStr">
        <is>
          <t>GÄVLEBORGS LÄN</t>
        </is>
      </c>
      <c r="G578" t="inlineStr">
        <is>
          <t>SÖDERHAMN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46265</v>
      </c>
      <c r="F579" t="inlineStr">
        <is>
          <t>GÄVLEBORGS LÄN</t>
        </is>
      </c>
      <c r="G579" t="inlineStr">
        <is>
          <t>SÖDERHAMN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17809-2026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46265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46265</v>
      </c>
      <c r="F581" t="inlineStr">
        <is>
          <t>GÄVLEBORGS LÄN</t>
        </is>
      </c>
      <c r="G581" t="inlineStr">
        <is>
          <t>SÖDERHAMN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46265</v>
      </c>
      <c r="F582" t="inlineStr">
        <is>
          <t>GÄVLEBORGS LÄN</t>
        </is>
      </c>
      <c r="G582" t="inlineStr">
        <is>
          <t>SÖDERHAMN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46265</v>
      </c>
      <c r="F583" t="inlineStr">
        <is>
          <t>GÄVLEBORGS LÄN</t>
        </is>
      </c>
      <c r="G583" t="inlineStr">
        <is>
          <t>SÖDERHAMN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46265</v>
      </c>
      <c r="F584" t="inlineStr">
        <is>
          <t>GÄVLEBORGS LÄN</t>
        </is>
      </c>
      <c r="G584" t="inlineStr">
        <is>
          <t>SÖDERHAMN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46265</v>
      </c>
      <c r="F585" t="inlineStr">
        <is>
          <t>GÄVLEBORGS LÄN</t>
        </is>
      </c>
      <c r="G585" t="inlineStr">
        <is>
          <t>SÖDERHAMN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46197</v>
      </c>
      <c r="E586" s="1" t="n">
        <v>46265</v>
      </c>
      <c r="F586" t="inlineStr">
        <is>
          <t>GÄVLEBORGS LÄN</t>
        </is>
      </c>
      <c r="G586" t="inlineStr">
        <is>
          <t>SÖDERHAMN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46252</v>
      </c>
      <c r="E587" s="1" t="n">
        <v>46265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46265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46207</v>
      </c>
      <c r="E589" s="1" t="n">
        <v>46265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46265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46265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46265</v>
      </c>
      <c r="F592" t="inlineStr">
        <is>
          <t>GÄVLEBORGS LÄN</t>
        </is>
      </c>
      <c r="G592" t="inlineStr">
        <is>
          <t>SÖDERHAMN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46265</v>
      </c>
      <c r="F593" t="inlineStr">
        <is>
          <t>GÄVLEBORGS LÄN</t>
        </is>
      </c>
      <c r="G593" t="inlineStr">
        <is>
          <t>SÖDERHAMN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46265</v>
      </c>
      <c r="F594" t="inlineStr">
        <is>
          <t>GÄVLEBORGS LÄN</t>
        </is>
      </c>
      <c r="G594" t="inlineStr">
        <is>
          <t>SÖDERHAMN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46265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46265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Kyrkan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46265</v>
      </c>
      <c r="F597" t="inlineStr">
        <is>
          <t>GÄVLEBORGS LÄN</t>
        </is>
      </c>
      <c r="G597" t="inlineStr">
        <is>
          <t>SÖDERHAMN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46265</v>
      </c>
      <c r="F598" t="inlineStr">
        <is>
          <t>GÄVLEBORGS LÄN</t>
        </is>
      </c>
      <c r="G598" t="inlineStr">
        <is>
          <t>SÖDERHAMN</t>
        </is>
      </c>
      <c r="H598" t="inlineStr">
        <is>
          <t>Kyrkan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46265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46265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46265</v>
      </c>
      <c r="F601" t="inlineStr">
        <is>
          <t>GÄVLEBORGS LÄN</t>
        </is>
      </c>
      <c r="G601" t="inlineStr">
        <is>
          <t>SÖDERHAMN</t>
        </is>
      </c>
      <c r="H601" t="inlineStr">
        <is>
          <t>Övriga statliga verk och myndigheter</t>
        </is>
      </c>
      <c r="I601" t="n">
        <v>14.9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46265</v>
      </c>
      <c r="F602" t="inlineStr">
        <is>
          <t>GÄVLEBORGS LÄN</t>
        </is>
      </c>
      <c r="G602" t="inlineStr">
        <is>
          <t>SÖDERHAMN</t>
        </is>
      </c>
      <c r="H602" t="inlineStr">
        <is>
          <t>Övriga statliga verk och myndigheter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46265</v>
      </c>
      <c r="F603" t="inlineStr">
        <is>
          <t>GÄVLEBORGS LÄN</t>
        </is>
      </c>
      <c r="G603" t="inlineStr">
        <is>
          <t>SÖDERHAMN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46265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46265</v>
      </c>
      <c r="F605" t="inlineStr">
        <is>
          <t>GÄVLEBORGS LÄN</t>
        </is>
      </c>
      <c r="G605" t="inlineStr">
        <is>
          <t>SÖDERHAMN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46265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46265</v>
      </c>
      <c r="F607" t="inlineStr">
        <is>
          <t>GÄVLEBORGS LÄN</t>
        </is>
      </c>
      <c r="G607" t="inlineStr">
        <is>
          <t>SÖDERHAMN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46265</v>
      </c>
      <c r="F608" t="inlineStr">
        <is>
          <t>GÄVLEBORGS LÄN</t>
        </is>
      </c>
      <c r="G608" t="inlineStr">
        <is>
          <t>SÖDERHAMN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46265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46265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46265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46265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46265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2026-08-31T09:55:08Z</dcterms:created>
  <dcterms:modified xmlns:dcterms="http://purl.org/dc/terms/" xmlns:xsi="http://www.w3.org/2001/XMLSchema-instance" xsi:type="dcterms:W3CDTF">2026-08-31T09:55:09Z</dcterms:modified>
</cp:coreProperties>
</file>