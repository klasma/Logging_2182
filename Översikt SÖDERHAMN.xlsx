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46304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46304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46304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46304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46304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59754-2025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45992</v>
      </c>
      <c r="E17" s="1" t="n">
        <v>46304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2.8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Jättesvampmal
Spillkråka</t>
        </is>
      </c>
      <c r="W17">
        <f>HYPERLINK("https://klasma.github.io/Logging_2182/artfynd/A 59754-2025 artfynd.xlsx", "A 59754-2025")</f>
        <v/>
      </c>
      <c r="X17">
        <f>HYPERLINK("https://klasma.github.io/Logging_2182/kartor/A 59754-2025 karta.png", "A 59754-2025")</f>
        <v/>
      </c>
      <c r="Y17">
        <f>HYPERLINK("https://klasma.github.io/Logging_2182/kartor_geotiff/A 59754-2025 georefererad karta.tif", "A 59754-2025")</f>
        <v/>
      </c>
      <c r="AA17">
        <f>HYPERLINK("https://klasma.github.io/Logging_2182/klagomål/A 59754-2025 FSC-klagomål.docx", "A 59754-2025")</f>
        <v/>
      </c>
      <c r="AB17">
        <f>HYPERLINK("https://klasma.github.io/Logging_2182/klagomålsmail/A 59754-2025 FSC-klagomål mail.docx", "A 59754-2025")</f>
        <v/>
      </c>
      <c r="AC17">
        <f>HYPERLINK("https://klasma.github.io/Logging_2182/tillsyn/A 59754-2025 tillsynsbegäran.docx", "A 59754-2025")</f>
        <v/>
      </c>
      <c r="AD17">
        <f>HYPERLINK("https://klasma.github.io/Logging_2182/tillsynsmail/A 59754-2025 tillsynsbegäran mail.docx", "A 59754-2025")</f>
        <v/>
      </c>
      <c r="AE17">
        <f>HYPERLINK("https://klasma.github.io/Logging_2182/fåglar/A 59754-2025 prioriterade fågelarter.docx", "A 59754-2025")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46304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46304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49305-2023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46304</v>
      </c>
      <c r="F20" t="inlineStr">
        <is>
          <t>GÄVLEBORGS LÄN</t>
        </is>
      </c>
      <c r="G20" t="inlineStr">
        <is>
          <t>SÖDERHAMN</t>
        </is>
      </c>
      <c r="I20" t="n">
        <v>1.4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Rödvingetrast
Trädlärka</t>
        </is>
      </c>
      <c r="W20">
        <f>HYPERLINK("https://klasma.github.io/Logging_2182/artfynd/A 49305-2023 artfynd.xlsx", "A 49305-2023")</f>
        <v/>
      </c>
      <c r="X20">
        <f>HYPERLINK("https://klasma.github.io/Logging_2182/kartor/A 49305-2023 karta.png", "A 49305-2023")</f>
        <v/>
      </c>
      <c r="Y20">
        <f>HYPERLINK("https://klasma.github.io/Logging_2182/kartor_geotiff/A 49305-2023 georefererad karta.tif", "A 49305-2023")</f>
        <v/>
      </c>
      <c r="AA20">
        <f>HYPERLINK("https://klasma.github.io/Logging_2182/klagomål/A 49305-2023 FSC-klagomål.docx", "A 49305-2023")</f>
        <v/>
      </c>
      <c r="AB20">
        <f>HYPERLINK("https://klasma.github.io/Logging_2182/klagomålsmail/A 49305-2023 FSC-klagomål mail.docx", "A 49305-2023")</f>
        <v/>
      </c>
      <c r="AC20">
        <f>HYPERLINK("https://klasma.github.io/Logging_2182/tillsyn/A 49305-2023 tillsynsbegäran.docx", "A 49305-2023")</f>
        <v/>
      </c>
      <c r="AD20">
        <f>HYPERLINK("https://klasma.github.io/Logging_2182/tillsynsmail/A 49305-2023 tillsynsbegäran mail.docx", "A 49305-2023")</f>
        <v/>
      </c>
      <c r="AE20">
        <f>HYPERLINK("https://klasma.github.io/Logging_2182/fåglar/A 49305-2023 prioriterade fågelarter.docx", "A 49305-2023")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46304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46304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46304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46304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46304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46304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46304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46304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46304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46304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46304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46304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46304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21316-2024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45440</v>
      </c>
      <c r="E34" s="1" t="n">
        <v>46304</v>
      </c>
      <c r="F34" t="inlineStr">
        <is>
          <t>GÄVLEBORGS LÄN</t>
        </is>
      </c>
      <c r="G34" t="inlineStr">
        <is>
          <t>SÖDERHAMN</t>
        </is>
      </c>
      <c r="H34" t="inlineStr">
        <is>
          <t>Kommuner</t>
        </is>
      </c>
      <c r="I34" t="n">
        <v>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Brunfläckig pärlemorfjäril</t>
        </is>
      </c>
      <c r="W34">
        <f>HYPERLINK("https://klasma.github.io/Logging_2182/artfynd/A 21316-2024 artfynd.xlsx", "A 21316-2024")</f>
        <v/>
      </c>
      <c r="X34">
        <f>HYPERLINK("https://klasma.github.io/Logging_2182/kartor/A 21316-2024 karta.png", "A 21316-2024")</f>
        <v/>
      </c>
      <c r="Y34">
        <f>HYPERLINK("https://klasma.github.io/Logging_2182/kartor_geotiff/A 21316-2024 georefererad karta.tif", "A 21316-2024")</f>
        <v/>
      </c>
      <c r="AA34">
        <f>HYPERLINK("https://klasma.github.io/Logging_2182/klagomål/A 21316-2024 FSC-klagomål.docx", "A 21316-2024")</f>
        <v/>
      </c>
      <c r="AB34">
        <f>HYPERLINK("https://klasma.github.io/Logging_2182/klagomålsmail/A 21316-2024 FSC-klagomål mail.docx", "A 21316-2024")</f>
        <v/>
      </c>
      <c r="AC34">
        <f>HYPERLINK("https://klasma.github.io/Logging_2182/tillsyn/A 21316-2024 tillsynsbegäran.docx", "A 21316-2024")</f>
        <v/>
      </c>
      <c r="AD34">
        <f>HYPERLINK("https://klasma.github.io/Logging_2182/tillsynsmail/A 21316-2024 tillsynsbegäran mail.docx", "A 21316-2024")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46304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46304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46304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46304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40097-2024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46304</v>
      </c>
      <c r="F39" t="inlineStr">
        <is>
          <t>GÄVLEBORGS LÄN</t>
        </is>
      </c>
      <c r="G39" t="inlineStr">
        <is>
          <t>SÖDERHAMN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40097-2024 artfynd.xlsx", "A 40097-2024")</f>
        <v/>
      </c>
      <c r="X39">
        <f>HYPERLINK("https://klasma.github.io/Logging_2182/kartor/A 40097-2024 karta.png", "A 40097-2024")</f>
        <v/>
      </c>
      <c r="Y39">
        <f>HYPERLINK("https://klasma.github.io/Logging_2182/kartor_geotiff/A 40097-2024 georefererad karta.tif", "A 40097-2024")</f>
        <v/>
      </c>
      <c r="AA39">
        <f>HYPERLINK("https://klasma.github.io/Logging_2182/klagomål/A 40097-2024 FSC-klagomål.docx", "A 40097-2024")</f>
        <v/>
      </c>
      <c r="AB39">
        <f>HYPERLINK("https://klasma.github.io/Logging_2182/klagomålsmail/A 40097-2024 FSC-klagomål mail.docx", "A 40097-2024")</f>
        <v/>
      </c>
      <c r="AC39">
        <f>HYPERLINK("https://klasma.github.io/Logging_2182/tillsyn/A 40097-2024 tillsynsbegäran.docx", "A 40097-2024")</f>
        <v/>
      </c>
      <c r="AD39">
        <f>HYPERLINK("https://klasma.github.io/Logging_2182/tillsynsmail/A 40097-2024 tillsynsbegäran mail.docx", "A 40097-2024")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46304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46304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46304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46304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46304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46304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46304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19700-2023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45051</v>
      </c>
      <c r="E47" s="1" t="n">
        <v>46304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Ängsblåvinge</t>
        </is>
      </c>
      <c r="W47">
        <f>HYPERLINK("https://klasma.github.io/Logging_2182/artfynd/A 19700-2023 artfynd.xlsx", "A 19700-2023")</f>
        <v/>
      </c>
      <c r="X47">
        <f>HYPERLINK("https://klasma.github.io/Logging_2182/kartor/A 19700-2023 karta.png", "A 19700-2023")</f>
        <v/>
      </c>
      <c r="Y47">
        <f>HYPERLINK("https://klasma.github.io/Logging_2182/kartor_geotiff/A 19700-2023 georefererad karta.tif", "A 19700-2023")</f>
        <v/>
      </c>
      <c r="AA47">
        <f>HYPERLINK("https://klasma.github.io/Logging_2182/klagomål/A 19700-2023 FSC-klagomål.docx", "A 19700-2023")</f>
        <v/>
      </c>
      <c r="AB47">
        <f>HYPERLINK("https://klasma.github.io/Logging_2182/klagomålsmail/A 19700-2023 FSC-klagomål mail.docx", "A 19700-2023")</f>
        <v/>
      </c>
      <c r="AC47">
        <f>HYPERLINK("https://klasma.github.io/Logging_2182/tillsyn/A 19700-2023 tillsynsbegäran.docx", "A 19700-2023")</f>
        <v/>
      </c>
      <c r="AD47">
        <f>HYPERLINK("https://klasma.github.io/Logging_2182/tillsynsmail/A 19700-2023 tillsynsbegäran mail.docx", "A 19700-2023")</f>
        <v/>
      </c>
    </row>
    <row r="48" ht="15" customHeight="1">
      <c r="A48" t="inlineStr">
        <is>
          <t>A 17412-2023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46304</v>
      </c>
      <c r="F48" t="inlineStr">
        <is>
          <t>GÄVLEBORGS LÄN</t>
        </is>
      </c>
      <c r="G48" t="inlineStr">
        <is>
          <t>SÖDERHAMN</t>
        </is>
      </c>
      <c r="I48" t="n">
        <v>4.8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Älg</t>
        </is>
      </c>
      <c r="W48">
        <f>HYPERLINK("https://klasma.github.io/Logging_2182/artfynd/A 17412-2023 artfynd.xlsx", "A 17412-2023")</f>
        <v/>
      </c>
      <c r="X48">
        <f>HYPERLINK("https://klasma.github.io/Logging_2182/kartor/A 17412-2023 karta.png", "A 17412-2023")</f>
        <v/>
      </c>
      <c r="Y48">
        <f>HYPERLINK("https://klasma.github.io/Logging_2182/kartor_geotiff/A 17412-2023 georefererad karta.tif", "A 17412-2023")</f>
        <v/>
      </c>
      <c r="AA48">
        <f>HYPERLINK("https://klasma.github.io/Logging_2182/klagomål/A 17412-2023 FSC-klagomål.docx", "A 17412-2023")</f>
        <v/>
      </c>
      <c r="AB48">
        <f>HYPERLINK("https://klasma.github.io/Logging_2182/klagomålsmail/A 17412-2023 FSC-klagomål mail.docx", "A 17412-2023")</f>
        <v/>
      </c>
      <c r="AC48">
        <f>HYPERLINK("https://klasma.github.io/Logging_2182/tillsyn/A 17412-2023 tillsynsbegäran.docx", "A 17412-2023")</f>
        <v/>
      </c>
      <c r="AD48">
        <f>HYPERLINK("https://klasma.github.io/Logging_2182/tillsynsmail/A 17412-2023 tillsynsbegäran mail.docx", "A 17412-2023")</f>
        <v/>
      </c>
    </row>
    <row r="49" ht="15" customHeight="1">
      <c r="A49" t="inlineStr">
        <is>
          <t>A 29834-2025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46304</v>
      </c>
      <c r="F49" t="inlineStr">
        <is>
          <t>GÄVLEBORGS LÄN</t>
        </is>
      </c>
      <c r="G49" t="inlineStr">
        <is>
          <t>SÖDERHAMN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HYPERLINK("https://klasma.github.io/Logging_2182/artfynd/A 29834-2025 artfynd.xlsx", "A 29834-2025")</f>
        <v/>
      </c>
      <c r="X49">
        <f>HYPERLINK("https://klasma.github.io/Logging_2182/kartor/A 29834-2025 karta.png", "A 29834-2025")</f>
        <v/>
      </c>
      <c r="Y49">
        <f>HYPERLINK("https://klasma.github.io/Logging_2182/kartor_geotiff/A 29834-2025 georefererad karta.tif", "A 29834-2025")</f>
        <v/>
      </c>
      <c r="AA49">
        <f>HYPERLINK("https://klasma.github.io/Logging_2182/klagomål/A 29834-2025 FSC-klagomål.docx", "A 29834-2025")</f>
        <v/>
      </c>
      <c r="AB49">
        <f>HYPERLINK("https://klasma.github.io/Logging_2182/klagomålsmail/A 29834-2025 FSC-klagomål mail.docx", "A 29834-2025")</f>
        <v/>
      </c>
      <c r="AC49">
        <f>HYPERLINK("https://klasma.github.io/Logging_2182/tillsyn/A 29834-2025 tillsynsbegäran.docx", "A 29834-2025")</f>
        <v/>
      </c>
      <c r="AD49">
        <f>HYPERLINK("https://klasma.github.io/Logging_2182/tillsynsmail/A 29834-2025 tillsynsbegäran mail.docx", "A 29834-2025")</f>
        <v/>
      </c>
    </row>
    <row r="50" ht="15" customHeight="1">
      <c r="A50" t="inlineStr">
        <is>
          <t>A 6060-2026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46052</v>
      </c>
      <c r="E50" s="1" t="n">
        <v>46304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Barkticka</t>
        </is>
      </c>
      <c r="W50">
        <f>HYPERLINK("https://klasma.github.io/Logging_2182/artfynd/A 6060-2026 artfynd.xlsx", "A 6060-2026")</f>
        <v/>
      </c>
      <c r="X50">
        <f>HYPERLINK("https://klasma.github.io/Logging_2182/kartor/A 6060-2026 karta.png", "A 6060-2026")</f>
        <v/>
      </c>
      <c r="Y50">
        <f>HYPERLINK("https://klasma.github.io/Logging_2182/kartor_geotiff/A 6060-2026 georefererad karta.tif", "A 6060-2026")</f>
        <v/>
      </c>
      <c r="AA50">
        <f>HYPERLINK("https://klasma.github.io/Logging_2182/klagomål/A 6060-2026 FSC-klagomål.docx", "A 6060-2026")</f>
        <v/>
      </c>
      <c r="AB50">
        <f>HYPERLINK("https://klasma.github.io/Logging_2182/klagomålsmail/A 6060-2026 FSC-klagomål mail.docx", "A 6060-2026")</f>
        <v/>
      </c>
      <c r="AC50">
        <f>HYPERLINK("https://klasma.github.io/Logging_2182/tillsyn/A 6060-2026 tillsynsbegäran.docx", "A 6060-2026")</f>
        <v/>
      </c>
      <c r="AD50">
        <f>HYPERLINK("https://klasma.github.io/Logging_2182/tillsynsmail/A 6060-2026 tillsynsbegäran mail.docx", "A 6060-2026")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46304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46304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46304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46304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46304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46304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46304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46304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46304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46304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46304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46304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46304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46304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46304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46304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46304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46304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46304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46304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46304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46304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46304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46304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46304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46304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46304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46304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46304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46304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46304</v>
      </c>
      <c r="F81" t="inlineStr">
        <is>
          <t>GÄVLEBORGS LÄN</t>
        </is>
      </c>
      <c r="G81" t="inlineStr">
        <is>
          <t>SÖDERHAMN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46304</v>
      </c>
      <c r="F82" t="inlineStr">
        <is>
          <t>GÄVLEBORGS LÄN</t>
        </is>
      </c>
      <c r="G82" t="inlineStr">
        <is>
          <t>SÖDERHAMN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46304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46304</v>
      </c>
      <c r="F84" t="inlineStr">
        <is>
          <t>GÄVLEBORGS LÄN</t>
        </is>
      </c>
      <c r="G84" t="inlineStr">
        <is>
          <t>SÖDERHAMN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46304</v>
      </c>
      <c r="F85" t="inlineStr">
        <is>
          <t>GÄVLEBORGS LÄN</t>
        </is>
      </c>
      <c r="G85" t="inlineStr">
        <is>
          <t>SÖDERHAMN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46304</v>
      </c>
      <c r="F86" t="inlineStr">
        <is>
          <t>GÄVLEBORGS LÄN</t>
        </is>
      </c>
      <c r="G86" t="inlineStr">
        <is>
          <t>SÖDERHAMN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46304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46304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46304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46304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45471</v>
      </c>
      <c r="E91" s="1" t="n">
        <v>46304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46304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1458-2023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44937</v>
      </c>
      <c r="E93" s="1" t="n">
        <v>46304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46304</v>
      </c>
      <c r="F94" t="inlineStr">
        <is>
          <t>GÄVLEBORGS LÄN</t>
        </is>
      </c>
      <c r="G94" t="inlineStr">
        <is>
          <t>SÖDERHAMN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46304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46304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46304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46304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10327-2024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46304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46304</v>
      </c>
      <c r="F100" t="inlineStr">
        <is>
          <t>GÄVLEBORGS LÄN</t>
        </is>
      </c>
      <c r="G100" t="inlineStr">
        <is>
          <t>SÖDERHAMN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46304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46304</v>
      </c>
      <c r="F102" t="inlineStr">
        <is>
          <t>GÄVLEBORGS LÄN</t>
        </is>
      </c>
      <c r="G102" t="inlineStr">
        <is>
          <t>SÖDERHAMN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45595</v>
      </c>
      <c r="E103" s="1" t="n">
        <v>46304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46304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46304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46304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46304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46304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44665</v>
      </c>
      <c r="E109" s="1" t="n">
        <v>46304</v>
      </c>
      <c r="F109" t="inlineStr">
        <is>
          <t>GÄVLEBORGS LÄN</t>
        </is>
      </c>
      <c r="G109" t="inlineStr">
        <is>
          <t>SÖDERHAMN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46304</v>
      </c>
      <c r="F110" t="inlineStr">
        <is>
          <t>GÄVLEBORGS LÄN</t>
        </is>
      </c>
      <c r="G110" t="inlineStr">
        <is>
          <t>SÖDERHAMN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45425</v>
      </c>
      <c r="E111" s="1" t="n">
        <v>46304</v>
      </c>
      <c r="F111" t="inlineStr">
        <is>
          <t>GÄVLEBORGS LÄN</t>
        </is>
      </c>
      <c r="G111" t="inlineStr">
        <is>
          <t>SÖDERHAMN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18505-2024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45425</v>
      </c>
      <c r="E112" s="1" t="n">
        <v>46304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46304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44795</v>
      </c>
      <c r="E114" s="1" t="n">
        <v>46304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46304</v>
      </c>
      <c r="F115" t="inlineStr">
        <is>
          <t>GÄVLEBORGS LÄN</t>
        </is>
      </c>
      <c r="G115" t="inlineStr">
        <is>
          <t>SÖDERHAMN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44703-2024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45574</v>
      </c>
      <c r="E116" s="1" t="n">
        <v>46304</v>
      </c>
      <c r="F116" t="inlineStr">
        <is>
          <t>GÄVLEBORGS LÄN</t>
        </is>
      </c>
      <c r="G116" t="inlineStr">
        <is>
          <t>SÖDERHAMN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46304</v>
      </c>
      <c r="F117" t="inlineStr">
        <is>
          <t>GÄVLEBORGS LÄN</t>
        </is>
      </c>
      <c r="G117" t="inlineStr">
        <is>
          <t>SÖDERHAMN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45188</v>
      </c>
      <c r="E118" s="1" t="n">
        <v>46304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45673</v>
      </c>
      <c r="E119" s="1" t="n">
        <v>46304</v>
      </c>
      <c r="F119" t="inlineStr">
        <is>
          <t>GÄVLEBORGS LÄN</t>
        </is>
      </c>
      <c r="G119" t="inlineStr">
        <is>
          <t>SÖDERHAMN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46304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46304</v>
      </c>
      <c r="F121" t="inlineStr">
        <is>
          <t>GÄVLEBORGS LÄN</t>
        </is>
      </c>
      <c r="G121" t="inlineStr">
        <is>
          <t>SÖDERHAMN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45436</v>
      </c>
      <c r="E122" s="1" t="n">
        <v>46304</v>
      </c>
      <c r="F122" t="inlineStr">
        <is>
          <t>GÄVLEBORGS LÄN</t>
        </is>
      </c>
      <c r="G122" t="inlineStr">
        <is>
          <t>SÖDERHAMN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46304</v>
      </c>
      <c r="F123" t="inlineStr">
        <is>
          <t>GÄVLEBORGS LÄN</t>
        </is>
      </c>
      <c r="G123" t="inlineStr">
        <is>
          <t>SÖDERHAMN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46304</v>
      </c>
      <c r="F124" t="inlineStr">
        <is>
          <t>GÄVLEBORGS LÄN</t>
        </is>
      </c>
      <c r="G124" t="inlineStr">
        <is>
          <t>SÖDERHAMN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46304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46304</v>
      </c>
      <c r="F126" t="inlineStr">
        <is>
          <t>GÄVLEBORGS LÄN</t>
        </is>
      </c>
      <c r="G126" t="inlineStr">
        <is>
          <t>SÖDERHAMN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45670</v>
      </c>
      <c r="E127" s="1" t="n">
        <v>46304</v>
      </c>
      <c r="F127" t="inlineStr">
        <is>
          <t>GÄVLEBORGS LÄN</t>
        </is>
      </c>
      <c r="G127" t="inlineStr">
        <is>
          <t>SÖDERHAMN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45848</v>
      </c>
      <c r="E128" s="1" t="n">
        <v>46304</v>
      </c>
      <c r="F128" t="inlineStr">
        <is>
          <t>GÄVLEBORGS LÄN</t>
        </is>
      </c>
      <c r="G128" t="inlineStr">
        <is>
          <t>SÖDERHAMN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45108</v>
      </c>
      <c r="E129" s="1" t="n">
        <v>46304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45108</v>
      </c>
      <c r="E130" s="1" t="n">
        <v>46304</v>
      </c>
      <c r="F130" t="inlineStr">
        <is>
          <t>GÄVLEBORGS LÄN</t>
        </is>
      </c>
      <c r="G130" t="inlineStr">
        <is>
          <t>SÖDERHAMN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45331</v>
      </c>
      <c r="E131" s="1" t="n">
        <v>46304</v>
      </c>
      <c r="F131" t="inlineStr">
        <is>
          <t>GÄVLEBORGS LÄN</t>
        </is>
      </c>
      <c r="G131" t="inlineStr">
        <is>
          <t>SÖDERHAMN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45863</v>
      </c>
      <c r="E132" s="1" t="n">
        <v>46304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45257</v>
      </c>
      <c r="E133" s="1" t="n">
        <v>46304</v>
      </c>
      <c r="F133" t="inlineStr">
        <is>
          <t>GÄVLEBORGS LÄN</t>
        </is>
      </c>
      <c r="G133" t="inlineStr">
        <is>
          <t>SÖDERHAMN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46304</v>
      </c>
      <c r="F134" t="inlineStr">
        <is>
          <t>GÄVLEBORGS LÄN</t>
        </is>
      </c>
      <c r="G134" t="inlineStr">
        <is>
          <t>SÖDERHAMN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46304</v>
      </c>
      <c r="F135" t="inlineStr">
        <is>
          <t>GÄVLEBORGS LÄN</t>
        </is>
      </c>
      <c r="G135" t="inlineStr">
        <is>
          <t>SÖDERHAMN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46304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45670</v>
      </c>
      <c r="E137" s="1" t="n">
        <v>46304</v>
      </c>
      <c r="F137" t="inlineStr">
        <is>
          <t>GÄVLEBORGS LÄN</t>
        </is>
      </c>
      <c r="G137" t="inlineStr">
        <is>
          <t>SÖDERHAMN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46304</v>
      </c>
      <c r="F138" t="inlineStr">
        <is>
          <t>GÄVLEBORGS LÄN</t>
        </is>
      </c>
      <c r="G138" t="inlineStr">
        <is>
          <t>SÖDERHAMN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46304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46304</v>
      </c>
      <c r="F140" t="inlineStr">
        <is>
          <t>GÄVLEBORGS LÄN</t>
        </is>
      </c>
      <c r="G140" t="inlineStr">
        <is>
          <t>SÖDERHAMN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46304</v>
      </c>
      <c r="F141" t="inlineStr">
        <is>
          <t>GÄVLEBORGS LÄN</t>
        </is>
      </c>
      <c r="G141" t="inlineStr">
        <is>
          <t>SÖDERHAMN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46304</v>
      </c>
      <c r="F142" t="inlineStr">
        <is>
          <t>GÄVLEBORGS LÄN</t>
        </is>
      </c>
      <c r="G142" t="inlineStr">
        <is>
          <t>SÖDERHAMN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46304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46304</v>
      </c>
      <c r="F144" t="inlineStr">
        <is>
          <t>GÄVLEBORGS LÄN</t>
        </is>
      </c>
      <c r="G144" t="inlineStr">
        <is>
          <t>SÖDERHAMN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53503-2023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46304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46304</v>
      </c>
      <c r="F146" t="inlineStr">
        <is>
          <t>GÄVLEBORGS LÄN</t>
        </is>
      </c>
      <c r="G146" t="inlineStr">
        <is>
          <t>SÖDERHAMN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46304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38355-2022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44812</v>
      </c>
      <c r="E148" s="1" t="n">
        <v>46304</v>
      </c>
      <c r="F148" t="inlineStr">
        <is>
          <t>GÄVLEBORGS LÄN</t>
        </is>
      </c>
      <c r="G148" t="inlineStr">
        <is>
          <t>SÖDERHAMN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46304</v>
      </c>
      <c r="F149" t="inlineStr">
        <is>
          <t>GÄVLEBORGS LÄN</t>
        </is>
      </c>
      <c r="G149" t="inlineStr">
        <is>
          <t>SÖDERHAMN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45666</v>
      </c>
      <c r="E150" s="1" t="n">
        <v>46304</v>
      </c>
      <c r="F150" t="inlineStr">
        <is>
          <t>GÄVLEBORGS LÄN</t>
        </is>
      </c>
      <c r="G150" t="inlineStr">
        <is>
          <t>SÖDERHAMN</t>
        </is>
      </c>
      <c r="H150" t="inlineStr">
        <is>
          <t>Kommuner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46304</v>
      </c>
      <c r="F151" t="inlineStr">
        <is>
          <t>GÄVLEBORGS LÄN</t>
        </is>
      </c>
      <c r="G151" t="inlineStr">
        <is>
          <t>SÖDERHAMN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46304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24766-2023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45084</v>
      </c>
      <c r="E153" s="1" t="n">
        <v>46304</v>
      </c>
      <c r="F153" t="inlineStr">
        <is>
          <t>GÄVLEBORGS LÄN</t>
        </is>
      </c>
      <c r="G153" t="inlineStr">
        <is>
          <t>SÖDERHAMN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45879</v>
      </c>
      <c r="E154" s="1" t="n">
        <v>46304</v>
      </c>
      <c r="F154" t="inlineStr">
        <is>
          <t>GÄVLEBORGS LÄN</t>
        </is>
      </c>
      <c r="G154" t="inlineStr">
        <is>
          <t>SÖDERHAMN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45899</v>
      </c>
      <c r="E155" s="1" t="n">
        <v>46304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45879</v>
      </c>
      <c r="E156" s="1" t="n">
        <v>46304</v>
      </c>
      <c r="F156" t="inlineStr">
        <is>
          <t>GÄVLEBORGS LÄN</t>
        </is>
      </c>
      <c r="G156" t="inlineStr">
        <is>
          <t>SÖDERHAMN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46304</v>
      </c>
      <c r="F157" t="inlineStr">
        <is>
          <t>GÄVLEBORGS LÄN</t>
        </is>
      </c>
      <c r="G157" t="inlineStr">
        <is>
          <t>SÖDERHAMN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45762</v>
      </c>
      <c r="E158" s="1" t="n">
        <v>46304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46304</v>
      </c>
      <c r="F159" t="inlineStr">
        <is>
          <t>GÄVLEBORGS LÄN</t>
        </is>
      </c>
      <c r="G159" t="inlineStr">
        <is>
          <t>SÖDERHAMN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46304</v>
      </c>
      <c r="F160" t="inlineStr">
        <is>
          <t>GÄVLEBORGS LÄN</t>
        </is>
      </c>
      <c r="G160" t="inlineStr">
        <is>
          <t>SÖDERHAMN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46304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46304</v>
      </c>
      <c r="F162" t="inlineStr">
        <is>
          <t>GÄVLEBORGS LÄN</t>
        </is>
      </c>
      <c r="G162" t="inlineStr">
        <is>
          <t>SÖDERHAMN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71645-2021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44543</v>
      </c>
      <c r="E163" s="1" t="n">
        <v>46304</v>
      </c>
      <c r="F163" t="inlineStr">
        <is>
          <t>GÄVLEBORGS LÄN</t>
        </is>
      </c>
      <c r="G163" t="inlineStr">
        <is>
          <t>SÖDERHAMN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41221-2022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44826</v>
      </c>
      <c r="E164" s="1" t="n">
        <v>46304</v>
      </c>
      <c r="F164" t="inlineStr">
        <is>
          <t>GÄVLEBORGS LÄN</t>
        </is>
      </c>
      <c r="G164" t="inlineStr">
        <is>
          <t>SÖDERHAMN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46304</v>
      </c>
      <c r="F165" t="inlineStr">
        <is>
          <t>GÄVLEBORGS LÄN</t>
        </is>
      </c>
      <c r="G165" t="inlineStr">
        <is>
          <t>SÖDERHAMN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46304</v>
      </c>
      <c r="F166" t="inlineStr">
        <is>
          <t>GÄVLEBORGS LÄN</t>
        </is>
      </c>
      <c r="G166" t="inlineStr">
        <is>
          <t>SÖDERHAMN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46304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46304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16.2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46099</v>
      </c>
      <c r="E169" s="1" t="n">
        <v>46304</v>
      </c>
      <c r="F169" t="inlineStr">
        <is>
          <t>GÄVLEBORGS LÄN</t>
        </is>
      </c>
      <c r="G169" t="inlineStr">
        <is>
          <t>SÖDERHAMN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46304</v>
      </c>
      <c r="F170" t="inlineStr">
        <is>
          <t>GÄVLEBORGS LÄN</t>
        </is>
      </c>
      <c r="G170" t="inlineStr">
        <is>
          <t>SÖDERHAMN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44757</v>
      </c>
      <c r="E171" s="1" t="n">
        <v>46304</v>
      </c>
      <c r="F171" t="inlineStr">
        <is>
          <t>GÄVLEBORGS LÄN</t>
        </is>
      </c>
      <c r="G171" t="inlineStr">
        <is>
          <t>SÖDERHAMN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46099</v>
      </c>
      <c r="E172" s="1" t="n">
        <v>46304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46099</v>
      </c>
      <c r="E173" s="1" t="n">
        <v>46304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45639</v>
      </c>
      <c r="E174" s="1" t="n">
        <v>46304</v>
      </c>
      <c r="F174" t="inlineStr">
        <is>
          <t>GÄVLEBORGS LÄN</t>
        </is>
      </c>
      <c r="G174" t="inlineStr">
        <is>
          <t>SÖDERHAMN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6792-2024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45342</v>
      </c>
      <c r="E175" s="1" t="n">
        <v>46304</v>
      </c>
      <c r="F175" t="inlineStr">
        <is>
          <t>GÄVLEBORGS LÄN</t>
        </is>
      </c>
      <c r="G175" t="inlineStr">
        <is>
          <t>SÖDERHAMN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46104</v>
      </c>
      <c r="E176" s="1" t="n">
        <v>46304</v>
      </c>
      <c r="F176" t="inlineStr">
        <is>
          <t>GÄVLEBORGS LÄN</t>
        </is>
      </c>
      <c r="G176" t="inlineStr">
        <is>
          <t>SÖDERHAMN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46304</v>
      </c>
      <c r="F177" t="inlineStr">
        <is>
          <t>GÄVLEBORGS LÄN</t>
        </is>
      </c>
      <c r="G177" t="inlineStr">
        <is>
          <t>SÖDERHAMN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44856</v>
      </c>
      <c r="E178" s="1" t="n">
        <v>46304</v>
      </c>
      <c r="F178" t="inlineStr">
        <is>
          <t>GÄVLEBORGS LÄN</t>
        </is>
      </c>
      <c r="G178" t="inlineStr">
        <is>
          <t>SÖDERHAMN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46304</v>
      </c>
      <c r="F179" t="inlineStr">
        <is>
          <t>GÄVLEBORGS LÄN</t>
        </is>
      </c>
      <c r="G179" t="inlineStr">
        <is>
          <t>SÖDERHAMN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46304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46304</v>
      </c>
      <c r="F181" t="inlineStr">
        <is>
          <t>GÄVLEBORGS LÄN</t>
        </is>
      </c>
      <c r="G181" t="inlineStr">
        <is>
          <t>SÖDERHAMN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46304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46304</v>
      </c>
      <c r="F183" t="inlineStr">
        <is>
          <t>GÄVLEBORGS LÄN</t>
        </is>
      </c>
      <c r="G183" t="inlineStr">
        <is>
          <t>SÖDERHAMN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47100-2025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46304</v>
      </c>
      <c r="F184" t="inlineStr">
        <is>
          <t>GÄVLEBORGS LÄN</t>
        </is>
      </c>
      <c r="G184" t="inlineStr">
        <is>
          <t>SÖDERHAMN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46304</v>
      </c>
      <c r="F185" t="inlineStr">
        <is>
          <t>GÄVLEBORGS LÄN</t>
        </is>
      </c>
      <c r="G185" t="inlineStr">
        <is>
          <t>SÖDERHAMN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24933-2024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45461</v>
      </c>
      <c r="E186" s="1" t="n">
        <v>46304</v>
      </c>
      <c r="F186" t="inlineStr">
        <is>
          <t>GÄVLEBORGS LÄN</t>
        </is>
      </c>
      <c r="G186" t="inlineStr">
        <is>
          <t>SÖDERHAMN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46108</v>
      </c>
      <c r="E187" s="1" t="n">
        <v>46304</v>
      </c>
      <c r="F187" t="inlineStr">
        <is>
          <t>GÄVLEBORGS LÄN</t>
        </is>
      </c>
      <c r="G187" t="inlineStr">
        <is>
          <t>SÖDERHAMN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46304</v>
      </c>
      <c r="F188" t="inlineStr">
        <is>
          <t>GÄVLEBORGS LÄN</t>
        </is>
      </c>
      <c r="G188" t="inlineStr">
        <is>
          <t>SÖDERHAMN</t>
        </is>
      </c>
      <c r="I188" t="n">
        <v>11.2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46304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46304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46304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45296</v>
      </c>
      <c r="E192" s="1" t="n">
        <v>46304</v>
      </c>
      <c r="F192" t="inlineStr">
        <is>
          <t>GÄVLEBORGS LÄN</t>
        </is>
      </c>
      <c r="G192" t="inlineStr">
        <is>
          <t>SÖDERHAMN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46304</v>
      </c>
      <c r="F193" t="inlineStr">
        <is>
          <t>GÄVLEBORGS LÄN</t>
        </is>
      </c>
      <c r="G193" t="inlineStr">
        <is>
          <t>SÖDERHAMN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46304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45757</v>
      </c>
      <c r="E195" s="1" t="n">
        <v>46304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46304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46304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46304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46304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46304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44662</v>
      </c>
      <c r="E201" s="1" t="n">
        <v>46304</v>
      </c>
      <c r="F201" t="inlineStr">
        <is>
          <t>GÄVLEBORGS LÄN</t>
        </is>
      </c>
      <c r="G201" t="inlineStr">
        <is>
          <t>SÖDERHAMN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46304</v>
      </c>
      <c r="F202" t="inlineStr">
        <is>
          <t>GÄVLEBORGS LÄN</t>
        </is>
      </c>
      <c r="G202" t="inlineStr">
        <is>
          <t>SÖDERHAMN</t>
        </is>
      </c>
      <c r="I202" t="n">
        <v>11.2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46304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46304</v>
      </c>
      <c r="F204" t="inlineStr">
        <is>
          <t>GÄVLEBORGS LÄN</t>
        </is>
      </c>
      <c r="G204" t="inlineStr">
        <is>
          <t>SÖDERHAMN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46304</v>
      </c>
      <c r="F205" t="inlineStr">
        <is>
          <t>GÄVLEBORGS LÄN</t>
        </is>
      </c>
      <c r="G205" t="inlineStr">
        <is>
          <t>SÖDERHAMN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46304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46304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46304</v>
      </c>
      <c r="F208" t="inlineStr">
        <is>
          <t>GÄVLEBORGS LÄN</t>
        </is>
      </c>
      <c r="G208" t="inlineStr">
        <is>
          <t>SÖDERHAMN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46304</v>
      </c>
      <c r="F209" t="inlineStr">
        <is>
          <t>GÄVLEBORGS LÄN</t>
        </is>
      </c>
      <c r="G209" t="inlineStr">
        <is>
          <t>SÖDERHAMN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46304</v>
      </c>
      <c r="F210" t="inlineStr">
        <is>
          <t>GÄVLEBORGS LÄN</t>
        </is>
      </c>
      <c r="G210" t="inlineStr">
        <is>
          <t>SÖDERHAMN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17192-2026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46117</v>
      </c>
      <c r="E211" s="1" t="n">
        <v>46304</v>
      </c>
      <c r="F211" t="inlineStr">
        <is>
          <t>GÄVLEBORGS LÄN</t>
        </is>
      </c>
      <c r="G211" t="inlineStr">
        <is>
          <t>SÖDERHAMN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46117</v>
      </c>
      <c r="E212" s="1" t="n">
        <v>46304</v>
      </c>
      <c r="F212" t="inlineStr">
        <is>
          <t>GÄVLEBORGS LÄN</t>
        </is>
      </c>
      <c r="G212" t="inlineStr">
        <is>
          <t>SÖDERHAMN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46117</v>
      </c>
      <c r="E213" s="1" t="n">
        <v>46304</v>
      </c>
      <c r="F213" t="inlineStr">
        <is>
          <t>GÄVLEBORGS LÄN</t>
        </is>
      </c>
      <c r="G213" t="inlineStr">
        <is>
          <t>SÖDERHAMN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46117</v>
      </c>
      <c r="E214" s="1" t="n">
        <v>46304</v>
      </c>
      <c r="F214" t="inlineStr">
        <is>
          <t>GÄVLEBORGS LÄN</t>
        </is>
      </c>
      <c r="G214" t="inlineStr">
        <is>
          <t>SÖDERHAMN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45597</v>
      </c>
      <c r="E215" s="1" t="n">
        <v>46304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46304</v>
      </c>
      <c r="F216" t="inlineStr">
        <is>
          <t>GÄVLEBORGS LÄN</t>
        </is>
      </c>
      <c r="G216" t="inlineStr">
        <is>
          <t>SÖDERHAMN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45040</v>
      </c>
      <c r="E217" s="1" t="n">
        <v>46304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46304</v>
      </c>
      <c r="F218" t="inlineStr">
        <is>
          <t>GÄVLEBORGS LÄN</t>
        </is>
      </c>
      <c r="G218" t="inlineStr">
        <is>
          <t>SÖDERHAMN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46304</v>
      </c>
      <c r="F219" t="inlineStr">
        <is>
          <t>GÄVLEBORGS LÄN</t>
        </is>
      </c>
      <c r="G219" t="inlineStr">
        <is>
          <t>SÖDERHAMN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46304</v>
      </c>
      <c r="F220" t="inlineStr">
        <is>
          <t>GÄVLEBORGS LÄN</t>
        </is>
      </c>
      <c r="G220" t="inlineStr">
        <is>
          <t>SÖDERHAMN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43723-2022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44837</v>
      </c>
      <c r="E221" s="1" t="n">
        <v>46304</v>
      </c>
      <c r="F221" t="inlineStr">
        <is>
          <t>GÄVLEBORGS LÄN</t>
        </is>
      </c>
      <c r="G221" t="inlineStr">
        <is>
          <t>SÖDERHAMN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46304</v>
      </c>
      <c r="F222" t="inlineStr">
        <is>
          <t>GÄVLEBORGS LÄN</t>
        </is>
      </c>
      <c r="G222" t="inlineStr">
        <is>
          <t>SÖDERHAMN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46304</v>
      </c>
      <c r="F223" t="inlineStr">
        <is>
          <t>GÄVLEBORGS LÄN</t>
        </is>
      </c>
      <c r="G223" t="inlineStr">
        <is>
          <t>SÖDERHAMN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53628-2025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46304</v>
      </c>
      <c r="F224" t="inlineStr">
        <is>
          <t>GÄVLEBORGS LÄN</t>
        </is>
      </c>
      <c r="G224" t="inlineStr">
        <is>
          <t>SÖDERHAMN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46304</v>
      </c>
      <c r="F225" t="inlineStr">
        <is>
          <t>GÄVLEBORGS LÄN</t>
        </is>
      </c>
      <c r="G225" t="inlineStr">
        <is>
          <t>SÖDERHAMN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46304</v>
      </c>
      <c r="F226" t="inlineStr">
        <is>
          <t>GÄVLEBORGS LÄN</t>
        </is>
      </c>
      <c r="G226" t="inlineStr">
        <is>
          <t>SÖDERHAMN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46304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46304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46304</v>
      </c>
      <c r="F229" t="inlineStr">
        <is>
          <t>GÄVLEBORGS LÄN</t>
        </is>
      </c>
      <c r="G229" t="inlineStr">
        <is>
          <t>SÖDERHAMN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46304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46304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45967</v>
      </c>
      <c r="E232" s="1" t="n">
        <v>46304</v>
      </c>
      <c r="F232" t="inlineStr">
        <is>
          <t>GÄVLEBORGS LÄN</t>
        </is>
      </c>
      <c r="G232" t="inlineStr">
        <is>
          <t>SÖDERHAMN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46304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46304</v>
      </c>
      <c r="F234" t="inlineStr">
        <is>
          <t>GÄVLEBORGS LÄN</t>
        </is>
      </c>
      <c r="G234" t="inlineStr">
        <is>
          <t>SÖDERHAMN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46304</v>
      </c>
      <c r="F235" t="inlineStr">
        <is>
          <t>GÄVLEBORGS LÄN</t>
        </is>
      </c>
      <c r="G235" t="inlineStr">
        <is>
          <t>SÖDERHAMN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46304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46304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46304</v>
      </c>
      <c r="F238" t="inlineStr">
        <is>
          <t>GÄVLEBORGS LÄN</t>
        </is>
      </c>
      <c r="G238" t="inlineStr">
        <is>
          <t>SÖDERHAMN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46304</v>
      </c>
      <c r="F239" t="inlineStr">
        <is>
          <t>GÄVLEBORGS LÄN</t>
        </is>
      </c>
      <c r="G239" t="inlineStr">
        <is>
          <t>SÖDERHAMN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46304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45972</v>
      </c>
      <c r="E241" s="1" t="n">
        <v>46304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46304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46304</v>
      </c>
      <c r="F243" t="inlineStr">
        <is>
          <t>GÄVLEBORGS LÄN</t>
        </is>
      </c>
      <c r="G243" t="inlineStr">
        <is>
          <t>SÖDERHAMN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46304</v>
      </c>
      <c r="F244" t="inlineStr">
        <is>
          <t>GÄVLEBORGS LÄN</t>
        </is>
      </c>
      <c r="G244" t="inlineStr">
        <is>
          <t>SÖDERHAMN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45975</v>
      </c>
      <c r="E245" s="1" t="n">
        <v>46304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46304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46304</v>
      </c>
      <c r="F247" t="inlineStr">
        <is>
          <t>GÄVLEBORGS LÄN</t>
        </is>
      </c>
      <c r="G247" t="inlineStr">
        <is>
          <t>SÖDERHAMN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46304</v>
      </c>
      <c r="F248" t="inlineStr">
        <is>
          <t>GÄVLEBORGS LÄN</t>
        </is>
      </c>
      <c r="G248" t="inlineStr">
        <is>
          <t>SÖDERHAMN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59216-2021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44490</v>
      </c>
      <c r="E249" s="1" t="n">
        <v>46304</v>
      </c>
      <c r="F249" t="inlineStr">
        <is>
          <t>GÄVLEBORGS LÄN</t>
        </is>
      </c>
      <c r="G249" t="inlineStr">
        <is>
          <t>SÖDERHAMN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46304</v>
      </c>
      <c r="F250" t="inlineStr">
        <is>
          <t>GÄVLEBORGS LÄN</t>
        </is>
      </c>
      <c r="G250" t="inlineStr">
        <is>
          <t>SÖDERHAMN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46304</v>
      </c>
      <c r="F251" t="inlineStr">
        <is>
          <t>GÄVLEBORGS LÄN</t>
        </is>
      </c>
      <c r="G251" t="inlineStr">
        <is>
          <t>SÖDERHAMN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46304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53918-2025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45961</v>
      </c>
      <c r="E253" s="1" t="n">
        <v>46304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46304</v>
      </c>
      <c r="F254" t="inlineStr">
        <is>
          <t>GÄVLEBORGS LÄN</t>
        </is>
      </c>
      <c r="G254" t="inlineStr">
        <is>
          <t>SÖDERHAMN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46304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46304</v>
      </c>
      <c r="F256" t="inlineStr">
        <is>
          <t>GÄVLEBORGS LÄN</t>
        </is>
      </c>
      <c r="G256" t="inlineStr">
        <is>
          <t>SÖDERHAMN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46304</v>
      </c>
      <c r="F257" t="inlineStr">
        <is>
          <t>GÄVLEBORGS LÄN</t>
        </is>
      </c>
      <c r="G257" t="inlineStr">
        <is>
          <t>SÖDERHAMN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46304</v>
      </c>
      <c r="F258" t="inlineStr">
        <is>
          <t>GÄVLEBORGS LÄN</t>
        </is>
      </c>
      <c r="G258" t="inlineStr">
        <is>
          <t>SÖDERHAMN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46304</v>
      </c>
      <c r="F259" t="inlineStr">
        <is>
          <t>GÄVLEBORGS LÄN</t>
        </is>
      </c>
      <c r="G259" t="inlineStr">
        <is>
          <t>SÖDERHAMN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46304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46304</v>
      </c>
      <c r="F261" t="inlineStr">
        <is>
          <t>GÄVLEBORGS LÄN</t>
        </is>
      </c>
      <c r="G261" t="inlineStr">
        <is>
          <t>SÖDERHAMN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45426</v>
      </c>
      <c r="E262" s="1" t="n">
        <v>46304</v>
      </c>
      <c r="F262" t="inlineStr">
        <is>
          <t>GÄVLEBORGS LÄN</t>
        </is>
      </c>
      <c r="G262" t="inlineStr">
        <is>
          <t>SÖDERHAMN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49959-2024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45597</v>
      </c>
      <c r="E263" s="1" t="n">
        <v>46304</v>
      </c>
      <c r="F263" t="inlineStr">
        <is>
          <t>GÄVLEBORGS LÄN</t>
        </is>
      </c>
      <c r="G263" t="inlineStr">
        <is>
          <t>SÖDERHAMN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46304</v>
      </c>
      <c r="F264" t="inlineStr">
        <is>
          <t>GÄVLEBORGS LÄN</t>
        </is>
      </c>
      <c r="G264" t="inlineStr">
        <is>
          <t>SÖDERHAMN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46304</v>
      </c>
      <c r="F265" t="inlineStr">
        <is>
          <t>GÄVLEBORGS LÄN</t>
        </is>
      </c>
      <c r="G265" t="inlineStr">
        <is>
          <t>SÖDERHAMN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58499-2025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46304</v>
      </c>
      <c r="F266" t="inlineStr">
        <is>
          <t>GÄVLEBORGS LÄN</t>
        </is>
      </c>
      <c r="G266" t="inlineStr">
        <is>
          <t>SÖDERHAMN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46304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46304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46304</v>
      </c>
      <c r="F269" t="inlineStr">
        <is>
          <t>GÄVLEBORGS LÄN</t>
        </is>
      </c>
      <c r="G269" t="inlineStr">
        <is>
          <t>SÖDERHAMN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46304</v>
      </c>
      <c r="F270" t="inlineStr">
        <is>
          <t>GÄVLEBORGS LÄN</t>
        </is>
      </c>
      <c r="G270" t="inlineStr">
        <is>
          <t>SÖDERHAMN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46304</v>
      </c>
      <c r="F271" t="inlineStr">
        <is>
          <t>GÄVLEBORGS LÄN</t>
        </is>
      </c>
      <c r="G271" t="inlineStr">
        <is>
          <t>SÖDERHAMN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45615</v>
      </c>
      <c r="E272" s="1" t="n">
        <v>46304</v>
      </c>
      <c r="F272" t="inlineStr">
        <is>
          <t>GÄVLEBORGS LÄN</t>
        </is>
      </c>
      <c r="G272" t="inlineStr">
        <is>
          <t>SÖDERHAMN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46304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45748</v>
      </c>
      <c r="E274" s="1" t="n">
        <v>46304</v>
      </c>
      <c r="F274" t="inlineStr">
        <is>
          <t>GÄVLEBORGS LÄN</t>
        </is>
      </c>
      <c r="G274" t="inlineStr">
        <is>
          <t>SÖDERHAMN</t>
        </is>
      </c>
      <c r="H274" t="inlineStr">
        <is>
          <t>Kommuner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46304</v>
      </c>
      <c r="F275" t="inlineStr">
        <is>
          <t>GÄVLEBORGS LÄN</t>
        </is>
      </c>
      <c r="G275" t="inlineStr">
        <is>
          <t>SÖDERHAMN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46304</v>
      </c>
      <c r="F276" t="inlineStr">
        <is>
          <t>GÄVLEBORGS LÄN</t>
        </is>
      </c>
      <c r="G276" t="inlineStr">
        <is>
          <t>SÖDERHAMN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45526</v>
      </c>
      <c r="E277" s="1" t="n">
        <v>46304</v>
      </c>
      <c r="F277" t="inlineStr">
        <is>
          <t>GÄVLEBORGS LÄN</t>
        </is>
      </c>
      <c r="G277" t="inlineStr">
        <is>
          <t>SÖDERHAMN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46304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46304</v>
      </c>
      <c r="F279" t="inlineStr">
        <is>
          <t>GÄVLEBORGS LÄN</t>
        </is>
      </c>
      <c r="G279" t="inlineStr">
        <is>
          <t>SÖDERHAMN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46304</v>
      </c>
      <c r="F280" t="inlineStr">
        <is>
          <t>GÄVLEBORGS LÄN</t>
        </is>
      </c>
      <c r="G280" t="inlineStr">
        <is>
          <t>SÖDERHAMN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46304</v>
      </c>
      <c r="F281" t="inlineStr">
        <is>
          <t>GÄVLEBORGS LÄN</t>
        </is>
      </c>
      <c r="G281" t="inlineStr">
        <is>
          <t>SÖDERHAMN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46304</v>
      </c>
      <c r="F282" t="inlineStr">
        <is>
          <t>GÄVLEBORGS LÄN</t>
        </is>
      </c>
      <c r="G282" t="inlineStr">
        <is>
          <t>SÖDERHAMN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44938</v>
      </c>
      <c r="E283" s="1" t="n">
        <v>46304</v>
      </c>
      <c r="F283" t="inlineStr">
        <is>
          <t>GÄVLEBORGS LÄN</t>
        </is>
      </c>
      <c r="G283" t="inlineStr">
        <is>
          <t>SÖDERHAMN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46304</v>
      </c>
      <c r="F284" t="inlineStr">
        <is>
          <t>GÄVLEBORGS LÄN</t>
        </is>
      </c>
      <c r="G284" t="inlineStr">
        <is>
          <t>SÖDERHAMN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46304</v>
      </c>
      <c r="F285" t="inlineStr">
        <is>
          <t>GÄVLEBORGS LÄN</t>
        </is>
      </c>
      <c r="G285" t="inlineStr">
        <is>
          <t>SÖDERHAMN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46087</v>
      </c>
      <c r="E286" s="1" t="n">
        <v>46304</v>
      </c>
      <c r="F286" t="inlineStr">
        <is>
          <t>GÄVLEBORGS LÄN</t>
        </is>
      </c>
      <c r="G286" t="inlineStr">
        <is>
          <t>SÖDERHAMN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46304</v>
      </c>
      <c r="F287" t="inlineStr">
        <is>
          <t>GÄVLEBORGS LÄN</t>
        </is>
      </c>
      <c r="G287" t="inlineStr">
        <is>
          <t>SÖDERHAMN</t>
        </is>
      </c>
      <c r="I287" t="n">
        <v>14.1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46304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46304</v>
      </c>
      <c r="F289" t="inlineStr">
        <is>
          <t>GÄVLEBORGS LÄN</t>
        </is>
      </c>
      <c r="G289" t="inlineStr">
        <is>
          <t>SÖDERHAMN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58212-2025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46304</v>
      </c>
      <c r="F290" t="inlineStr">
        <is>
          <t>GÄVLEBORGS LÄN</t>
        </is>
      </c>
      <c r="G290" t="inlineStr">
        <is>
          <t>SÖDERHAMN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46304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46304</v>
      </c>
      <c r="F292" t="inlineStr">
        <is>
          <t>GÄVLEBORGS LÄN</t>
        </is>
      </c>
      <c r="G292" t="inlineStr">
        <is>
          <t>SÖDERHAMN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60935-2025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46304</v>
      </c>
      <c r="F293" t="inlineStr">
        <is>
          <t>GÄVLEBORGS LÄN</t>
        </is>
      </c>
      <c r="G293" t="inlineStr">
        <is>
          <t>SÖDERHAMN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46304</v>
      </c>
      <c r="F294" t="inlineStr">
        <is>
          <t>GÄVLEBORGS LÄN</t>
        </is>
      </c>
      <c r="G294" t="inlineStr">
        <is>
          <t>SÖDERHAMN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61416-2025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46001</v>
      </c>
      <c r="E295" s="1" t="n">
        <v>46304</v>
      </c>
      <c r="F295" t="inlineStr">
        <is>
          <t>GÄVLEBORGS LÄN</t>
        </is>
      </c>
      <c r="G295" t="inlineStr">
        <is>
          <t>SÖDERHAMN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45600</v>
      </c>
      <c r="E296" s="1" t="n">
        <v>46304</v>
      </c>
      <c r="F296" t="inlineStr">
        <is>
          <t>GÄVLEBORGS LÄN</t>
        </is>
      </c>
      <c r="G296" t="inlineStr">
        <is>
          <t>SÖDERHAMN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46001</v>
      </c>
      <c r="E297" s="1" t="n">
        <v>46304</v>
      </c>
      <c r="F297" t="inlineStr">
        <is>
          <t>GÄVLEBORGS LÄN</t>
        </is>
      </c>
      <c r="G297" t="inlineStr">
        <is>
          <t>SÖDERHAMN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46304</v>
      </c>
      <c r="F298" t="inlineStr">
        <is>
          <t>GÄVLEBORGS LÄN</t>
        </is>
      </c>
      <c r="G298" t="inlineStr">
        <is>
          <t>SÖDERHAMN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46304</v>
      </c>
      <c r="F299" t="inlineStr">
        <is>
          <t>GÄVLEBORGS LÄN</t>
        </is>
      </c>
      <c r="G299" t="inlineStr">
        <is>
          <t>SÖDERHAMN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46304</v>
      </c>
      <c r="F300" t="inlineStr">
        <is>
          <t>GÄVLEBORGS LÄN</t>
        </is>
      </c>
      <c r="G300" t="inlineStr">
        <is>
          <t>SÖDERHAMN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40745-2023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45170</v>
      </c>
      <c r="E301" s="1" t="n">
        <v>46304</v>
      </c>
      <c r="F301" t="inlineStr">
        <is>
          <t>GÄVLEBORGS LÄN</t>
        </is>
      </c>
      <c r="G301" t="inlineStr">
        <is>
          <t>SÖDERHAMN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46304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45327</v>
      </c>
      <c r="E303" s="1" t="n">
        <v>46304</v>
      </c>
      <c r="F303" t="inlineStr">
        <is>
          <t>GÄVLEBORGS LÄN</t>
        </is>
      </c>
      <c r="G303" t="inlineStr">
        <is>
          <t>SÖDERHAMN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46304</v>
      </c>
      <c r="F304" t="inlineStr">
        <is>
          <t>GÄVLEBORGS LÄN</t>
        </is>
      </c>
      <c r="G304" t="inlineStr">
        <is>
          <t>SÖDERHAMN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19174-2026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46304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45791</v>
      </c>
      <c r="E306" s="1" t="n">
        <v>46304</v>
      </c>
      <c r="F306" t="inlineStr">
        <is>
          <t>GÄVLEBORGS LÄN</t>
        </is>
      </c>
      <c r="G306" t="inlineStr">
        <is>
          <t>SÖDERHAMN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46041</v>
      </c>
      <c r="E307" s="1" t="n">
        <v>46304</v>
      </c>
      <c r="F307" t="inlineStr">
        <is>
          <t>GÄVLEBORGS LÄN</t>
        </is>
      </c>
      <c r="G307" t="inlineStr">
        <is>
          <t>SÖDERHAMN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46304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46304</v>
      </c>
      <c r="F309" t="inlineStr">
        <is>
          <t>GÄVLEBORGS LÄN</t>
        </is>
      </c>
      <c r="G309" t="inlineStr">
        <is>
          <t>SÖDERHAMN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46041</v>
      </c>
      <c r="E310" s="1" t="n">
        <v>46304</v>
      </c>
      <c r="F310" t="inlineStr">
        <is>
          <t>GÄVLEBORGS LÄN</t>
        </is>
      </c>
      <c r="G310" t="inlineStr">
        <is>
          <t>SÖDERHAMN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46304</v>
      </c>
      <c r="F311" t="inlineStr">
        <is>
          <t>GÄVLEBORGS LÄN</t>
        </is>
      </c>
      <c r="G311" t="inlineStr">
        <is>
          <t>SÖDERHAMN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46304</v>
      </c>
      <c r="F312" t="inlineStr">
        <is>
          <t>GÄVLEBORGS LÄN</t>
        </is>
      </c>
      <c r="G312" t="inlineStr">
        <is>
          <t>SÖDERHAMN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46304</v>
      </c>
      <c r="F313" t="inlineStr">
        <is>
          <t>GÄVLEBORGS LÄN</t>
        </is>
      </c>
      <c r="G313" t="inlineStr">
        <is>
          <t>SÖDERHAMN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45750</v>
      </c>
      <c r="E314" s="1" t="n">
        <v>46304</v>
      </c>
      <c r="F314" t="inlineStr">
        <is>
          <t>GÄVLEBORGS LÄN</t>
        </is>
      </c>
      <c r="G314" t="inlineStr">
        <is>
          <t>SÖDERHAMN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46304</v>
      </c>
      <c r="F315" t="inlineStr">
        <is>
          <t>GÄVLEBORGS LÄN</t>
        </is>
      </c>
      <c r="G315" t="inlineStr">
        <is>
          <t>SÖDERHAMN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46304</v>
      </c>
      <c r="F316" t="inlineStr">
        <is>
          <t>GÄVLEBORGS LÄN</t>
        </is>
      </c>
      <c r="G316" t="inlineStr">
        <is>
          <t>SÖDERHAMN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46026</v>
      </c>
      <c r="E317" s="1" t="n">
        <v>46304</v>
      </c>
      <c r="F317" t="inlineStr">
        <is>
          <t>GÄVLEBORGS LÄN</t>
        </is>
      </c>
      <c r="G317" t="inlineStr">
        <is>
          <t>SÖDERHAMN</t>
        </is>
      </c>
      <c r="I317" t="n">
        <v>12.9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46026</v>
      </c>
      <c r="E318" s="1" t="n">
        <v>46304</v>
      </c>
      <c r="F318" t="inlineStr">
        <is>
          <t>GÄVLEBORGS LÄN</t>
        </is>
      </c>
      <c r="G318" t="inlineStr">
        <is>
          <t>SÖDERHAMN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46304</v>
      </c>
      <c r="F319" t="inlineStr">
        <is>
          <t>GÄVLEBORGS LÄN</t>
        </is>
      </c>
      <c r="G319" t="inlineStr">
        <is>
          <t>SÖDERHAMN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45461</v>
      </c>
      <c r="E320" s="1" t="n">
        <v>46304</v>
      </c>
      <c r="F320" t="inlineStr">
        <is>
          <t>GÄVLEBORGS LÄN</t>
        </is>
      </c>
      <c r="G320" t="inlineStr">
        <is>
          <t>SÖDERHAMN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46304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46304</v>
      </c>
      <c r="F322" t="inlineStr">
        <is>
          <t>GÄVLEBORGS LÄN</t>
        </is>
      </c>
      <c r="G322" t="inlineStr">
        <is>
          <t>SÖDERHAMN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45527</v>
      </c>
      <c r="E323" s="1" t="n">
        <v>46304</v>
      </c>
      <c r="F323" t="inlineStr">
        <is>
          <t>GÄVLEBORGS LÄN</t>
        </is>
      </c>
      <c r="G323" t="inlineStr">
        <is>
          <t>SÖDERHAMN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46304</v>
      </c>
      <c r="F324" t="inlineStr">
        <is>
          <t>GÄVLEBORGS LÄN</t>
        </is>
      </c>
      <c r="G324" t="inlineStr">
        <is>
          <t>SÖDERHAMN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46304</v>
      </c>
      <c r="F325" t="inlineStr">
        <is>
          <t>GÄVLEBORGS LÄN</t>
        </is>
      </c>
      <c r="G325" t="inlineStr">
        <is>
          <t>SÖDERHAMN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44651</v>
      </c>
      <c r="E326" s="1" t="n">
        <v>46304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46024</v>
      </c>
      <c r="E327" s="1" t="n">
        <v>46304</v>
      </c>
      <c r="F327" t="inlineStr">
        <is>
          <t>GÄVLEBORGS LÄN</t>
        </is>
      </c>
      <c r="G327" t="inlineStr">
        <is>
          <t>SÖDERHAMN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46304</v>
      </c>
      <c r="F328" t="inlineStr">
        <is>
          <t>GÄVLEBORGS LÄN</t>
        </is>
      </c>
      <c r="G328" t="inlineStr">
        <is>
          <t>SÖDERHAMN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46304</v>
      </c>
      <c r="F329" t="inlineStr">
        <is>
          <t>GÄVLEBORGS LÄN</t>
        </is>
      </c>
      <c r="G329" t="inlineStr">
        <is>
          <t>SÖDERHAMN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46304</v>
      </c>
      <c r="F330" t="inlineStr">
        <is>
          <t>GÄVLEBORGS LÄN</t>
        </is>
      </c>
      <c r="G330" t="inlineStr">
        <is>
          <t>SÖDERHAMN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46304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46304</v>
      </c>
      <c r="F332" t="inlineStr">
        <is>
          <t>GÄVLEBORGS LÄN</t>
        </is>
      </c>
      <c r="G332" t="inlineStr">
        <is>
          <t>SÖDERHAMN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46304</v>
      </c>
      <c r="F333" t="inlineStr">
        <is>
          <t>GÄVLEBORGS LÄN</t>
        </is>
      </c>
      <c r="G333" t="inlineStr">
        <is>
          <t>SÖDERHAMN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46304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46304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46304</v>
      </c>
      <c r="F336" t="inlineStr">
        <is>
          <t>GÄVLEBORGS LÄN</t>
        </is>
      </c>
      <c r="G336" t="inlineStr">
        <is>
          <t>SÖDERHAMN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46304</v>
      </c>
      <c r="F337" t="inlineStr">
        <is>
          <t>GÄVLEBORGS LÄN</t>
        </is>
      </c>
      <c r="G337" t="inlineStr">
        <is>
          <t>SÖDERHAMN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45558</v>
      </c>
      <c r="E338" s="1" t="n">
        <v>46304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46304</v>
      </c>
      <c r="F339" t="inlineStr">
        <is>
          <t>GÄVLEBORGS LÄN</t>
        </is>
      </c>
      <c r="G339" t="inlineStr">
        <is>
          <t>SÖDERHAMN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46304</v>
      </c>
      <c r="F340" t="inlineStr">
        <is>
          <t>GÄVLEBORGS LÄN</t>
        </is>
      </c>
      <c r="G340" t="inlineStr">
        <is>
          <t>SÖDERHAMN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45028</v>
      </c>
      <c r="E341" s="1" t="n">
        <v>46304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46304</v>
      </c>
      <c r="F342" t="inlineStr">
        <is>
          <t>GÄVLEBORGS LÄN</t>
        </is>
      </c>
      <c r="G342" t="inlineStr">
        <is>
          <t>SÖDERHAMN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46304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63431-2021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44508</v>
      </c>
      <c r="E344" s="1" t="n">
        <v>46304</v>
      </c>
      <c r="F344" t="inlineStr">
        <is>
          <t>GÄVLEBORGS LÄN</t>
        </is>
      </c>
      <c r="G344" t="inlineStr">
        <is>
          <t>SÖDERHAMN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46304</v>
      </c>
      <c r="F345" t="inlineStr">
        <is>
          <t>GÄVLEBORGS LÄN</t>
        </is>
      </c>
      <c r="G345" t="inlineStr">
        <is>
          <t>SÖDERHAMN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44649</v>
      </c>
      <c r="E346" s="1" t="n">
        <v>46304</v>
      </c>
      <c r="F346" t="inlineStr">
        <is>
          <t>GÄVLEBORGS LÄN</t>
        </is>
      </c>
      <c r="G346" t="inlineStr">
        <is>
          <t>SÖDERHAMN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14498-2023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45012</v>
      </c>
      <c r="E347" s="1" t="n">
        <v>46304</v>
      </c>
      <c r="F347" t="inlineStr">
        <is>
          <t>GÄVLEBORGS LÄN</t>
        </is>
      </c>
      <c r="G347" t="inlineStr">
        <is>
          <t>SÖDERHAMN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45373</v>
      </c>
      <c r="E348" s="1" t="n">
        <v>46304</v>
      </c>
      <c r="F348" t="inlineStr">
        <is>
          <t>GÄVLEBORGS LÄN</t>
        </is>
      </c>
      <c r="G348" t="inlineStr">
        <is>
          <t>SÖDERHAMN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46304</v>
      </c>
      <c r="F349" t="inlineStr">
        <is>
          <t>GÄVLEBORGS LÄN</t>
        </is>
      </c>
      <c r="G349" t="inlineStr">
        <is>
          <t>SÖDERHAMN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45607</v>
      </c>
      <c r="E350" s="1" t="n">
        <v>46304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46304</v>
      </c>
      <c r="F351" t="inlineStr">
        <is>
          <t>GÄVLEBORGS LÄN</t>
        </is>
      </c>
      <c r="G351" t="inlineStr">
        <is>
          <t>SÖDERHAMN</t>
        </is>
      </c>
      <c r="I351" t="n">
        <v>12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46044</v>
      </c>
      <c r="E352" s="1" t="n">
        <v>46304</v>
      </c>
      <c r="F352" t="inlineStr">
        <is>
          <t>GÄVLEBORGS LÄN</t>
        </is>
      </c>
      <c r="G352" t="inlineStr">
        <is>
          <t>SÖDERHAMN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56933-2024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45628</v>
      </c>
      <c r="E353" s="1" t="n">
        <v>46304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46304</v>
      </c>
      <c r="F354" t="inlineStr">
        <is>
          <t>GÄVLEBORGS LÄN</t>
        </is>
      </c>
      <c r="G354" t="inlineStr">
        <is>
          <t>SÖDERHAMN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46304</v>
      </c>
      <c r="F355" t="inlineStr">
        <is>
          <t>GÄVLEBORGS LÄN</t>
        </is>
      </c>
      <c r="G355" t="inlineStr">
        <is>
          <t>SÖDERHAMN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46304</v>
      </c>
      <c r="F356" t="inlineStr">
        <is>
          <t>GÄVLEBORGS LÄN</t>
        </is>
      </c>
      <c r="G356" t="inlineStr">
        <is>
          <t>SÖDERHAMN</t>
        </is>
      </c>
      <c r="I356" t="n">
        <v>14.2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45622</v>
      </c>
      <c r="E357" s="1" t="n">
        <v>46304</v>
      </c>
      <c r="F357" t="inlineStr">
        <is>
          <t>GÄVLEBORGS LÄN</t>
        </is>
      </c>
      <c r="G357" t="inlineStr">
        <is>
          <t>SÖDERHAMN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46304</v>
      </c>
      <c r="F358" t="inlineStr">
        <is>
          <t>GÄVLEBORGS LÄN</t>
        </is>
      </c>
      <c r="G358" t="inlineStr">
        <is>
          <t>SÖDERHAMN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45602</v>
      </c>
      <c r="E359" s="1" t="n">
        <v>46304</v>
      </c>
      <c r="F359" t="inlineStr">
        <is>
          <t>GÄVLEBORGS LÄN</t>
        </is>
      </c>
      <c r="G359" t="inlineStr">
        <is>
          <t>SÖDERHAMN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45561</v>
      </c>
      <c r="E360" s="1" t="n">
        <v>46304</v>
      </c>
      <c r="F360" t="inlineStr">
        <is>
          <t>GÄVLEBORGS LÄN</t>
        </is>
      </c>
      <c r="G360" t="inlineStr">
        <is>
          <t>SÖDERHAMN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46304</v>
      </c>
      <c r="F361" t="inlineStr">
        <is>
          <t>GÄVLEBORGS LÄN</t>
        </is>
      </c>
      <c r="G361" t="inlineStr">
        <is>
          <t>SÖDERHAMN</t>
        </is>
      </c>
      <c r="I361" t="n">
        <v>14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46304</v>
      </c>
      <c r="F362" t="inlineStr">
        <is>
          <t>GÄVLEBORGS LÄN</t>
        </is>
      </c>
      <c r="G362" t="inlineStr">
        <is>
          <t>SÖDERHAMN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46304</v>
      </c>
      <c r="F363" t="inlineStr">
        <is>
          <t>GÄVLEBORGS LÄN</t>
        </is>
      </c>
      <c r="G363" t="inlineStr">
        <is>
          <t>SÖDERHAMN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46304</v>
      </c>
      <c r="F364" t="inlineStr">
        <is>
          <t>GÄVLEBORGS LÄN</t>
        </is>
      </c>
      <c r="G364" t="inlineStr">
        <is>
          <t>SÖDERHAMN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46304</v>
      </c>
      <c r="F365" t="inlineStr">
        <is>
          <t>GÄVLEBORGS LÄN</t>
        </is>
      </c>
      <c r="G365" t="inlineStr">
        <is>
          <t>SÖDERHAMN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46304</v>
      </c>
      <c r="F366" t="inlineStr">
        <is>
          <t>GÄVLEBORGS LÄN</t>
        </is>
      </c>
      <c r="G366" t="inlineStr">
        <is>
          <t>SÖDERHAMN</t>
        </is>
      </c>
      <c r="H366" t="inlineStr">
        <is>
          <t>Övriga statliga verk och myndigheter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46304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15499-2025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46304</v>
      </c>
      <c r="F368" t="inlineStr">
        <is>
          <t>GÄVLEBORGS LÄN</t>
        </is>
      </c>
      <c r="G368" t="inlineStr">
        <is>
          <t>SÖDERHAMN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46304</v>
      </c>
      <c r="F369" t="inlineStr">
        <is>
          <t>GÄVLEBORGS LÄN</t>
        </is>
      </c>
      <c r="G369" t="inlineStr">
        <is>
          <t>SÖDERHAMN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46304</v>
      </c>
      <c r="F370" t="inlineStr">
        <is>
          <t>GÄVLEBORGS LÄN</t>
        </is>
      </c>
      <c r="G370" t="inlineStr">
        <is>
          <t>SÖDERHAMN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46304</v>
      </c>
      <c r="F371" t="inlineStr">
        <is>
          <t>GÄVLEBORGS LÄN</t>
        </is>
      </c>
      <c r="G371" t="inlineStr">
        <is>
          <t>SÖDERHAMN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46062</v>
      </c>
      <c r="E372" s="1" t="n">
        <v>46304</v>
      </c>
      <c r="F372" t="inlineStr">
        <is>
          <t>GÄVLEBORGS LÄN</t>
        </is>
      </c>
      <c r="G372" t="inlineStr">
        <is>
          <t>SÖDERHAMN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46304</v>
      </c>
      <c r="F373" t="inlineStr">
        <is>
          <t>GÄVLEBORGS LÄN</t>
        </is>
      </c>
      <c r="G373" t="inlineStr">
        <is>
          <t>SÖDERHAMN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46063</v>
      </c>
      <c r="E374" s="1" t="n">
        <v>46304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46304</v>
      </c>
      <c r="F375" t="inlineStr">
        <is>
          <t>GÄVLEBORGS LÄN</t>
        </is>
      </c>
      <c r="G375" t="inlineStr">
        <is>
          <t>SÖDERHAMN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46304</v>
      </c>
      <c r="F376" t="inlineStr">
        <is>
          <t>GÄVLEBORGS LÄN</t>
        </is>
      </c>
      <c r="G376" t="inlineStr">
        <is>
          <t>SÖDERHAMN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46304</v>
      </c>
      <c r="F377" t="inlineStr">
        <is>
          <t>GÄVLEBORGS LÄN</t>
        </is>
      </c>
      <c r="G377" t="inlineStr">
        <is>
          <t>SÖDERHAMN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46304</v>
      </c>
      <c r="F378" t="inlineStr">
        <is>
          <t>GÄVLEBORGS LÄN</t>
        </is>
      </c>
      <c r="G378" t="inlineStr">
        <is>
          <t>SÖDERHAMN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51553-2024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45604</v>
      </c>
      <c r="E379" s="1" t="n">
        <v>46304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45775</v>
      </c>
      <c r="E380" s="1" t="n">
        <v>46304</v>
      </c>
      <c r="F380" t="inlineStr">
        <is>
          <t>GÄVLEBORGS LÄN</t>
        </is>
      </c>
      <c r="G380" t="inlineStr">
        <is>
          <t>SÖDERHAMN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46304</v>
      </c>
      <c r="F381" t="inlineStr">
        <is>
          <t>GÄVLEBORGS LÄN</t>
        </is>
      </c>
      <c r="G381" t="inlineStr">
        <is>
          <t>SÖDERHAMN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18920-2025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45764</v>
      </c>
      <c r="E382" s="1" t="n">
        <v>46304</v>
      </c>
      <c r="F382" t="inlineStr">
        <is>
          <t>GÄVLEBORGS LÄN</t>
        </is>
      </c>
      <c r="G382" t="inlineStr">
        <is>
          <t>SÖDERHAMN</t>
        </is>
      </c>
      <c r="H382" t="inlineStr">
        <is>
          <t>Kommuner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46304</v>
      </c>
      <c r="F383" t="inlineStr">
        <is>
          <t>GÄVLEBORGS LÄN</t>
        </is>
      </c>
      <c r="G383" t="inlineStr">
        <is>
          <t>SÖDERHAMN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46304</v>
      </c>
      <c r="F384" t="inlineStr">
        <is>
          <t>GÄVLEBORGS LÄN</t>
        </is>
      </c>
      <c r="G384" t="inlineStr">
        <is>
          <t>SÖDERHAMN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25904-2024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45467</v>
      </c>
      <c r="E385" s="1" t="n">
        <v>46304</v>
      </c>
      <c r="F385" t="inlineStr">
        <is>
          <t>GÄVLEBORGS LÄN</t>
        </is>
      </c>
      <c r="G385" t="inlineStr">
        <is>
          <t>SÖDERHAMN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46304</v>
      </c>
      <c r="F386" t="inlineStr">
        <is>
          <t>GÄVLEBORGS LÄN</t>
        </is>
      </c>
      <c r="G386" t="inlineStr">
        <is>
          <t>SÖDERHAMN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46066</v>
      </c>
      <c r="E387" s="1" t="n">
        <v>46304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46304</v>
      </c>
      <c r="F388" t="inlineStr">
        <is>
          <t>GÄVLEBORGS LÄN</t>
        </is>
      </c>
      <c r="G388" t="inlineStr">
        <is>
          <t>SÖDERHAMN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46304</v>
      </c>
      <c r="F389" t="inlineStr">
        <is>
          <t>GÄVLEBORGS LÄN</t>
        </is>
      </c>
      <c r="G389" t="inlineStr">
        <is>
          <t>SÖDERHAMN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46304</v>
      </c>
      <c r="F390" t="inlineStr">
        <is>
          <t>GÄVLEBORGS LÄN</t>
        </is>
      </c>
      <c r="G390" t="inlineStr">
        <is>
          <t>SÖDERHAMN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46304</v>
      </c>
      <c r="F391" t="inlineStr">
        <is>
          <t>GÄVLEBORGS LÄN</t>
        </is>
      </c>
      <c r="G391" t="inlineStr">
        <is>
          <t>SÖDERHAMN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46304</v>
      </c>
      <c r="F392" t="inlineStr">
        <is>
          <t>GÄVLEBORGS LÄN</t>
        </is>
      </c>
      <c r="G392" t="inlineStr">
        <is>
          <t>SÖDERHAMN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46304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46077</v>
      </c>
      <c r="E394" s="1" t="n">
        <v>46304</v>
      </c>
      <c r="F394" t="inlineStr">
        <is>
          <t>GÄVLEBORGS LÄN</t>
        </is>
      </c>
      <c r="G394" t="inlineStr">
        <is>
          <t>SÖDERHAMN</t>
        </is>
      </c>
      <c r="H394" t="inlineStr">
        <is>
          <t>Kyrkan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10345-2026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46304</v>
      </c>
      <c r="F395" t="inlineStr">
        <is>
          <t>GÄVLEBORGS LÄN</t>
        </is>
      </c>
      <c r="G395" t="inlineStr">
        <is>
          <t>SÖDERHAMN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46304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46304</v>
      </c>
      <c r="F397" t="inlineStr">
        <is>
          <t>GÄVLEBORGS LÄN</t>
        </is>
      </c>
      <c r="G397" t="inlineStr">
        <is>
          <t>SÖDERHAMN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46304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46304</v>
      </c>
      <c r="F399" t="inlineStr">
        <is>
          <t>GÄVLEBORGS LÄN</t>
        </is>
      </c>
      <c r="G399" t="inlineStr">
        <is>
          <t>SÖDERHAMN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46304</v>
      </c>
      <c r="F400" t="inlineStr">
        <is>
          <t>GÄVLEBORGS LÄN</t>
        </is>
      </c>
      <c r="G400" t="inlineStr">
        <is>
          <t>SÖDERHAMN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46304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55240-2024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45621</v>
      </c>
      <c r="E402" s="1" t="n">
        <v>46304</v>
      </c>
      <c r="F402" t="inlineStr">
        <is>
          <t>GÄVLEBORGS LÄN</t>
        </is>
      </c>
      <c r="G402" t="inlineStr">
        <is>
          <t>SÖDERHAMN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46304</v>
      </c>
      <c r="F403" t="inlineStr">
        <is>
          <t>GÄVLEBORGS LÄN</t>
        </is>
      </c>
      <c r="G403" t="inlineStr">
        <is>
          <t>SÖDERHAMN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45757</v>
      </c>
      <c r="E404" s="1" t="n">
        <v>46304</v>
      </c>
      <c r="F404" t="inlineStr">
        <is>
          <t>GÄVLEBORGS LÄN</t>
        </is>
      </c>
      <c r="G404" t="inlineStr">
        <is>
          <t>SÖDERHAMN</t>
        </is>
      </c>
      <c r="H404" t="inlineStr">
        <is>
          <t>Kommuner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46304</v>
      </c>
      <c r="F405" t="inlineStr">
        <is>
          <t>GÄVLEBORGS LÄN</t>
        </is>
      </c>
      <c r="G405" t="inlineStr">
        <is>
          <t>SÖDERHAMN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46142</v>
      </c>
      <c r="E406" s="1" t="n">
        <v>46304</v>
      </c>
      <c r="F406" t="inlineStr">
        <is>
          <t>GÄVLEBORGS LÄN</t>
        </is>
      </c>
      <c r="G406" t="inlineStr">
        <is>
          <t>SÖDERHAMN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46304</v>
      </c>
      <c r="F407" t="inlineStr">
        <is>
          <t>GÄVLEBORGS LÄN</t>
        </is>
      </c>
      <c r="G407" t="inlineStr">
        <is>
          <t>SÖDERHAMN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46304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55765-2025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45972</v>
      </c>
      <c r="E409" s="1" t="n">
        <v>46304</v>
      </c>
      <c r="F409" t="inlineStr">
        <is>
          <t>GÄVLEBORGS LÄN</t>
        </is>
      </c>
      <c r="G409" t="inlineStr">
        <is>
          <t>SÖDERHAMN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46304</v>
      </c>
      <c r="F410" t="inlineStr">
        <is>
          <t>GÄVLEBORGS LÄN</t>
        </is>
      </c>
      <c r="G410" t="inlineStr">
        <is>
          <t>SÖDERHAMN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46304</v>
      </c>
      <c r="F411" t="inlineStr">
        <is>
          <t>GÄVLEBORGS LÄN</t>
        </is>
      </c>
      <c r="G411" t="inlineStr">
        <is>
          <t>SÖDERHAMN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46304</v>
      </c>
      <c r="F412" t="inlineStr">
        <is>
          <t>GÄVLEBORGS LÄN</t>
        </is>
      </c>
      <c r="G412" t="inlineStr">
        <is>
          <t>SÖDERHAMN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46304</v>
      </c>
      <c r="F413" t="inlineStr">
        <is>
          <t>GÄVLEBORGS LÄN</t>
        </is>
      </c>
      <c r="G413" t="inlineStr">
        <is>
          <t>SÖDERHAMN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45750</v>
      </c>
      <c r="E414" s="1" t="n">
        <v>46304</v>
      </c>
      <c r="F414" t="inlineStr">
        <is>
          <t>GÄVLEBORGS LÄN</t>
        </is>
      </c>
      <c r="G414" t="inlineStr">
        <is>
          <t>SÖDERHAMN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45750</v>
      </c>
      <c r="E415" s="1" t="n">
        <v>46304</v>
      </c>
      <c r="F415" t="inlineStr">
        <is>
          <t>GÄVLEBORGS LÄN</t>
        </is>
      </c>
      <c r="G415" t="inlineStr">
        <is>
          <t>SÖDERHAMN</t>
        </is>
      </c>
      <c r="H415" t="inlineStr">
        <is>
          <t>Kommuner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46304</v>
      </c>
      <c r="F416" t="inlineStr">
        <is>
          <t>GÄVLEBORGS LÄN</t>
        </is>
      </c>
      <c r="G416" t="inlineStr">
        <is>
          <t>SÖDERHAMN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44957</v>
      </c>
      <c r="E417" s="1" t="n">
        <v>46304</v>
      </c>
      <c r="F417" t="inlineStr">
        <is>
          <t>GÄVLEBORGS LÄN</t>
        </is>
      </c>
      <c r="G417" t="inlineStr">
        <is>
          <t>SÖDERHAMN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21699-2026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46149</v>
      </c>
      <c r="E418" s="1" t="n">
        <v>46304</v>
      </c>
      <c r="F418" t="inlineStr">
        <is>
          <t>GÄVLEBORGS LÄN</t>
        </is>
      </c>
      <c r="G418" t="inlineStr">
        <is>
          <t>SÖDERHAMN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46148</v>
      </c>
      <c r="E419" s="1" t="n">
        <v>46304</v>
      </c>
      <c r="F419" t="inlineStr">
        <is>
          <t>GÄVLEBORGS LÄN</t>
        </is>
      </c>
      <c r="G419" t="inlineStr">
        <is>
          <t>SÖDERHAMN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46149</v>
      </c>
      <c r="E420" s="1" t="n">
        <v>46304</v>
      </c>
      <c r="F420" t="inlineStr">
        <is>
          <t>GÄVLEBORGS LÄN</t>
        </is>
      </c>
      <c r="G420" t="inlineStr">
        <is>
          <t>SÖDERHAMN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46304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46304</v>
      </c>
      <c r="F422" t="inlineStr">
        <is>
          <t>GÄVLEBORGS LÄN</t>
        </is>
      </c>
      <c r="G422" t="inlineStr">
        <is>
          <t>SÖDERHAMN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46304</v>
      </c>
      <c r="F423" t="inlineStr">
        <is>
          <t>GÄVLEBORGS LÄN</t>
        </is>
      </c>
      <c r="G423" t="inlineStr">
        <is>
          <t>SÖDERHAMN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46087</v>
      </c>
      <c r="E424" s="1" t="n">
        <v>46304</v>
      </c>
      <c r="F424" t="inlineStr">
        <is>
          <t>GÄVLEBORGS LÄN</t>
        </is>
      </c>
      <c r="G424" t="inlineStr">
        <is>
          <t>SÖDERHAMN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46150</v>
      </c>
      <c r="E425" s="1" t="n">
        <v>46304</v>
      </c>
      <c r="F425" t="inlineStr">
        <is>
          <t>GÄVLEBORGS LÄN</t>
        </is>
      </c>
      <c r="G425" t="inlineStr">
        <is>
          <t>SÖDERHAMN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57753-2023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45246</v>
      </c>
      <c r="E426" s="1" t="n">
        <v>46304</v>
      </c>
      <c r="F426" t="inlineStr">
        <is>
          <t>GÄVLEBORGS LÄN</t>
        </is>
      </c>
      <c r="G426" t="inlineStr">
        <is>
          <t>SÖDERHAMN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72644-2021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44546</v>
      </c>
      <c r="E427" s="1" t="n">
        <v>46304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46304</v>
      </c>
      <c r="F428" t="inlineStr">
        <is>
          <t>GÄVLEBORGS LÄN</t>
        </is>
      </c>
      <c r="G428" t="inlineStr">
        <is>
          <t>SÖDERHAMN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46304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46304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46304</v>
      </c>
      <c r="F431" t="inlineStr">
        <is>
          <t>GÄVLEBORGS LÄN</t>
        </is>
      </c>
      <c r="G431" t="inlineStr">
        <is>
          <t>SÖDERHAMN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46304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46304</v>
      </c>
      <c r="F433" t="inlineStr">
        <is>
          <t>GÄVLEBORGS LÄN</t>
        </is>
      </c>
      <c r="G433" t="inlineStr">
        <is>
          <t>SÖDERHAMN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46157</v>
      </c>
      <c r="E434" s="1" t="n">
        <v>46304</v>
      </c>
      <c r="F434" t="inlineStr">
        <is>
          <t>GÄVLEBORGS LÄN</t>
        </is>
      </c>
      <c r="G434" t="inlineStr">
        <is>
          <t>SÖDERHAMN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46304</v>
      </c>
      <c r="F435" t="inlineStr">
        <is>
          <t>GÄVLEBORGS LÄN</t>
        </is>
      </c>
      <c r="G435" t="inlineStr">
        <is>
          <t>SÖDERHAMN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46157</v>
      </c>
      <c r="E436" s="1" t="n">
        <v>46304</v>
      </c>
      <c r="F436" t="inlineStr">
        <is>
          <t>GÄVLEBORGS LÄN</t>
        </is>
      </c>
      <c r="G436" t="inlineStr">
        <is>
          <t>SÖDERHAMN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46157</v>
      </c>
      <c r="E437" s="1" t="n">
        <v>46304</v>
      </c>
      <c r="F437" t="inlineStr">
        <is>
          <t>GÄVLEBORGS LÄN</t>
        </is>
      </c>
      <c r="G437" t="inlineStr">
        <is>
          <t>SÖDERHAMN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46157</v>
      </c>
      <c r="E438" s="1" t="n">
        <v>46304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46304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14718-2026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46101</v>
      </c>
      <c r="E440" s="1" t="n">
        <v>46304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46157</v>
      </c>
      <c r="E441" s="1" t="n">
        <v>46304</v>
      </c>
      <c r="F441" t="inlineStr">
        <is>
          <t>GÄVLEBORGS LÄN</t>
        </is>
      </c>
      <c r="G441" t="inlineStr">
        <is>
          <t>SÖDERHAMN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48797-2024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46304</v>
      </c>
      <c r="F442" t="inlineStr">
        <is>
          <t>GÄVLEBORGS LÄN</t>
        </is>
      </c>
      <c r="G442" t="inlineStr">
        <is>
          <t>SÖDERHAMN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45425</v>
      </c>
      <c r="E443" s="1" t="n">
        <v>46304</v>
      </c>
      <c r="F443" t="inlineStr">
        <is>
          <t>GÄVLEBORGS LÄN</t>
        </is>
      </c>
      <c r="G443" t="inlineStr">
        <is>
          <t>SÖDERHAMN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46304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40811-2022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44824</v>
      </c>
      <c r="E445" s="1" t="n">
        <v>46304</v>
      </c>
      <c r="F445" t="inlineStr">
        <is>
          <t>GÄVLEBORGS LÄN</t>
        </is>
      </c>
      <c r="G445" t="inlineStr">
        <is>
          <t>SÖDERHAMN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46304</v>
      </c>
      <c r="F446" t="inlineStr">
        <is>
          <t>GÄVLEBORGS LÄN</t>
        </is>
      </c>
      <c r="G446" t="inlineStr">
        <is>
          <t>SÖDERHAMN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42549-2024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45565</v>
      </c>
      <c r="E447" s="1" t="n">
        <v>46304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42902-2024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46304</v>
      </c>
      <c r="F448" t="inlineStr">
        <is>
          <t>GÄVLEBORGS LÄN</t>
        </is>
      </c>
      <c r="G448" t="inlineStr">
        <is>
          <t>SÖDERHAMN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7972-2025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45707</v>
      </c>
      <c r="E449" s="1" t="n">
        <v>46304</v>
      </c>
      <c r="F449" t="inlineStr">
        <is>
          <t>GÄVLEBORGS LÄN</t>
        </is>
      </c>
      <c r="G449" t="inlineStr">
        <is>
          <t>SÖDERHAMN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46304</v>
      </c>
      <c r="F450" t="inlineStr">
        <is>
          <t>GÄVLEBORGS LÄN</t>
        </is>
      </c>
      <c r="G450" t="inlineStr">
        <is>
          <t>SÖDERHAMN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44897</v>
      </c>
      <c r="E451" s="1" t="n">
        <v>46304</v>
      </c>
      <c r="F451" t="inlineStr">
        <is>
          <t>GÄVLEBORGS LÄN</t>
        </is>
      </c>
      <c r="G451" t="inlineStr">
        <is>
          <t>SÖDERHAMN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46304</v>
      </c>
      <c r="F452" t="inlineStr">
        <is>
          <t>GÄVLEBORGS LÄN</t>
        </is>
      </c>
      <c r="G452" t="inlineStr">
        <is>
          <t>SÖDERHAMN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51458-2022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44869</v>
      </c>
      <c r="E453" s="1" t="n">
        <v>46304</v>
      </c>
      <c r="F453" t="inlineStr">
        <is>
          <t>GÄVLEBORGS LÄN</t>
        </is>
      </c>
      <c r="G453" t="inlineStr">
        <is>
          <t>SÖDERHAMN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57500-2023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45246</v>
      </c>
      <c r="E454" s="1" t="n">
        <v>46304</v>
      </c>
      <c r="F454" t="inlineStr">
        <is>
          <t>GÄVLEBORGS LÄN</t>
        </is>
      </c>
      <c r="G454" t="inlineStr">
        <is>
          <t>SÖDERHAMN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46304</v>
      </c>
      <c r="F455" t="inlineStr">
        <is>
          <t>GÄVLEBORGS LÄN</t>
        </is>
      </c>
      <c r="G455" t="inlineStr">
        <is>
          <t>SÖDERHAMN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46304</v>
      </c>
      <c r="F456" t="inlineStr">
        <is>
          <t>GÄVLEBORGS LÄN</t>
        </is>
      </c>
      <c r="G456" t="inlineStr">
        <is>
          <t>SÖDERHAMN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46304</v>
      </c>
      <c r="F457" t="inlineStr">
        <is>
          <t>GÄVLEBORGS LÄN</t>
        </is>
      </c>
      <c r="G457" t="inlineStr">
        <is>
          <t>SÖDERHAMN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46165</v>
      </c>
      <c r="E458" s="1" t="n">
        <v>46304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46304</v>
      </c>
      <c r="F459" t="inlineStr">
        <is>
          <t>GÄVLEBORGS LÄN</t>
        </is>
      </c>
      <c r="G459" t="inlineStr">
        <is>
          <t>SÖDERHAMN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46304</v>
      </c>
      <c r="F460" t="inlineStr">
        <is>
          <t>GÄVLEBORGS LÄN</t>
        </is>
      </c>
      <c r="G460" t="inlineStr">
        <is>
          <t>SÖDERHAMN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54135-2024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45616</v>
      </c>
      <c r="E461" s="1" t="n">
        <v>46304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46304</v>
      </c>
      <c r="F462" t="inlineStr">
        <is>
          <t>GÄVLEBORGS LÄN</t>
        </is>
      </c>
      <c r="G462" t="inlineStr">
        <is>
          <t>SÖDERHAMN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46304</v>
      </c>
      <c r="F463" t="inlineStr">
        <is>
          <t>GÄVLEBORGS LÄN</t>
        </is>
      </c>
      <c r="G463" t="inlineStr">
        <is>
          <t>SÖDERHAMN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13664-2026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46097</v>
      </c>
      <c r="E464" s="1" t="n">
        <v>46304</v>
      </c>
      <c r="F464" t="inlineStr">
        <is>
          <t>GÄVLEBORGS LÄN</t>
        </is>
      </c>
      <c r="G464" t="inlineStr">
        <is>
          <t>SÖDERHAMN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46304</v>
      </c>
      <c r="F465" t="inlineStr">
        <is>
          <t>GÄVLEBORGS LÄN</t>
        </is>
      </c>
      <c r="G465" t="inlineStr">
        <is>
          <t>SÖDERHAMN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45324</v>
      </c>
      <c r="E466" s="1" t="n">
        <v>46304</v>
      </c>
      <c r="F466" t="inlineStr">
        <is>
          <t>GÄVLEBORGS LÄN</t>
        </is>
      </c>
      <c r="G466" t="inlineStr">
        <is>
          <t>SÖDERHAMN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46304</v>
      </c>
      <c r="F467" t="inlineStr">
        <is>
          <t>GÄVLEBORGS LÄN</t>
        </is>
      </c>
      <c r="G467" t="inlineStr">
        <is>
          <t>SÖDERHAMN</t>
        </is>
      </c>
      <c r="I467" t="n">
        <v>8.300000000000001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46304</v>
      </c>
      <c r="F468" t="inlineStr">
        <is>
          <t>GÄVLEBORGS LÄN</t>
        </is>
      </c>
      <c r="G468" t="inlineStr">
        <is>
          <t>SÖDERHAMN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46304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45219</v>
      </c>
      <c r="E470" s="1" t="n">
        <v>46304</v>
      </c>
      <c r="F470" t="inlineStr">
        <is>
          <t>GÄVLEBORGS LÄN</t>
        </is>
      </c>
      <c r="G470" t="inlineStr">
        <is>
          <t>SÖDERHAMN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46304</v>
      </c>
      <c r="F471" t="inlineStr">
        <is>
          <t>GÄVLEBORGS LÄN</t>
        </is>
      </c>
      <c r="G471" t="inlineStr">
        <is>
          <t>SÖDERHAMN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46304</v>
      </c>
      <c r="F472" t="inlineStr">
        <is>
          <t>GÄVLEBORGS LÄN</t>
        </is>
      </c>
      <c r="G472" t="inlineStr">
        <is>
          <t>SÖDERHAMN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46304</v>
      </c>
      <c r="F473" t="inlineStr">
        <is>
          <t>GÄVLEBORGS LÄN</t>
        </is>
      </c>
      <c r="G473" t="inlineStr">
        <is>
          <t>SÖDERHAMN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46304</v>
      </c>
      <c r="F474" t="inlineStr">
        <is>
          <t>GÄVLEBORGS LÄN</t>
        </is>
      </c>
      <c r="G474" t="inlineStr">
        <is>
          <t>SÖDERHAMN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46304</v>
      </c>
      <c r="F475" t="inlineStr">
        <is>
          <t>GÄVLEBORGS LÄN</t>
        </is>
      </c>
      <c r="G475" t="inlineStr">
        <is>
          <t>SÖDERHAMN</t>
        </is>
      </c>
      <c r="I475" t="n">
        <v>20.9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46304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45260</v>
      </c>
      <c r="E477" s="1" t="n">
        <v>46304</v>
      </c>
      <c r="F477" t="inlineStr">
        <is>
          <t>GÄVLEBORGS LÄN</t>
        </is>
      </c>
      <c r="G477" t="inlineStr">
        <is>
          <t>SÖDERHAMN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46304</v>
      </c>
      <c r="F478" t="inlineStr">
        <is>
          <t>GÄVLEBORGS LÄN</t>
        </is>
      </c>
      <c r="G478" t="inlineStr">
        <is>
          <t>SÖDERHAMN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45470</v>
      </c>
      <c r="E479" s="1" t="n">
        <v>46304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26213-2026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46182</v>
      </c>
      <c r="E480" s="1" t="n">
        <v>46304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45210</v>
      </c>
      <c r="E481" s="1" t="n">
        <v>46304</v>
      </c>
      <c r="F481" t="inlineStr">
        <is>
          <t>GÄVLEBORGS LÄN</t>
        </is>
      </c>
      <c r="G481" t="inlineStr">
        <is>
          <t>SÖDERHAMN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26013-2026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46304</v>
      </c>
      <c r="F482" t="inlineStr">
        <is>
          <t>GÄVLEBORGS LÄN</t>
        </is>
      </c>
      <c r="G482" t="inlineStr">
        <is>
          <t>SÖDERHAMN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46304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45609</v>
      </c>
      <c r="E484" s="1" t="n">
        <v>46304</v>
      </c>
      <c r="F484" t="inlineStr">
        <is>
          <t>GÄVLEBORGS LÄN</t>
        </is>
      </c>
      <c r="G484" t="inlineStr">
        <is>
          <t>SÖDERHAMN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44564</v>
      </c>
      <c r="E485" s="1" t="n">
        <v>46304</v>
      </c>
      <c r="F485" t="inlineStr">
        <is>
          <t>GÄVLEBORGS LÄN</t>
        </is>
      </c>
      <c r="G485" t="inlineStr">
        <is>
          <t>SÖDERHAMN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46304</v>
      </c>
      <c r="F486" t="inlineStr">
        <is>
          <t>GÄVLEBORGS LÄN</t>
        </is>
      </c>
      <c r="G486" t="inlineStr">
        <is>
          <t>SÖDERHAMN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46304</v>
      </c>
      <c r="F487" t="inlineStr">
        <is>
          <t>GÄVLEBORGS LÄN</t>
        </is>
      </c>
      <c r="G487" t="inlineStr">
        <is>
          <t>SÖDERHAMN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45677</v>
      </c>
      <c r="E488" s="1" t="n">
        <v>46304</v>
      </c>
      <c r="F488" t="inlineStr">
        <is>
          <t>GÄVLEBORGS LÄN</t>
        </is>
      </c>
      <c r="G488" t="inlineStr">
        <is>
          <t>SÖDERHAMN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46304</v>
      </c>
      <c r="F489" t="inlineStr">
        <is>
          <t>GÄVLEBORGS LÄN</t>
        </is>
      </c>
      <c r="G489" t="inlineStr">
        <is>
          <t>SÖDERHAMN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46304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46304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46304</v>
      </c>
      <c r="F492" t="inlineStr">
        <is>
          <t>GÄVLEBORGS LÄN</t>
        </is>
      </c>
      <c r="G492" t="inlineStr">
        <is>
          <t>SÖDERHAMN</t>
        </is>
      </c>
      <c r="I492" t="n">
        <v>11.8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50066-2023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45215</v>
      </c>
      <c r="E493" s="1" t="n">
        <v>46304</v>
      </c>
      <c r="F493" t="inlineStr">
        <is>
          <t>GÄVLEBORGS LÄN</t>
        </is>
      </c>
      <c r="G493" t="inlineStr">
        <is>
          <t>SÖDERHAMN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46007-2024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45580</v>
      </c>
      <c r="E494" s="1" t="n">
        <v>46304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45560</v>
      </c>
      <c r="E495" s="1" t="n">
        <v>46304</v>
      </c>
      <c r="F495" t="inlineStr">
        <is>
          <t>GÄVLEBORGS LÄN</t>
        </is>
      </c>
      <c r="G495" t="inlineStr">
        <is>
          <t>SÖDERHAMN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41650-2024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46304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46304</v>
      </c>
      <c r="F497" t="inlineStr">
        <is>
          <t>GÄVLEBORGS LÄN</t>
        </is>
      </c>
      <c r="G497" t="inlineStr">
        <is>
          <t>SÖDERHAMN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11075-2023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44992</v>
      </c>
      <c r="E498" s="1" t="n">
        <v>46304</v>
      </c>
      <c r="F498" t="inlineStr">
        <is>
          <t>GÄVLEBORGS LÄN</t>
        </is>
      </c>
      <c r="G498" t="inlineStr">
        <is>
          <t>SÖDERHAMN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46304</v>
      </c>
      <c r="F499" t="inlineStr">
        <is>
          <t>GÄVLEBORGS LÄN</t>
        </is>
      </c>
      <c r="G499" t="inlineStr">
        <is>
          <t>SÖDERHAMN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46304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30336-2022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44760</v>
      </c>
      <c r="E501" s="1" t="n">
        <v>46304</v>
      </c>
      <c r="F501" t="inlineStr">
        <is>
          <t>GÄVLEBORGS LÄN</t>
        </is>
      </c>
      <c r="G501" t="inlineStr">
        <is>
          <t>SÖDERHAMN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45764</v>
      </c>
      <c r="E502" s="1" t="n">
        <v>46304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Kommuner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63932-2023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45278</v>
      </c>
      <c r="E503" s="1" t="n">
        <v>46304</v>
      </c>
      <c r="F503" t="inlineStr">
        <is>
          <t>GÄVLEBORGS LÄN</t>
        </is>
      </c>
      <c r="G503" t="inlineStr">
        <is>
          <t>SÖDERHAMN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46304</v>
      </c>
      <c r="F504" t="inlineStr">
        <is>
          <t>GÄVLEBORGS LÄN</t>
        </is>
      </c>
      <c r="G504" t="inlineStr">
        <is>
          <t>SÖDERHAMN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26554-2022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44739</v>
      </c>
      <c r="E505" s="1" t="n">
        <v>46304</v>
      </c>
      <c r="F505" t="inlineStr">
        <is>
          <t>GÄVLEBORGS LÄN</t>
        </is>
      </c>
      <c r="G505" t="inlineStr">
        <is>
          <t>SÖDERHAMN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44582</v>
      </c>
      <c r="E506" s="1" t="n">
        <v>46304</v>
      </c>
      <c r="F506" t="inlineStr">
        <is>
          <t>GÄVLEBORGS LÄN</t>
        </is>
      </c>
      <c r="G506" t="inlineStr">
        <is>
          <t>SÖDERHAMN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46304</v>
      </c>
      <c r="F507" t="inlineStr">
        <is>
          <t>GÄVLEBORGS LÄN</t>
        </is>
      </c>
      <c r="G507" t="inlineStr">
        <is>
          <t>SÖDERHAMN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46304</v>
      </c>
      <c r="F508" t="inlineStr">
        <is>
          <t>GÄVLEBORGS LÄN</t>
        </is>
      </c>
      <c r="G508" t="inlineStr">
        <is>
          <t>SÖDERHAMN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45093</v>
      </c>
      <c r="E509" s="1" t="n">
        <v>46304</v>
      </c>
      <c r="F509" t="inlineStr">
        <is>
          <t>GÄVLEBORGS LÄN</t>
        </is>
      </c>
      <c r="G509" t="inlineStr">
        <is>
          <t>SÖDERHAMN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30321-2026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46207</v>
      </c>
      <c r="E510" s="1" t="n">
        <v>46304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10763-2025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45722</v>
      </c>
      <c r="E511" s="1" t="n">
        <v>46304</v>
      </c>
      <c r="F511" t="inlineStr">
        <is>
          <t>GÄVLEBORGS LÄN</t>
        </is>
      </c>
      <c r="G511" t="inlineStr">
        <is>
          <t>SÖDERHAMN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4563-2023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44956</v>
      </c>
      <c r="E512" s="1" t="n">
        <v>46304</v>
      </c>
      <c r="F512" t="inlineStr">
        <is>
          <t>GÄVLEBORGS LÄN</t>
        </is>
      </c>
      <c r="G512" t="inlineStr">
        <is>
          <t>SÖDERHAMN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41648-2024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45560</v>
      </c>
      <c r="E513" s="1" t="n">
        <v>46304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59773-2024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46304</v>
      </c>
      <c r="F514" t="inlineStr">
        <is>
          <t>GÄVLEBORGS LÄN</t>
        </is>
      </c>
      <c r="G514" t="inlineStr">
        <is>
          <t>SÖDERHAMN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46304</v>
      </c>
      <c r="F515" t="inlineStr">
        <is>
          <t>GÄVLEBORGS LÄN</t>
        </is>
      </c>
      <c r="G515" t="inlineStr">
        <is>
          <t>SÖDERHAMN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30848-2026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46304</v>
      </c>
      <c r="F516" t="inlineStr">
        <is>
          <t>GÄVLEBORGS LÄN</t>
        </is>
      </c>
      <c r="G516" t="inlineStr">
        <is>
          <t>SÖDERHAMN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46304</v>
      </c>
      <c r="F517" t="inlineStr">
        <is>
          <t>GÄVLEBORGS LÄN</t>
        </is>
      </c>
      <c r="G517" t="inlineStr">
        <is>
          <t>SÖDERHAMN</t>
        </is>
      </c>
      <c r="H517" t="inlineStr">
        <is>
          <t>Kyrkan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46304</v>
      </c>
      <c r="F518" t="inlineStr">
        <is>
          <t>GÄVLEBORGS LÄN</t>
        </is>
      </c>
      <c r="G518" t="inlineStr">
        <is>
          <t>SÖDERHAMN</t>
        </is>
      </c>
      <c r="H518" t="inlineStr">
        <is>
          <t>Kyrkan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30877-2026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46304</v>
      </c>
      <c r="F519" t="inlineStr">
        <is>
          <t>GÄVLEBORGS LÄN</t>
        </is>
      </c>
      <c r="G519" t="inlineStr">
        <is>
          <t>SÖDERHAMN</t>
        </is>
      </c>
      <c r="H519" t="inlineStr">
        <is>
          <t>Kyrkan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46211</v>
      </c>
      <c r="E520" s="1" t="n">
        <v>46304</v>
      </c>
      <c r="F520" t="inlineStr">
        <is>
          <t>GÄVLEBORGS LÄN</t>
        </is>
      </c>
      <c r="G520" t="inlineStr">
        <is>
          <t>SÖDERHAMN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46304</v>
      </c>
      <c r="F521" t="inlineStr">
        <is>
          <t>GÄVLEBORGS LÄN</t>
        </is>
      </c>
      <c r="G521" t="inlineStr">
        <is>
          <t>SÖDERHAMN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28340-2024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45477</v>
      </c>
      <c r="E522" s="1" t="n">
        <v>46304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45799</v>
      </c>
      <c r="E523" s="1" t="n">
        <v>46304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46304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46304</v>
      </c>
      <c r="F525" t="inlineStr">
        <is>
          <t>GÄVLEBORGS LÄN</t>
        </is>
      </c>
      <c r="G525" t="inlineStr">
        <is>
          <t>SÖDERHAMN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46304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45108</v>
      </c>
      <c r="E527" s="1" t="n">
        <v>46304</v>
      </c>
      <c r="F527" t="inlineStr">
        <is>
          <t>GÄVLEBORGS LÄN</t>
        </is>
      </c>
      <c r="G527" t="inlineStr">
        <is>
          <t>SÖDERHAMN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46304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46219</v>
      </c>
      <c r="E529" s="1" t="n">
        <v>46304</v>
      </c>
      <c r="F529" t="inlineStr">
        <is>
          <t>GÄVLEBORGS LÄN</t>
        </is>
      </c>
      <c r="G529" t="inlineStr">
        <is>
          <t>SÖDERHAMN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45597</v>
      </c>
      <c r="E530" s="1" t="n">
        <v>46304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46304</v>
      </c>
      <c r="F531" t="inlineStr">
        <is>
          <t>GÄVLEBORGS LÄN</t>
        </is>
      </c>
      <c r="G531" t="inlineStr">
        <is>
          <t>SÖDERHAMN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40577-2022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44823</v>
      </c>
      <c r="E532" s="1" t="n">
        <v>46304</v>
      </c>
      <c r="F532" t="inlineStr">
        <is>
          <t>GÄVLEBORGS LÄN</t>
        </is>
      </c>
      <c r="G532" t="inlineStr">
        <is>
          <t>SÖDERHAMN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46219</v>
      </c>
      <c r="E533" s="1" t="n">
        <v>46304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46219</v>
      </c>
      <c r="E534" s="1" t="n">
        <v>46304</v>
      </c>
      <c r="F534" t="inlineStr">
        <is>
          <t>GÄVLEBORGS LÄN</t>
        </is>
      </c>
      <c r="G534" t="inlineStr">
        <is>
          <t>SÖDERHAMN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46304</v>
      </c>
      <c r="F535" t="inlineStr">
        <is>
          <t>GÄVLEBORGS LÄN</t>
        </is>
      </c>
      <c r="G535" t="inlineStr">
        <is>
          <t>SÖDERHAMN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46304</v>
      </c>
      <c r="F536" t="inlineStr">
        <is>
          <t>GÄVLEBORGS LÄN</t>
        </is>
      </c>
      <c r="G536" t="inlineStr">
        <is>
          <t>SÖDERHAMN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19536-2025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46304</v>
      </c>
      <c r="F537" t="inlineStr">
        <is>
          <t>GÄVLEBORGS LÄN</t>
        </is>
      </c>
      <c r="G537" t="inlineStr">
        <is>
          <t>SÖDERHAMN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46304</v>
      </c>
      <c r="F538" t="inlineStr">
        <is>
          <t>GÄVLEBORGS LÄN</t>
        </is>
      </c>
      <c r="G538" t="inlineStr">
        <is>
          <t>SÖDERHAMN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45108</v>
      </c>
      <c r="E539" s="1" t="n">
        <v>46304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52519-2024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46304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46304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46304</v>
      </c>
      <c r="F542" t="inlineStr">
        <is>
          <t>GÄVLEBORGS LÄN</t>
        </is>
      </c>
      <c r="G542" t="inlineStr">
        <is>
          <t>SÖDERHAMN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46268</v>
      </c>
      <c r="E543" s="1" t="n">
        <v>46304</v>
      </c>
      <c r="F543" t="inlineStr">
        <is>
          <t>GÄVLEBORGS LÄN</t>
        </is>
      </c>
      <c r="G543" t="inlineStr">
        <is>
          <t>SÖDERHAMN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48313-2024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45590</v>
      </c>
      <c r="E544" s="1" t="n">
        <v>46304</v>
      </c>
      <c r="F544" t="inlineStr">
        <is>
          <t>GÄVLEBORGS LÄN</t>
        </is>
      </c>
      <c r="G544" t="inlineStr">
        <is>
          <t>SÖDERHAMN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46304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45327</v>
      </c>
      <c r="E546" s="1" t="n">
        <v>46304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45435</v>
      </c>
      <c r="E547" s="1" t="n">
        <v>46304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36694-2026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46304</v>
      </c>
      <c r="F548" t="inlineStr">
        <is>
          <t>GÄVLEBORGS LÄN</t>
        </is>
      </c>
      <c r="G548" t="inlineStr">
        <is>
          <t>SÖDERHAMN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31728-2026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46227</v>
      </c>
      <c r="E549" s="1" t="n">
        <v>46304</v>
      </c>
      <c r="F549" t="inlineStr">
        <is>
          <t>GÄVLEBORGS LÄN</t>
        </is>
      </c>
      <c r="G549" t="inlineStr">
        <is>
          <t>SÖDERHAMN</t>
        </is>
      </c>
      <c r="I549" t="n">
        <v>11.5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36204-2024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46304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48943-2024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45594</v>
      </c>
      <c r="E551" s="1" t="n">
        <v>46304</v>
      </c>
      <c r="F551" t="inlineStr">
        <is>
          <t>GÄVLEBORGS LÄN</t>
        </is>
      </c>
      <c r="G551" t="inlineStr">
        <is>
          <t>SÖDERHAMN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46275</v>
      </c>
      <c r="E552" s="1" t="n">
        <v>46304</v>
      </c>
      <c r="F552" t="inlineStr">
        <is>
          <t>GÄVLEBORGS LÄN</t>
        </is>
      </c>
      <c r="G552" t="inlineStr">
        <is>
          <t>SÖDERHAMN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18909-2025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46304</v>
      </c>
      <c r="F553" t="inlineStr">
        <is>
          <t>GÄVLEBORGS LÄN</t>
        </is>
      </c>
      <c r="G553" t="inlineStr">
        <is>
          <t>SÖDERHAMN</t>
        </is>
      </c>
      <c r="H553" t="inlineStr">
        <is>
          <t>Kommuner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46304</v>
      </c>
      <c r="F554" t="inlineStr">
        <is>
          <t>GÄVLEBORGS LÄN</t>
        </is>
      </c>
      <c r="G554" t="inlineStr">
        <is>
          <t>SÖDERHAMN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50283-2024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45600</v>
      </c>
      <c r="E555" s="1" t="n">
        <v>46304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46281</v>
      </c>
      <c r="E556" s="1" t="n">
        <v>46304</v>
      </c>
      <c r="F556" t="inlineStr">
        <is>
          <t>GÄVLEBORGS LÄN</t>
        </is>
      </c>
      <c r="G556" t="inlineStr">
        <is>
          <t>SÖDERHAMN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45749</v>
      </c>
      <c r="E557" s="1" t="n">
        <v>46304</v>
      </c>
      <c r="F557" t="inlineStr">
        <is>
          <t>GÄVLEBORGS LÄN</t>
        </is>
      </c>
      <c r="G557" t="inlineStr">
        <is>
          <t>SÖDERHAMN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46304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46237</v>
      </c>
      <c r="E559" s="1" t="n">
        <v>46304</v>
      </c>
      <c r="F559" t="inlineStr">
        <is>
          <t>GÄVLEBORGS LÄN</t>
        </is>
      </c>
      <c r="G559" t="inlineStr">
        <is>
          <t>SÖDERHAMN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45779</v>
      </c>
      <c r="E560" s="1" t="n">
        <v>46304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46304</v>
      </c>
      <c r="F561" t="inlineStr">
        <is>
          <t>GÄVLEBORGS LÄN</t>
        </is>
      </c>
      <c r="G561" t="inlineStr">
        <is>
          <t>SÖDERHAMN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37916-2024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46304</v>
      </c>
      <c r="F562" t="inlineStr">
        <is>
          <t>GÄVLEBORGS LÄN</t>
        </is>
      </c>
      <c r="G562" t="inlineStr">
        <is>
          <t>SÖDERHAMN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45588</v>
      </c>
      <c r="E563" s="1" t="n">
        <v>46304</v>
      </c>
      <c r="F563" t="inlineStr">
        <is>
          <t>GÄVLEBORGS LÄN</t>
        </is>
      </c>
      <c r="G563" t="inlineStr">
        <is>
          <t>SÖDERHAMN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36059-2023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46304</v>
      </c>
      <c r="F564" t="inlineStr">
        <is>
          <t>GÄVLEBORGS LÄN</t>
        </is>
      </c>
      <c r="G564" t="inlineStr">
        <is>
          <t>SÖDERHAMN</t>
        </is>
      </c>
      <c r="I564" t="n">
        <v>6.2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18189-2024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45420</v>
      </c>
      <c r="E565" s="1" t="n">
        <v>46304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23265-2025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45791</v>
      </c>
      <c r="E566" s="1" t="n">
        <v>46304</v>
      </c>
      <c r="F566" t="inlineStr">
        <is>
          <t>GÄVLEBORGS LÄN</t>
        </is>
      </c>
      <c r="G566" t="inlineStr">
        <is>
          <t>SÖDERHAMN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23307-2025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46304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46304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46026</v>
      </c>
      <c r="E569" s="1" t="n">
        <v>46304</v>
      </c>
      <c r="F569" t="inlineStr">
        <is>
          <t>GÄVLEBORGS LÄN</t>
        </is>
      </c>
      <c r="G569" t="inlineStr">
        <is>
          <t>SÖDERHAMN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20166-2022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44698</v>
      </c>
      <c r="E570" s="1" t="n">
        <v>46304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34978-2024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45527</v>
      </c>
      <c r="E571" s="1" t="n">
        <v>46304</v>
      </c>
      <c r="F571" t="inlineStr">
        <is>
          <t>GÄVLEBORGS LÄN</t>
        </is>
      </c>
      <c r="G571" t="inlineStr">
        <is>
          <t>SÖDERHAMN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21789-2024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45442</v>
      </c>
      <c r="E572" s="1" t="n">
        <v>46304</v>
      </c>
      <c r="F572" t="inlineStr">
        <is>
          <t>GÄVLEBORGS LÄN</t>
        </is>
      </c>
      <c r="G572" t="inlineStr">
        <is>
          <t>SÖDERHAMN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25900-2024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45467</v>
      </c>
      <c r="E573" s="1" t="n">
        <v>46304</v>
      </c>
      <c r="F573" t="inlineStr">
        <is>
          <t>GÄVLEBORGS LÄN</t>
        </is>
      </c>
      <c r="G573" t="inlineStr">
        <is>
          <t>SÖDERHAMN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31676-2022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44776</v>
      </c>
      <c r="E574" s="1" t="n">
        <v>46304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24610-2025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45798</v>
      </c>
      <c r="E575" s="1" t="n">
        <v>46304</v>
      </c>
      <c r="F575" t="inlineStr">
        <is>
          <t>GÄVLEBORGS LÄN</t>
        </is>
      </c>
      <c r="G575" t="inlineStr">
        <is>
          <t>SÖDERHAMN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46304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45643</v>
      </c>
      <c r="E577" s="1" t="n">
        <v>46304</v>
      </c>
      <c r="F577" t="inlineStr">
        <is>
          <t>GÄVLEBORGS LÄN</t>
        </is>
      </c>
      <c r="G577" t="inlineStr">
        <is>
          <t>SÖDERHAMN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19188-2024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45428</v>
      </c>
      <c r="E578" s="1" t="n">
        <v>46304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46293</v>
      </c>
      <c r="E579" s="1" t="n">
        <v>46304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45805</v>
      </c>
      <c r="E580" s="1" t="n">
        <v>46304</v>
      </c>
      <c r="F580" t="inlineStr">
        <is>
          <t>GÄVLEBORGS LÄN</t>
        </is>
      </c>
      <c r="G580" t="inlineStr">
        <is>
          <t>SÖDERHAMN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45805</v>
      </c>
      <c r="E581" s="1" t="n">
        <v>46304</v>
      </c>
      <c r="F581" t="inlineStr">
        <is>
          <t>GÄVLEBORGS LÄN</t>
        </is>
      </c>
      <c r="G581" t="inlineStr">
        <is>
          <t>SÖDERHAMN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62903-2023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45272</v>
      </c>
      <c r="E582" s="1" t="n">
        <v>46304</v>
      </c>
      <c r="F582" t="inlineStr">
        <is>
          <t>GÄVLEBORGS LÄN</t>
        </is>
      </c>
      <c r="G582" t="inlineStr">
        <is>
          <t>SÖDERHAMN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46304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46304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54799-2022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44883</v>
      </c>
      <c r="E585" s="1" t="n">
        <v>46304</v>
      </c>
      <c r="F585" t="inlineStr">
        <is>
          <t>GÄVLEBORGS LÄN</t>
        </is>
      </c>
      <c r="G585" t="inlineStr">
        <is>
          <t>SÖDERHAMN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26805-2025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45810</v>
      </c>
      <c r="E586" s="1" t="n">
        <v>46304</v>
      </c>
      <c r="F586" t="inlineStr">
        <is>
          <t>GÄVLEBORGS LÄN</t>
        </is>
      </c>
      <c r="G586" t="inlineStr">
        <is>
          <t>SÖDERHAMN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45762</v>
      </c>
      <c r="E587" s="1" t="n">
        <v>46304</v>
      </c>
      <c r="F587" t="inlineStr">
        <is>
          <t>GÄVLEBORGS LÄN</t>
        </is>
      </c>
      <c r="G587" t="inlineStr">
        <is>
          <t>SÖDERHAMN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46304</v>
      </c>
      <c r="F588" t="inlineStr">
        <is>
          <t>GÄVLEBORGS LÄN</t>
        </is>
      </c>
      <c r="G588" t="inlineStr">
        <is>
          <t>SÖDERHAMN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46078</v>
      </c>
      <c r="E589" s="1" t="n">
        <v>46304</v>
      </c>
      <c r="F589" t="inlineStr">
        <is>
          <t>GÄVLEBORGS LÄN</t>
        </is>
      </c>
      <c r="G589" t="inlineStr">
        <is>
          <t>SÖDERHAMN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46304</v>
      </c>
      <c r="F590" t="inlineStr">
        <is>
          <t>GÄVLEBORGS LÄN</t>
        </is>
      </c>
      <c r="G590" t="inlineStr">
        <is>
          <t>SÖDERHAMN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46304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46304</v>
      </c>
      <c r="F592" t="inlineStr">
        <is>
          <t>GÄVLEBORGS LÄN</t>
        </is>
      </c>
      <c r="G592" t="inlineStr">
        <is>
          <t>SÖDERHAMN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46304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45824</v>
      </c>
      <c r="E594" s="1" t="n">
        <v>46304</v>
      </c>
      <c r="F594" t="inlineStr">
        <is>
          <t>GÄVLEBORGS LÄN</t>
        </is>
      </c>
      <c r="G594" t="inlineStr">
        <is>
          <t>SÖDERHAMN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46304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29459-2025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46304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30058-2025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45826</v>
      </c>
      <c r="E597" s="1" t="n">
        <v>46304</v>
      </c>
      <c r="F597" t="inlineStr">
        <is>
          <t>GÄVLEBORGS LÄN</t>
        </is>
      </c>
      <c r="G597" t="inlineStr">
        <is>
          <t>SÖDERHAMN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29835-2025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45825</v>
      </c>
      <c r="E598" s="1" t="n">
        <v>46304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50268-2024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46304</v>
      </c>
      <c r="F599" t="inlineStr">
        <is>
          <t>GÄVLEBORGS LÄN</t>
        </is>
      </c>
      <c r="G599" t="inlineStr">
        <is>
          <t>SÖDERHAMN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40766-2026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46296</v>
      </c>
      <c r="E600" s="1" t="n">
        <v>46304</v>
      </c>
      <c r="F600" t="inlineStr">
        <is>
          <t>GÄVLEBORGS LÄN</t>
        </is>
      </c>
      <c r="G600" t="inlineStr">
        <is>
          <t>SÖDERHAMN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46304</v>
      </c>
      <c r="F601" t="inlineStr">
        <is>
          <t>GÄVLEBORGS LÄN</t>
        </is>
      </c>
      <c r="G601" t="inlineStr">
        <is>
          <t>SÖDERHAMN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40817-2026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46296</v>
      </c>
      <c r="E602" s="1" t="n">
        <v>46304</v>
      </c>
      <c r="F602" t="inlineStr">
        <is>
          <t>GÄVLEBORGS LÄN</t>
        </is>
      </c>
      <c r="G602" t="inlineStr">
        <is>
          <t>SÖDERHAMN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40781-2026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46295</v>
      </c>
      <c r="E603" s="1" t="n">
        <v>46304</v>
      </c>
      <c r="F603" t="inlineStr">
        <is>
          <t>GÄVLEBORGS LÄN</t>
        </is>
      </c>
      <c r="G603" t="inlineStr">
        <is>
          <t>SÖDERHAMN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46304</v>
      </c>
      <c r="F604" t="inlineStr">
        <is>
          <t>GÄVLEBORGS LÄN</t>
        </is>
      </c>
      <c r="G604" t="inlineStr">
        <is>
          <t>SÖDERHAMN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34190-2026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46253</v>
      </c>
      <c r="E605" s="1" t="n">
        <v>46304</v>
      </c>
      <c r="F605" t="inlineStr">
        <is>
          <t>GÄVLEBORGS LÄN</t>
        </is>
      </c>
      <c r="G605" t="inlineStr">
        <is>
          <t>SÖDERHAMN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46296</v>
      </c>
      <c r="E606" s="1" t="n">
        <v>46304</v>
      </c>
      <c r="F606" t="inlineStr">
        <is>
          <t>GÄVLEBORGS LÄN</t>
        </is>
      </c>
      <c r="G606" t="inlineStr">
        <is>
          <t>SÖDERHAMN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46253</v>
      </c>
      <c r="E607" s="1" t="n">
        <v>46304</v>
      </c>
      <c r="F607" t="inlineStr">
        <is>
          <t>GÄVLEBORGS LÄN</t>
        </is>
      </c>
      <c r="G607" t="inlineStr">
        <is>
          <t>SÖDERHAMN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46304</v>
      </c>
      <c r="F608" t="inlineStr">
        <is>
          <t>GÄVLEBORGS LÄN</t>
        </is>
      </c>
      <c r="G608" t="inlineStr">
        <is>
          <t>SÖDERHAMN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46304</v>
      </c>
      <c r="F609" t="inlineStr">
        <is>
          <t>GÄVLEBORGS LÄN</t>
        </is>
      </c>
      <c r="G609" t="inlineStr">
        <is>
          <t>SÖDERHAMN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46301</v>
      </c>
      <c r="E610" s="1" t="n">
        <v>46304</v>
      </c>
      <c r="F610" t="inlineStr">
        <is>
          <t>GÄVLEBORGS LÄN</t>
        </is>
      </c>
      <c r="G610" t="inlineStr">
        <is>
          <t>SÖDERHAMN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26042-2026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46177</v>
      </c>
      <c r="E611" s="1" t="n">
        <v>46304</v>
      </c>
      <c r="F611" t="inlineStr">
        <is>
          <t>GÄVLEBORGS LÄN</t>
        </is>
      </c>
      <c r="G611" t="inlineStr">
        <is>
          <t>SÖDERHAMN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34761-2026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46304</v>
      </c>
      <c r="F612" t="inlineStr">
        <is>
          <t>GÄVLEBORGS LÄN</t>
        </is>
      </c>
      <c r="G612" t="inlineStr">
        <is>
          <t>SÖDERHAMN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46304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46303</v>
      </c>
      <c r="E614" s="1" t="n">
        <v>46304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46304</v>
      </c>
      <c r="F615" t="inlineStr">
        <is>
          <t>GÄVLEBORGS LÄN</t>
        </is>
      </c>
      <c r="G615" t="inlineStr">
        <is>
          <t>SÖDERHAMN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46218</v>
      </c>
      <c r="E616" s="1" t="n">
        <v>46304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41750-2026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46302</v>
      </c>
      <c r="E617" s="1" t="n">
        <v>46304</v>
      </c>
      <c r="F617" t="inlineStr">
        <is>
          <t>GÄVLEBORGS LÄN</t>
        </is>
      </c>
      <c r="G617" t="inlineStr">
        <is>
          <t>SÖDERHAMN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46034</v>
      </c>
      <c r="E618" s="1" t="n">
        <v>46304</v>
      </c>
      <c r="F618" t="inlineStr">
        <is>
          <t>GÄVLEBORGS LÄN</t>
        </is>
      </c>
      <c r="G618" t="inlineStr">
        <is>
          <t>SÖDERHAMN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46304</v>
      </c>
      <c r="F619" t="inlineStr">
        <is>
          <t>GÄVLEBORGS LÄN</t>
        </is>
      </c>
      <c r="G619" t="inlineStr">
        <is>
          <t>SÖDERHAMN</t>
        </is>
      </c>
      <c r="H619" t="inlineStr">
        <is>
          <t>Övriga statliga verk och myndigheter</t>
        </is>
      </c>
      <c r="I619" t="n">
        <v>14.9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41870-2026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46303</v>
      </c>
      <c r="E620" s="1" t="n">
        <v>46304</v>
      </c>
      <c r="F620" t="inlineStr">
        <is>
          <t>GÄVLEBORGS LÄN</t>
        </is>
      </c>
      <c r="G620" t="inlineStr">
        <is>
          <t>SÖDERHAMN</t>
        </is>
      </c>
      <c r="H620" t="inlineStr">
        <is>
          <t>Kommuner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46034</v>
      </c>
      <c r="E621" s="1" t="n">
        <v>46304</v>
      </c>
      <c r="F621" t="inlineStr">
        <is>
          <t>GÄVLEBORGS LÄN</t>
        </is>
      </c>
      <c r="G621" t="inlineStr">
        <is>
          <t>SÖDERHAMN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41872-2026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46303</v>
      </c>
      <c r="E622" s="1" t="n">
        <v>46304</v>
      </c>
      <c r="F622" t="inlineStr">
        <is>
          <t>GÄVLEBORGS LÄN</t>
        </is>
      </c>
      <c r="G622" t="inlineStr">
        <is>
          <t>SÖDERHAMN</t>
        </is>
      </c>
      <c r="H622" t="inlineStr">
        <is>
          <t>Kommuner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35182-2026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46260</v>
      </c>
      <c r="E623" s="1" t="n">
        <v>46304</v>
      </c>
      <c r="F623" t="inlineStr">
        <is>
          <t>GÄVLEBORGS LÄN</t>
        </is>
      </c>
      <c r="G623" t="inlineStr">
        <is>
          <t>SÖDERHAMN</t>
        </is>
      </c>
      <c r="H623" t="inlineStr">
        <is>
          <t>Övriga statliga verk och myndigheter</t>
        </is>
      </c>
      <c r="I623" t="n">
        <v>8.6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46304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46304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46304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46304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46304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2026-10-09T02:07:42Z</dcterms:created>
  <dcterms:modified xmlns:dcterms="http://purl.org/dc/terms/" xmlns:xsi="http://www.w3.org/2001/XMLSchema-instance" xsi:type="dcterms:W3CDTF">2026-10-09T02:07:43Z</dcterms:modified>
</cp:coreProperties>
</file>