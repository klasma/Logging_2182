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Y2">
        <f>HYPERLINK("https://klasma.github.io/Logging_2182/klagomål/A 58087-2025 FSC-klagomål.docx", "A 58087-2025")</f>
        <v/>
      </c>
      <c r="Z2">
        <f>HYPERLINK("https://klasma.github.io/Logging_2182/klagomålsmail/A 58087-2025 FSC-klagomål mail.docx", "A 58087-2025")</f>
        <v/>
      </c>
      <c r="AA2">
        <f>HYPERLINK("https://klasma.github.io/Logging_2182/tillsyn/A 58087-2025 tillsynsbegäran.docx", "A 58087-2025")</f>
        <v/>
      </c>
      <c r="AB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Y3">
        <f>HYPERLINK("https://klasma.github.io/Logging_2182/klagomål/A 14326-2024 FSC-klagomål.docx", "A 14326-2024")</f>
        <v/>
      </c>
      <c r="Z3">
        <f>HYPERLINK("https://klasma.github.io/Logging_2182/klagomålsmail/A 14326-2024 FSC-klagomål mail.docx", "A 14326-2024")</f>
        <v/>
      </c>
      <c r="AA3">
        <f>HYPERLINK("https://klasma.github.io/Logging_2182/tillsyn/A 14326-2024 tillsynsbegäran.docx", "A 14326-2024")</f>
        <v/>
      </c>
      <c r="AB3">
        <f>HYPERLINK("https://klasma.github.io/Logging_2182/tillsynsmail/A 14326-2024 tillsynsbegäran mail.docx", "A 14326-2024")</f>
        <v/>
      </c>
      <c r="AC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Y4">
        <f>HYPERLINK("https://klasma.github.io/Logging_2182/klagomål/A 51147-2025 FSC-klagomål.docx", "A 51147-2025")</f>
        <v/>
      </c>
      <c r="Z4">
        <f>HYPERLINK("https://klasma.github.io/Logging_2182/klagomålsmail/A 51147-2025 FSC-klagomål mail.docx", "A 51147-2025")</f>
        <v/>
      </c>
      <c r="AA4">
        <f>HYPERLINK("https://klasma.github.io/Logging_2182/tillsyn/A 51147-2025 tillsynsbegäran.docx", "A 51147-2025")</f>
        <v/>
      </c>
      <c r="AB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Y5">
        <f>HYPERLINK("https://klasma.github.io/Logging_2182/klagomål/A 18274-2023 FSC-klagomål.docx", "A 18274-2023")</f>
        <v/>
      </c>
      <c r="Z5">
        <f>HYPERLINK("https://klasma.github.io/Logging_2182/klagomålsmail/A 18274-2023 FSC-klagomål mail.docx", "A 18274-2023")</f>
        <v/>
      </c>
      <c r="AA5">
        <f>HYPERLINK("https://klasma.github.io/Logging_2182/tillsyn/A 18274-2023 tillsynsbegäran.docx", "A 18274-2023")</f>
        <v/>
      </c>
      <c r="AB5">
        <f>HYPERLINK("https://klasma.github.io/Logging_2182/tillsynsmail/A 18274-2023 tillsynsbegäran mail.docx", "A 18274-2023")</f>
        <v/>
      </c>
      <c r="AC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Y6">
        <f>HYPERLINK("https://klasma.github.io/Logging_2182/klagomål/S 381-2024 FSC-klagomål.docx", "S 381-2024")</f>
        <v/>
      </c>
      <c r="Z6">
        <f>HYPERLINK("https://klasma.github.io/Logging_2182/klagomålsmail/S 381-2024 FSC-klagomål mail.docx", "S 381-2024")</f>
        <v/>
      </c>
      <c r="AA6">
        <f>HYPERLINK("https://klasma.github.io/Logging_2182/tillsyn/S 381-2024 tillsynsbegäran.docx", "S 381-2024")</f>
        <v/>
      </c>
      <c r="AB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Y7">
        <f>HYPERLINK("https://klasma.github.io/Logging_2182/klagomål/A 21488-2022 FSC-klagomål.docx", "A 21488-2022")</f>
        <v/>
      </c>
      <c r="Z7">
        <f>HYPERLINK("https://klasma.github.io/Logging_2182/klagomålsmail/A 21488-2022 FSC-klagomål mail.docx", "A 21488-2022")</f>
        <v/>
      </c>
      <c r="AA7">
        <f>HYPERLINK("https://klasma.github.io/Logging_2182/tillsyn/A 21488-2022 tillsynsbegäran.docx", "A 21488-2022")</f>
        <v/>
      </c>
      <c r="AB7">
        <f>HYPERLINK("https://klasma.github.io/Logging_2182/tillsynsmail/A 21488-2022 tillsynsbegäran mail.docx", "A 21488-2022")</f>
        <v/>
      </c>
      <c r="AC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Y8">
        <f>HYPERLINK("https://klasma.github.io/Logging_2182/klagomål/A 16271-2026 FSC-klagomål.docx", "A 16271-2026")</f>
        <v/>
      </c>
      <c r="Z8">
        <f>HYPERLINK("https://klasma.github.io/Logging_2182/klagomålsmail/A 16271-2026 FSC-klagomål mail.docx", "A 16271-2026")</f>
        <v/>
      </c>
      <c r="AA8">
        <f>HYPERLINK("https://klasma.github.io/Logging_2182/tillsyn/A 16271-2026 tillsynsbegäran.docx", "A 16271-2026")</f>
        <v/>
      </c>
      <c r="AB8">
        <f>HYPERLINK("https://klasma.github.io/Logging_2182/tillsynsmail/A 16271-2026 tillsynsbegäran mail.docx", "A 16271-2026")</f>
        <v/>
      </c>
      <c r="AC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Y9">
        <f>HYPERLINK("https://klasma.github.io/Logging_2182/klagomål/S 17-2024 FSC-klagomål.docx", "S 17-2024")</f>
        <v/>
      </c>
      <c r="Z9">
        <f>HYPERLINK("https://klasma.github.io/Logging_2182/klagomålsmail/S 17-2024 FSC-klagomål mail.docx", "S 17-2024")</f>
        <v/>
      </c>
      <c r="AA9">
        <f>HYPERLINK("https://klasma.github.io/Logging_2182/tillsyn/S 17-2024 tillsynsbegäran.docx", "S 17-2024")</f>
        <v/>
      </c>
      <c r="AB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Y10">
        <f>HYPERLINK("https://klasma.github.io/Logging_2182/klagomål/A 67300-2021 FSC-klagomål.docx", "A 67300-2021")</f>
        <v/>
      </c>
      <c r="Z10">
        <f>HYPERLINK("https://klasma.github.io/Logging_2182/klagomålsmail/A 67300-2021 FSC-klagomål mail.docx", "A 67300-2021")</f>
        <v/>
      </c>
      <c r="AA10">
        <f>HYPERLINK("https://klasma.github.io/Logging_2182/tillsyn/A 67300-2021 tillsynsbegäran.docx", "A 67300-2021")</f>
        <v/>
      </c>
      <c r="AB10">
        <f>HYPERLINK("https://klasma.github.io/Logging_2182/tillsynsmail/A 67300-2021 tillsynsbegäran mail.docx", "A 67300-2021")</f>
        <v/>
      </c>
      <c r="AC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s="2" t="inlineStr">
        <is>
          <t>Gyllenspindling
Svartfjällig musseron
Strimspindling
Utter</t>
        </is>
      </c>
      <c r="V11">
        <f>HYPERLINK("https://klasma.github.io/Logging_2182/artfynd/A 16182-2026 artfynd.xlsx", "A 16182-2026")</f>
        <v/>
      </c>
      <c r="W11">
        <f>HYPERLINK("https://klasma.github.io/Logging_2182/kartor/A 16182-2026 karta.png", "A 16182-2026")</f>
        <v/>
      </c>
      <c r="Y11">
        <f>HYPERLINK("https://klasma.github.io/Logging_2182/klagomål/A 16182-2026 FSC-klagomål.docx", "A 16182-2026")</f>
        <v/>
      </c>
      <c r="Z11">
        <f>HYPERLINK("https://klasma.github.io/Logging_2182/klagomålsmail/A 16182-2026 FSC-klagomål mail.docx", "A 16182-2026")</f>
        <v/>
      </c>
      <c r="AA11">
        <f>HYPERLINK("https://klasma.github.io/Logging_2182/tillsyn/A 16182-2026 tillsynsbegäran.docx", "A 16182-2026")</f>
        <v/>
      </c>
      <c r="AB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46221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s="2" t="inlineStr">
        <is>
          <t>Talltita
Grönsiska
Kungsfågel
Fläcknycklar</t>
        </is>
      </c>
      <c r="V12">
        <f>HYPERLINK("https://klasma.github.io/Logging_2182/artfynd/A 17210-2026 artfynd.xlsx", "A 17210-2026")</f>
        <v/>
      </c>
      <c r="W12">
        <f>HYPERLINK("https://klasma.github.io/Logging_2182/kartor/A 17210-2026 karta.png", "A 17210-2026")</f>
        <v/>
      </c>
      <c r="Y12">
        <f>HYPERLINK("https://klasma.github.io/Logging_2182/klagomål/A 17210-2026 FSC-klagomål.docx", "A 17210-2026")</f>
        <v/>
      </c>
      <c r="Z12">
        <f>HYPERLINK("https://klasma.github.io/Logging_2182/klagomålsmail/A 17210-2026 FSC-klagomål mail.docx", "A 17210-2026")</f>
        <v/>
      </c>
      <c r="AA12">
        <f>HYPERLINK("https://klasma.github.io/Logging_2182/tillsyn/A 17210-2026 tillsynsbegäran.docx", "A 17210-2026")</f>
        <v/>
      </c>
      <c r="AB12">
        <f>HYPERLINK("https://klasma.github.io/Logging_2182/tillsynsmail/A 17210-2026 tillsynsbegäran mail.docx", "A 17210-2026")</f>
        <v/>
      </c>
      <c r="AC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46221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s="2" t="inlineStr">
        <is>
          <t>Enkelbeckasin
Spillkråka
Grönsiska
Kungsfågel</t>
        </is>
      </c>
      <c r="V13">
        <f>HYPERLINK("https://klasma.github.io/Logging_2182/artfynd/A 29646-2026 artfynd.xlsx", "A 29646-2026")</f>
        <v/>
      </c>
      <c r="W13">
        <f>HYPERLINK("https://klasma.github.io/Logging_2182/kartor/A 29646-2026 karta.png", "A 29646-2026")</f>
        <v/>
      </c>
      <c r="Y13">
        <f>HYPERLINK("https://klasma.github.io/Logging_2182/klagomål/A 29646-2026 FSC-klagomål.docx", "A 29646-2026")</f>
        <v/>
      </c>
      <c r="Z13">
        <f>HYPERLINK("https://klasma.github.io/Logging_2182/klagomålsmail/A 29646-2026 FSC-klagomål mail.docx", "A 29646-2026")</f>
        <v/>
      </c>
      <c r="AA13">
        <f>HYPERLINK("https://klasma.github.io/Logging_2182/tillsyn/A 29646-2026 tillsynsbegäran.docx", "A 29646-2026")</f>
        <v/>
      </c>
      <c r="AB13">
        <f>HYPERLINK("https://klasma.github.io/Logging_2182/tillsynsmail/A 29646-2026 tillsynsbegäran mail.docx", "A 29646-2026")</f>
        <v/>
      </c>
      <c r="AC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46221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s="2" t="inlineStr">
        <is>
          <t>Knärot
Duvhök
Havsörn
Kungsfågel</t>
        </is>
      </c>
      <c r="V14">
        <f>HYPERLINK("https://klasma.github.io/Logging_2182/artfynd/A 31805-2024 artfynd.xlsx", "A 31805-2024")</f>
        <v/>
      </c>
      <c r="W14">
        <f>HYPERLINK("https://klasma.github.io/Logging_2182/kartor/A 31805-2024 karta.png", "A 31805-2024")</f>
        <v/>
      </c>
      <c r="X14">
        <f>HYPERLINK("https://klasma.github.io/Logging_2182/knärot/A 31805-2024 karta knärot.png", "A 31805-2024")</f>
        <v/>
      </c>
      <c r="Y14">
        <f>HYPERLINK("https://klasma.github.io/Logging_2182/klagomål/A 31805-2024 FSC-klagomål.docx", "A 31805-2024")</f>
        <v/>
      </c>
      <c r="Z14">
        <f>HYPERLINK("https://klasma.github.io/Logging_2182/klagomålsmail/A 31805-2024 FSC-klagomål mail.docx", "A 31805-2024")</f>
        <v/>
      </c>
      <c r="AA14">
        <f>HYPERLINK("https://klasma.github.io/Logging_2182/tillsyn/A 31805-2024 tillsynsbegäran.docx", "A 31805-2024")</f>
        <v/>
      </c>
      <c r="AB14">
        <f>HYPERLINK("https://klasma.github.io/Logging_2182/tillsynsmail/A 31805-2024 tillsynsbegäran mail.docx", "A 31805-2024")</f>
        <v/>
      </c>
      <c r="AC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46221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HYPERLINK("https://klasma.github.io/Logging_2182/knärot/A 24606-2025 karta knärot.png", "A 24606-2025")</f>
        <v/>
      </c>
      <c r="Y15">
        <f>HYPERLINK("https://klasma.github.io/Logging_2182/klagomål/A 24606-2025 FSC-klagomål.docx", "A 24606-2025")</f>
        <v/>
      </c>
      <c r="Z15">
        <f>HYPERLINK("https://klasma.github.io/Logging_2182/klagomålsmail/A 24606-2025 FSC-klagomål mail.docx", "A 24606-2025")</f>
        <v/>
      </c>
      <c r="AA15">
        <f>HYPERLINK("https://klasma.github.io/Logging_2182/tillsyn/A 24606-2025 tillsynsbegäran.docx", "A 24606-2025")</f>
        <v/>
      </c>
      <c r="AB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46221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HYPERLINK("https://klasma.github.io/Logging_2182/knärot/A 24608-2025 karta knärot.png", "A 24608-2025")</f>
        <v/>
      </c>
      <c r="Y16">
        <f>HYPERLINK("https://klasma.github.io/Logging_2182/klagomål/A 24608-2025 FSC-klagomål.docx", "A 24608-2025")</f>
        <v/>
      </c>
      <c r="Z16">
        <f>HYPERLINK("https://klasma.github.io/Logging_2182/klagomålsmail/A 24608-2025 FSC-klagomål mail.docx", "A 24608-2025")</f>
        <v/>
      </c>
      <c r="AA16">
        <f>HYPERLINK("https://klasma.github.io/Logging_2182/tillsyn/A 24608-2025 tillsynsbegäran.docx", "A 24608-2025")</f>
        <v/>
      </c>
      <c r="AB16">
        <f>HYPERLINK("https://klasma.github.io/Logging_2182/tillsynsmail/A 24608-2025 tillsynsbegäran mail.docx", "A 24608-2025")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46221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Kungsfågel</t>
        </is>
      </c>
      <c r="V17">
        <f>HYPERLINK("https://klasma.github.io/Logging_2182/artfynd/A 42469-2025 artfynd.xlsx", "A 42469-2025")</f>
        <v/>
      </c>
      <c r="W17">
        <f>HYPERLINK("https://klasma.github.io/Logging_2182/kartor/A 42469-2025 karta.png", "A 42469-2025")</f>
        <v/>
      </c>
      <c r="Y17">
        <f>HYPERLINK("https://klasma.github.io/Logging_2182/klagomål/A 42469-2025 FSC-klagomål.docx", "A 42469-2025")</f>
        <v/>
      </c>
      <c r="Z17">
        <f>HYPERLINK("https://klasma.github.io/Logging_2182/klagomålsmail/A 42469-2025 FSC-klagomål mail.docx", "A 42469-2025")</f>
        <v/>
      </c>
      <c r="AA17">
        <f>HYPERLINK("https://klasma.github.io/Logging_2182/tillsyn/A 42469-2025 tillsynsbegäran.docx", "A 42469-2025")</f>
        <v/>
      </c>
      <c r="AB17">
        <f>HYPERLINK("https://klasma.github.io/Logging_2182/tillsynsmail/A 42469-2025 tillsynsbegäran mail.docx", "A 42469-2025")</f>
        <v/>
      </c>
      <c r="AC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46221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Kortskaftad ärgspik
Vitplätt</t>
        </is>
      </c>
      <c r="V18">
        <f>HYPERLINK("https://klasma.github.io/Logging_2182/artfynd/A 9290-2026 artfynd.xlsx", "A 9290-2026")</f>
        <v/>
      </c>
      <c r="W18">
        <f>HYPERLINK("https://klasma.github.io/Logging_2182/kartor/A 9290-2026 karta.png", "A 9290-2026")</f>
        <v/>
      </c>
      <c r="Y18">
        <f>HYPERLINK("https://klasma.github.io/Logging_2182/klagomål/A 9290-2026 FSC-klagomål.docx", "A 9290-2026")</f>
        <v/>
      </c>
      <c r="Z18">
        <f>HYPERLINK("https://klasma.github.io/Logging_2182/klagomålsmail/A 9290-2026 FSC-klagomål mail.docx", "A 9290-2026")</f>
        <v/>
      </c>
      <c r="AA18">
        <f>HYPERLINK("https://klasma.github.io/Logging_2182/tillsyn/A 9290-2026 tillsynsbegäran.docx", "A 9290-2026")</f>
        <v/>
      </c>
      <c r="AB18">
        <f>HYPERLINK("https://klasma.github.io/Logging_2182/tillsynsmail/A 9290-2026 tillsynsbegäran mail.docx", "A 9290-2026")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46221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s="2" t="inlineStr">
        <is>
          <t>Korallblylav
Stuplav</t>
        </is>
      </c>
      <c r="V19">
        <f>HYPERLINK("https://klasma.github.io/Logging_2182/artfynd/A 23333-2026 artfynd.xlsx", "A 23333-2026")</f>
        <v/>
      </c>
      <c r="W19">
        <f>HYPERLINK("https://klasma.github.io/Logging_2182/kartor/A 23333-2026 karta.png", "A 23333-2026")</f>
        <v/>
      </c>
      <c r="Y19">
        <f>HYPERLINK("https://klasma.github.io/Logging_2182/klagomål/A 23333-2026 FSC-klagomål.docx", "A 23333-2026")</f>
        <v/>
      </c>
      <c r="Z19">
        <f>HYPERLINK("https://klasma.github.io/Logging_2182/klagomålsmail/A 23333-2026 FSC-klagomål mail.docx", "A 23333-2026")</f>
        <v/>
      </c>
      <c r="AA19">
        <f>HYPERLINK("https://klasma.github.io/Logging_2182/tillsyn/A 23333-2026 tillsynsbegäran.docx", "A 23333-2026")</f>
        <v/>
      </c>
      <c r="AB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46221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Svart trolldruva
Blåsippa</t>
        </is>
      </c>
      <c r="V20">
        <f>HYPERLINK("https://klasma.github.io/Logging_2182/artfynd/A 24156-2026 artfynd.xlsx", "A 24156-2026")</f>
        <v/>
      </c>
      <c r="W20">
        <f>HYPERLINK("https://klasma.github.io/Logging_2182/kartor/A 24156-2026 karta.png", "A 24156-2026")</f>
        <v/>
      </c>
      <c r="Y20">
        <f>HYPERLINK("https://klasma.github.io/Logging_2182/klagomål/A 24156-2026 FSC-klagomål.docx", "A 24156-2026")</f>
        <v/>
      </c>
      <c r="Z20">
        <f>HYPERLINK("https://klasma.github.io/Logging_2182/klagomålsmail/A 24156-2026 FSC-klagomål mail.docx", "A 24156-2026")</f>
        <v/>
      </c>
      <c r="AA20">
        <f>HYPERLINK("https://klasma.github.io/Logging_2182/tillsyn/A 24156-2026 tillsynsbegäran.docx", "A 24156-2026")</f>
        <v/>
      </c>
      <c r="AB20">
        <f>HYPERLINK("https://klasma.github.io/Logging_2182/tillsynsmail/A 24156-2026 tillsynsbegäran mail.docx", "A 24156-2026")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46221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s="2" t="inlineStr">
        <is>
          <t>Havsörn
Fläcknycklar</t>
        </is>
      </c>
      <c r="V21">
        <f>HYPERLINK("https://klasma.github.io/Logging_2182/artfynd/A 53562-2024 artfynd.xlsx", "A 53562-2024")</f>
        <v/>
      </c>
      <c r="W21">
        <f>HYPERLINK("https://klasma.github.io/Logging_2182/kartor/A 53562-2024 karta.png", "A 53562-2024")</f>
        <v/>
      </c>
      <c r="Y21">
        <f>HYPERLINK("https://klasma.github.io/Logging_2182/klagomål/A 53562-2024 FSC-klagomål.docx", "A 53562-2024")</f>
        <v/>
      </c>
      <c r="Z21">
        <f>HYPERLINK("https://klasma.github.io/Logging_2182/klagomålsmail/A 53562-2024 FSC-klagomål mail.docx", "A 53562-2024")</f>
        <v/>
      </c>
      <c r="AA21">
        <f>HYPERLINK("https://klasma.github.io/Logging_2182/tillsyn/A 53562-2024 tillsynsbegäran.docx", "A 53562-2024")</f>
        <v/>
      </c>
      <c r="AB21">
        <f>HYPERLINK("https://klasma.github.io/Logging_2182/tillsynsmail/A 53562-2024 tillsynsbegäran mail.docx", "A 53562-2024")</f>
        <v/>
      </c>
      <c r="AC21">
        <f>HYPERLINK("https://klasma.github.io/Logging_2182/fåglar/A 53562-2024 prioriterade fågelarter.docx", "A 53562-2024")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46221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Talltita
Tofsmes</t>
        </is>
      </c>
      <c r="V22">
        <f>HYPERLINK("https://klasma.github.io/Logging_2182/artfynd/A 25237-2022 artfynd.xlsx", "A 25237-2022")</f>
        <v/>
      </c>
      <c r="W22">
        <f>HYPERLINK("https://klasma.github.io/Logging_2182/kartor/A 25237-2022 karta.png", "A 25237-2022")</f>
        <v/>
      </c>
      <c r="Y22">
        <f>HYPERLINK("https://klasma.github.io/Logging_2182/klagomål/A 25237-2022 FSC-klagomål.docx", "A 25237-2022")</f>
        <v/>
      </c>
      <c r="Z22">
        <f>HYPERLINK("https://klasma.github.io/Logging_2182/klagomålsmail/A 25237-2022 FSC-klagomål mail.docx", "A 25237-2022")</f>
        <v/>
      </c>
      <c r="AA22">
        <f>HYPERLINK("https://klasma.github.io/Logging_2182/tillsyn/A 25237-2022 tillsynsbegäran.docx", "A 25237-2022")</f>
        <v/>
      </c>
      <c r="AB22">
        <f>HYPERLINK("https://klasma.github.io/Logging_2182/tillsynsmail/A 25237-2022 tillsynsbegäran mail.docx", "A 25237-2022")</f>
        <v/>
      </c>
      <c r="AC22">
        <f>HYPERLINK("https://klasma.github.io/Logging_2182/fåglar/A 25237-2022 prioriterade fågelarter.docx", "A 25237-2022")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46221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Kolflarnlav
Mörk kolflarnlav</t>
        </is>
      </c>
      <c r="V23">
        <f>HYPERLINK("https://klasma.github.io/Logging_2182/artfynd/A 19921-2025 artfynd.xlsx", "A 19921-2025")</f>
        <v/>
      </c>
      <c r="W23">
        <f>HYPERLINK("https://klasma.github.io/Logging_2182/kartor/A 19921-2025 karta.png", "A 19921-2025")</f>
        <v/>
      </c>
      <c r="Y23">
        <f>HYPERLINK("https://klasma.github.io/Logging_2182/klagomål/A 19921-2025 FSC-klagomål.docx", "A 19921-2025")</f>
        <v/>
      </c>
      <c r="Z23">
        <f>HYPERLINK("https://klasma.github.io/Logging_2182/klagomålsmail/A 19921-2025 FSC-klagomål mail.docx", "A 19921-2025")</f>
        <v/>
      </c>
      <c r="AA23">
        <f>HYPERLINK("https://klasma.github.io/Logging_2182/tillsyn/A 19921-2025 tillsynsbegäran.docx", "A 19921-2025")</f>
        <v/>
      </c>
      <c r="AB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46221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 sköldmossa
Spillkråka</t>
        </is>
      </c>
      <c r="V24">
        <f>HYPERLINK("https://klasma.github.io/Logging_2182/artfynd/A 18546-2024 artfynd.xlsx", "A 18546-2024")</f>
        <v/>
      </c>
      <c r="W24">
        <f>HYPERLINK("https://klasma.github.io/Logging_2182/kartor/A 18546-2024 karta.png", "A 18546-2024")</f>
        <v/>
      </c>
      <c r="Y24">
        <f>HYPERLINK("https://klasma.github.io/Logging_2182/klagomål/A 18546-2024 FSC-klagomål.docx", "A 18546-2024")</f>
        <v/>
      </c>
      <c r="Z24">
        <f>HYPERLINK("https://klasma.github.io/Logging_2182/klagomålsmail/A 18546-2024 FSC-klagomål mail.docx", "A 18546-2024")</f>
        <v/>
      </c>
      <c r="AA24">
        <f>HYPERLINK("https://klasma.github.io/Logging_2182/tillsyn/A 18546-2024 tillsynsbegäran.docx", "A 18546-2024")</f>
        <v/>
      </c>
      <c r="AB24">
        <f>HYPERLINK("https://klasma.github.io/Logging_2182/tillsynsmail/A 18546-2024 tillsynsbegäran mail.docx", "A 18546-2024")</f>
        <v/>
      </c>
      <c r="AC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Y25">
        <f>HYPERLINK("https://klasma.github.io/Logging_2182/klagomål/S 14-2024 FSC-klagomål.docx", "S 14-2024")</f>
        <v/>
      </c>
      <c r="Z25">
        <f>HYPERLINK("https://klasma.github.io/Logging_2182/klagomålsmail/S 14-2024 FSC-klagomål mail.docx", "S 14-2024")</f>
        <v/>
      </c>
      <c r="AA25">
        <f>HYPERLINK("https://klasma.github.io/Logging_2182/tillsyn/S 14-2024 tillsynsbegäran.docx", "S 14-2024")</f>
        <v/>
      </c>
      <c r="AB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46221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Y26">
        <f>HYPERLINK("https://klasma.github.io/Logging_2182/klagomål/A 40273-2021 FSC-klagomål.docx", "A 40273-2021")</f>
        <v/>
      </c>
      <c r="Z26">
        <f>HYPERLINK("https://klasma.github.io/Logging_2182/klagomålsmail/A 40273-2021 FSC-klagomål mail.docx", "A 40273-2021")</f>
        <v/>
      </c>
      <c r="AA26">
        <f>HYPERLINK("https://klasma.github.io/Logging_2182/tillsyn/A 40273-2021 tillsynsbegäran.docx", "A 40273-2021")</f>
        <v/>
      </c>
      <c r="AB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46221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HYPERLINK("https://klasma.github.io/Logging_2182/artfynd/A 38545-2025 artfynd.xlsx", "A 38545-2025")</f>
        <v/>
      </c>
      <c r="W27">
        <f>HYPERLINK("https://klasma.github.io/Logging_2182/kartor/A 38545-2025 karta.png", "A 38545-2025")</f>
        <v/>
      </c>
      <c r="X27">
        <f>HYPERLINK("https://klasma.github.io/Logging_2182/knärot/A 38545-2025 karta knärot.png", "A 38545-2025")</f>
        <v/>
      </c>
      <c r="Y27">
        <f>HYPERLINK("https://klasma.github.io/Logging_2182/klagomål/A 38545-2025 FSC-klagomål.docx", "A 38545-2025")</f>
        <v/>
      </c>
      <c r="Z27">
        <f>HYPERLINK("https://klasma.github.io/Logging_2182/klagomålsmail/A 38545-2025 FSC-klagomål mail.docx", "A 38545-2025")</f>
        <v/>
      </c>
      <c r="AA27">
        <f>HYPERLINK("https://klasma.github.io/Logging_2182/tillsyn/A 38545-2025 tillsynsbegäran.docx", "A 38545-2025")</f>
        <v/>
      </c>
      <c r="AB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46221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Järpe</t>
        </is>
      </c>
      <c r="V28">
        <f>HYPERLINK("https://klasma.github.io/Logging_2182/artfynd/A 39774-2025 artfynd.xlsx", "A 39774-2025")</f>
        <v/>
      </c>
      <c r="W28">
        <f>HYPERLINK("https://klasma.github.io/Logging_2182/kartor/A 39774-2025 karta.png", "A 39774-2025")</f>
        <v/>
      </c>
      <c r="Y28">
        <f>HYPERLINK("https://klasma.github.io/Logging_2182/klagomål/A 39774-2025 FSC-klagomål.docx", "A 39774-2025")</f>
        <v/>
      </c>
      <c r="Z28">
        <f>HYPERLINK("https://klasma.github.io/Logging_2182/klagomålsmail/A 39774-2025 FSC-klagomål mail.docx", "A 39774-2025")</f>
        <v/>
      </c>
      <c r="AA28">
        <f>HYPERLINK("https://klasma.github.io/Logging_2182/tillsyn/A 39774-2025 tillsynsbegäran.docx", "A 39774-2025")</f>
        <v/>
      </c>
      <c r="AB28">
        <f>HYPERLINK("https://klasma.github.io/Logging_2182/tillsynsmail/A 39774-2025 tillsynsbegäran mail.docx", "A 39774-2025")</f>
        <v/>
      </c>
      <c r="AC28">
        <f>HYPERLINK("https://klasma.github.io/Logging_2182/fåglar/A 39774-2025 prioriterade fågelarter.docx", "A 39774-2025")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46221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Tibast</t>
        </is>
      </c>
      <c r="V29">
        <f>HYPERLINK("https://klasma.github.io/Logging_2182/artfynd/A 29834-2025 artfynd.xlsx", "A 29834-2025")</f>
        <v/>
      </c>
      <c r="W29">
        <f>HYPERLINK("https://klasma.github.io/Logging_2182/kartor/A 29834-2025 karta.png", "A 29834-2025")</f>
        <v/>
      </c>
      <c r="Y29">
        <f>HYPERLINK("https://klasma.github.io/Logging_2182/klagomål/A 29834-2025 FSC-klagomål.docx", "A 29834-2025")</f>
        <v/>
      </c>
      <c r="Z29">
        <f>HYPERLINK("https://klasma.github.io/Logging_2182/klagomålsmail/A 29834-2025 FSC-klagomål mail.docx", "A 29834-2025")</f>
        <v/>
      </c>
      <c r="AA29">
        <f>HYPERLINK("https://klasma.github.io/Logging_2182/tillsyn/A 29834-2025 tillsynsbegäran.docx", "A 29834-2025")</f>
        <v/>
      </c>
      <c r="AB29">
        <f>HYPERLINK("https://klasma.github.io/Logging_2182/tillsynsmail/A 29834-2025 tillsynsbegäran mail.docx", "A 29834-2025")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46221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Stor aspticka</t>
        </is>
      </c>
      <c r="V30">
        <f>HYPERLINK("https://klasma.github.io/Logging_2182/artfynd/A 5946-2026 artfynd.xlsx", "A 5946-2026")</f>
        <v/>
      </c>
      <c r="W30">
        <f>HYPERLINK("https://klasma.github.io/Logging_2182/kartor/A 5946-2026 karta.png", "A 5946-2026")</f>
        <v/>
      </c>
      <c r="Y30">
        <f>HYPERLINK("https://klasma.github.io/Logging_2182/klagomål/A 5946-2026 FSC-klagomål.docx", "A 5946-2026")</f>
        <v/>
      </c>
      <c r="Z30">
        <f>HYPERLINK("https://klasma.github.io/Logging_2182/klagomålsmail/A 5946-2026 FSC-klagomål mail.docx", "A 5946-2026")</f>
        <v/>
      </c>
      <c r="AA30">
        <f>HYPERLINK("https://klasma.github.io/Logging_2182/tillsyn/A 5946-2026 tillsynsbegäran.docx", "A 5946-2026")</f>
        <v/>
      </c>
      <c r="AB30">
        <f>HYPERLINK("https://klasma.github.io/Logging_2182/tillsynsmail/A 5946-2026 tillsynsbegäran mail.docx", "A 5946-2026")</f>
        <v/>
      </c>
    </row>
    <row r="31" ht="15" customHeight="1">
      <c r="A31" t="inlineStr">
        <is>
          <t>A 6060-2026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46221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Barkticka</t>
        </is>
      </c>
      <c r="V31">
        <f>HYPERLINK("https://klasma.github.io/Logging_2182/artfynd/A 6060-2026 artfynd.xlsx", "A 6060-2026")</f>
        <v/>
      </c>
      <c r="W31">
        <f>HYPERLINK("https://klasma.github.io/Logging_2182/kartor/A 6060-2026 karta.png", "A 6060-2026")</f>
        <v/>
      </c>
      <c r="Y31">
        <f>HYPERLINK("https://klasma.github.io/Logging_2182/klagomål/A 6060-2026 FSC-klagomål.docx", "A 6060-2026")</f>
        <v/>
      </c>
      <c r="Z31">
        <f>HYPERLINK("https://klasma.github.io/Logging_2182/klagomålsmail/A 6060-2026 FSC-klagomål mail.docx", "A 6060-2026")</f>
        <v/>
      </c>
      <c r="AA31">
        <f>HYPERLINK("https://klasma.github.io/Logging_2182/tillsyn/A 6060-2026 tillsynsbegäran.docx", "A 6060-2026")</f>
        <v/>
      </c>
      <c r="AB31">
        <f>HYPERLINK("https://klasma.github.io/Logging_2182/tillsynsmail/A 6060-2026 tillsynsbegäran mail.docx", "A 6060-2026")</f>
        <v/>
      </c>
    </row>
    <row r="32" ht="15" customHeight="1">
      <c r="A32" t="inlineStr">
        <is>
          <t>A 17412-2023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46221</v>
      </c>
      <c r="F32" t="inlineStr">
        <is>
          <t>GÄVLEBORGS LÄN</t>
        </is>
      </c>
      <c r="G32" t="inlineStr">
        <is>
          <t>SÖDERHAMN</t>
        </is>
      </c>
      <c r="I32" t="n">
        <v>4.8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Älg</t>
        </is>
      </c>
      <c r="V32">
        <f>HYPERLINK("https://klasma.github.io/Logging_2182/artfynd/A 17412-2023 artfynd.xlsx", "A 17412-2023")</f>
        <v/>
      </c>
      <c r="W32">
        <f>HYPERLINK("https://klasma.github.io/Logging_2182/kartor/A 17412-2023 karta.png", "A 17412-2023")</f>
        <v/>
      </c>
      <c r="Y32">
        <f>HYPERLINK("https://klasma.github.io/Logging_2182/klagomål/A 17412-2023 FSC-klagomål.docx", "A 17412-2023")</f>
        <v/>
      </c>
      <c r="Z32">
        <f>HYPERLINK("https://klasma.github.io/Logging_2182/klagomålsmail/A 17412-2023 FSC-klagomål mail.docx", "A 17412-2023")</f>
        <v/>
      </c>
      <c r="AA32">
        <f>HYPERLINK("https://klasma.github.io/Logging_2182/tillsyn/A 17412-2023 tillsynsbegäran.docx", "A 17412-2023")</f>
        <v/>
      </c>
      <c r="AB32">
        <f>HYPERLINK("https://klasma.github.io/Logging_2182/tillsynsmail/A 17412-2023 tillsynsbegäran mail.docx", "A 17412-2023")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46221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Gråspett</t>
        </is>
      </c>
      <c r="V33">
        <f>HYPERLINK("https://klasma.github.io/Logging_2182/artfynd/A 51157-2025 artfynd.xlsx", "A 51157-2025")</f>
        <v/>
      </c>
      <c r="W33">
        <f>HYPERLINK("https://klasma.github.io/Logging_2182/kartor/A 51157-2025 karta.png", "A 51157-2025")</f>
        <v/>
      </c>
      <c r="Y33">
        <f>HYPERLINK("https://klasma.github.io/Logging_2182/klagomål/A 51157-2025 FSC-klagomål.docx", "A 51157-2025")</f>
        <v/>
      </c>
      <c r="Z33">
        <f>HYPERLINK("https://klasma.github.io/Logging_2182/klagomålsmail/A 51157-2025 FSC-klagomål mail.docx", "A 51157-2025")</f>
        <v/>
      </c>
      <c r="AA33">
        <f>HYPERLINK("https://klasma.github.io/Logging_2182/tillsyn/A 51157-2025 tillsynsbegäran.docx", "A 51157-2025")</f>
        <v/>
      </c>
      <c r="AB33">
        <f>HYPERLINK("https://klasma.github.io/Logging_2182/tillsynsmail/A 51157-2025 tillsynsbegäran mail.docx", "A 51157-2025")</f>
        <v/>
      </c>
      <c r="AC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46221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Knärot</t>
        </is>
      </c>
      <c r="V34">
        <f>HYPERLINK("https://klasma.github.io/Logging_2182/artfynd/A 31803-2024 artfynd.xlsx", "A 31803-2024")</f>
        <v/>
      </c>
      <c r="W34">
        <f>HYPERLINK("https://klasma.github.io/Logging_2182/kartor/A 31803-2024 karta.png", "A 31803-2024")</f>
        <v/>
      </c>
      <c r="X34">
        <f>HYPERLINK("https://klasma.github.io/Logging_2182/knärot/A 31803-2024 karta knärot.png", "A 31803-2024")</f>
        <v/>
      </c>
      <c r="Y34">
        <f>HYPERLINK("https://klasma.github.io/Logging_2182/klagomål/A 31803-2024 FSC-klagomål.docx", "A 31803-2024")</f>
        <v/>
      </c>
      <c r="Z34">
        <f>HYPERLINK("https://klasma.github.io/Logging_2182/klagomålsmail/A 31803-2024 FSC-klagomål mail.docx", "A 31803-2024")</f>
        <v/>
      </c>
      <c r="AA34">
        <f>HYPERLINK("https://klasma.github.io/Logging_2182/tillsyn/A 31803-2024 tillsynsbegäran.docx", "A 31803-2024")</f>
        <v/>
      </c>
      <c r="AB34">
        <f>HYPERLINK("https://klasma.github.io/Logging_2182/tillsynsmail/A 31803-2024 tillsynsbegäran mail.docx", "A 31803-2024")</f>
        <v/>
      </c>
    </row>
    <row r="35" ht="15" customHeight="1">
      <c r="A35" t="inlineStr">
        <is>
          <t>A 9284-2026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46221</v>
      </c>
      <c r="F35" t="inlineStr">
        <is>
          <t>GÄVLEBORGS LÄN</t>
        </is>
      </c>
      <c r="G35" t="inlineStr">
        <is>
          <t>SÖDERHAMN</t>
        </is>
      </c>
      <c r="I35" t="n">
        <v>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HYPERLINK("https://klasma.github.io/Logging_2182/artfynd/A 9284-2026 artfynd.xlsx", "A 9284-2026")</f>
        <v/>
      </c>
      <c r="W35">
        <f>HYPERLINK("https://klasma.github.io/Logging_2182/kartor/A 9284-2026 karta.png", "A 9284-2026")</f>
        <v/>
      </c>
      <c r="X35">
        <f>HYPERLINK("https://klasma.github.io/Logging_2182/knärot/A 9284-2026 karta knärot.png", "A 9284-2026")</f>
        <v/>
      </c>
      <c r="Y35">
        <f>HYPERLINK("https://klasma.github.io/Logging_2182/klagomål/A 9284-2026 FSC-klagomål.docx", "A 9284-2026")</f>
        <v/>
      </c>
      <c r="Z35">
        <f>HYPERLINK("https://klasma.github.io/Logging_2182/klagomålsmail/A 9284-2026 FSC-klagomål mail.docx", "A 9284-2026")</f>
        <v/>
      </c>
      <c r="AA35">
        <f>HYPERLINK("https://klasma.github.io/Logging_2182/tillsyn/A 9284-2026 tillsynsbegäran.docx", "A 9284-2026")</f>
        <v/>
      </c>
      <c r="AB35">
        <f>HYPERLINK("https://klasma.github.io/Logging_2182/tillsynsmail/A 9284-2026 tillsynsbegäran mail.docx", "A 9284-2026")</f>
        <v/>
      </c>
    </row>
    <row r="36" ht="15" customHeight="1">
      <c r="A36" t="inlineStr">
        <is>
          <t>A 11791-2026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46085</v>
      </c>
      <c r="E36" s="1" t="n">
        <v>46221</v>
      </c>
      <c r="F36" t="inlineStr">
        <is>
          <t>GÄVLEBORGS LÄN</t>
        </is>
      </c>
      <c r="G36" t="inlineStr">
        <is>
          <t>SÖDERHAMN</t>
        </is>
      </c>
      <c r="I36" t="n">
        <v>8.1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Fläcknycklar</t>
        </is>
      </c>
      <c r="V36">
        <f>HYPERLINK("https://klasma.github.io/Logging_2182/artfynd/A 11791-2026 artfynd.xlsx", "A 11791-2026")</f>
        <v/>
      </c>
      <c r="W36">
        <f>HYPERLINK("https://klasma.github.io/Logging_2182/kartor/A 11791-2026 karta.png", "A 11791-2026")</f>
        <v/>
      </c>
      <c r="Y36">
        <f>HYPERLINK("https://klasma.github.io/Logging_2182/klagomål/A 11791-2026 FSC-klagomål.docx", "A 11791-2026")</f>
        <v/>
      </c>
      <c r="Z36">
        <f>HYPERLINK("https://klasma.github.io/Logging_2182/klagomålsmail/A 11791-2026 FSC-klagomål mail.docx", "A 11791-2026")</f>
        <v/>
      </c>
      <c r="AA36">
        <f>HYPERLINK("https://klasma.github.io/Logging_2182/tillsyn/A 11791-2026 tillsynsbegäran.docx", "A 11791-2026")</f>
        <v/>
      </c>
      <c r="AB36">
        <f>HYPERLINK("https://klasma.github.io/Logging_2182/tillsynsmail/A 11791-2026 tillsynsbegäran mail.docx", "A 11791-2026")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46221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HYPERLINK("https://klasma.github.io/Logging_2182/artfynd/A 59848-2025 artfynd.xlsx", "A 59848-2025")</f>
        <v/>
      </c>
      <c r="W37">
        <f>HYPERLINK("https://klasma.github.io/Logging_2182/kartor/A 59848-2025 karta.png", "A 59848-2025")</f>
        <v/>
      </c>
      <c r="Y37">
        <f>HYPERLINK("https://klasma.github.io/Logging_2182/klagomål/A 59848-2025 FSC-klagomål.docx", "A 59848-2025")</f>
        <v/>
      </c>
      <c r="Z37">
        <f>HYPERLINK("https://klasma.github.io/Logging_2182/klagomålsmail/A 59848-2025 FSC-klagomål mail.docx", "A 59848-2025")</f>
        <v/>
      </c>
      <c r="AA37">
        <f>HYPERLINK("https://klasma.github.io/Logging_2182/tillsyn/A 59848-2025 tillsynsbegäran.docx", "A 59848-2025")</f>
        <v/>
      </c>
      <c r="AB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46221</v>
      </c>
      <c r="F38" t="inlineStr">
        <is>
          <t>GÄVLEBORGS LÄN</t>
        </is>
      </c>
      <c r="G38" t="inlineStr">
        <is>
          <t>SÖDERHAMN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Kungsfågel</t>
        </is>
      </c>
      <c r="V38">
        <f>HYPERLINK("https://klasma.github.io/Logging_2182/artfynd/A 60322-2025 artfynd.xlsx", "A 60322-2025")</f>
        <v/>
      </c>
      <c r="W38">
        <f>HYPERLINK("https://klasma.github.io/Logging_2182/kartor/A 60322-2025 karta.png", "A 60322-2025")</f>
        <v/>
      </c>
      <c r="Y38">
        <f>HYPERLINK("https://klasma.github.io/Logging_2182/klagomål/A 60322-2025 FSC-klagomål.docx", "A 60322-2025")</f>
        <v/>
      </c>
      <c r="Z38">
        <f>HYPERLINK("https://klasma.github.io/Logging_2182/klagomålsmail/A 60322-2025 FSC-klagomål mail.docx", "A 60322-2025")</f>
        <v/>
      </c>
      <c r="AA38">
        <f>HYPERLINK("https://klasma.github.io/Logging_2182/tillsyn/A 60322-2025 tillsynsbegäran.docx", "A 60322-2025")</f>
        <v/>
      </c>
      <c r="AB38">
        <f>HYPERLINK("https://klasma.github.io/Logging_2182/tillsynsmail/A 60322-2025 tillsynsbegäran mail.docx", "A 60322-2025")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46221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HYPERLINK("https://klasma.github.io/Logging_2182/artfynd/A 60318-2025 artfynd.xlsx", "A 60318-2025")</f>
        <v/>
      </c>
      <c r="W39">
        <f>HYPERLINK("https://klasma.github.io/Logging_2182/kartor/A 60318-2025 karta.png", "A 60318-2025")</f>
        <v/>
      </c>
      <c r="Y39">
        <f>HYPERLINK("https://klasma.github.io/Logging_2182/klagomål/A 60318-2025 FSC-klagomål.docx", "A 60318-2025")</f>
        <v/>
      </c>
      <c r="Z39">
        <f>HYPERLINK("https://klasma.github.io/Logging_2182/klagomålsmail/A 60318-2025 FSC-klagomål mail.docx", "A 60318-2025")</f>
        <v/>
      </c>
      <c r="AA39">
        <f>HYPERLINK("https://klasma.github.io/Logging_2182/tillsyn/A 60318-2025 tillsynsbegäran.docx", "A 60318-2025")</f>
        <v/>
      </c>
      <c r="AB39">
        <f>HYPERLINK("https://klasma.github.io/Logging_2182/tillsynsmail/A 60318-2025 tillsynsbegäran mail.docx", "A 60318-2025")</f>
        <v/>
      </c>
    </row>
    <row r="40" ht="15" customHeight="1">
      <c r="A40" t="inlineStr">
        <is>
          <t>A 40097-2024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46221</v>
      </c>
      <c r="F40" t="inlineStr">
        <is>
          <t>GÄVLEBORGS LÄN</t>
        </is>
      </c>
      <c r="G40" t="inlineStr">
        <is>
          <t>SÖDERHAMN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Fläcknycklar</t>
        </is>
      </c>
      <c r="V40">
        <f>HYPERLINK("https://klasma.github.io/Logging_2182/artfynd/A 40097-2024 artfynd.xlsx", "A 40097-2024")</f>
        <v/>
      </c>
      <c r="W40">
        <f>HYPERLINK("https://klasma.github.io/Logging_2182/kartor/A 40097-2024 karta.png", "A 40097-2024")</f>
        <v/>
      </c>
      <c r="Y40">
        <f>HYPERLINK("https://klasma.github.io/Logging_2182/klagomål/A 40097-2024 FSC-klagomål.docx", "A 40097-2024")</f>
        <v/>
      </c>
      <c r="Z40">
        <f>HYPERLINK("https://klasma.github.io/Logging_2182/klagomålsmail/A 40097-2024 FSC-klagomål mail.docx", "A 40097-2024")</f>
        <v/>
      </c>
      <c r="AA40">
        <f>HYPERLINK("https://klasma.github.io/Logging_2182/tillsyn/A 40097-2024 tillsynsbegäran.docx", "A 40097-2024")</f>
        <v/>
      </c>
      <c r="AB40">
        <f>HYPERLINK("https://klasma.github.io/Logging_2182/tillsynsmail/A 40097-2024 tillsynsbegäran mail.docx", "A 40097-2024")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46221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Motaggsvamp</t>
        </is>
      </c>
      <c r="V41">
        <f>HYPERLINK("https://klasma.github.io/Logging_2182/artfynd/A 58077-2024 artfynd.xlsx", "A 58077-2024")</f>
        <v/>
      </c>
      <c r="W41">
        <f>HYPERLINK("https://klasma.github.io/Logging_2182/kartor/A 58077-2024 karta.png", "A 58077-2024")</f>
        <v/>
      </c>
      <c r="Y41">
        <f>HYPERLINK("https://klasma.github.io/Logging_2182/klagomål/A 58077-2024 FSC-klagomål.docx", "A 58077-2024")</f>
        <v/>
      </c>
      <c r="Z41">
        <f>HYPERLINK("https://klasma.github.io/Logging_2182/klagomålsmail/A 58077-2024 FSC-klagomål mail.docx", "A 58077-2024")</f>
        <v/>
      </c>
      <c r="AA41">
        <f>HYPERLINK("https://klasma.github.io/Logging_2182/tillsyn/A 58077-2024 tillsynsbegäran.docx", "A 58077-2024")</f>
        <v/>
      </c>
      <c r="AB41">
        <f>HYPERLINK("https://klasma.github.io/Logging_2182/tillsynsmail/A 58077-2024 tillsynsbegäran mail.docx", "A 58077-2024")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46221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HYPERLINK("https://klasma.github.io/Logging_2182/artfynd/A 58261-2024 artfynd.xlsx", "A 58261-2024")</f>
        <v/>
      </c>
      <c r="W42">
        <f>HYPERLINK("https://klasma.github.io/Logging_2182/kartor/A 58261-2024 karta.png", "A 58261-2024")</f>
        <v/>
      </c>
      <c r="Y42">
        <f>HYPERLINK("https://klasma.github.io/Logging_2182/klagomål/A 58261-2024 FSC-klagomål.docx", "A 58261-2024")</f>
        <v/>
      </c>
      <c r="Z42">
        <f>HYPERLINK("https://klasma.github.io/Logging_2182/klagomålsmail/A 58261-2024 FSC-klagomål mail.docx", "A 58261-2024")</f>
        <v/>
      </c>
      <c r="AA42">
        <f>HYPERLINK("https://klasma.github.io/Logging_2182/tillsyn/A 58261-2024 tillsynsbegäran.docx", "A 58261-2024")</f>
        <v/>
      </c>
      <c r="AB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46221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Rosenticka</t>
        </is>
      </c>
      <c r="V43">
        <f>HYPERLINK("https://klasma.github.io/Logging_2182/artfynd/A 41258-2022 artfynd.xlsx", "A 41258-2022")</f>
        <v/>
      </c>
      <c r="W43">
        <f>HYPERLINK("https://klasma.github.io/Logging_2182/kartor/A 41258-2022 karta.png", "A 41258-2022")</f>
        <v/>
      </c>
      <c r="Y43">
        <f>HYPERLINK("https://klasma.github.io/Logging_2182/klagomål/A 41258-2022 FSC-klagomål.docx", "A 41258-2022")</f>
        <v/>
      </c>
      <c r="Z43">
        <f>HYPERLINK("https://klasma.github.io/Logging_2182/klagomålsmail/A 41258-2022 FSC-klagomål mail.docx", "A 41258-2022")</f>
        <v/>
      </c>
      <c r="AA43">
        <f>HYPERLINK("https://klasma.github.io/Logging_2182/tillsyn/A 41258-2022 tillsynsbegäran.docx", "A 41258-2022")</f>
        <v/>
      </c>
      <c r="AB43">
        <f>HYPERLINK("https://klasma.github.io/Logging_2182/tillsynsmail/A 41258-2022 tillsynsbegäran mail.docx", "A 41258-2022")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46221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Sydlig ladlav</t>
        </is>
      </c>
      <c r="V44">
        <f>HYPERLINK("https://klasma.github.io/Logging_2182/artfynd/A 55768-2025 artfynd.xlsx", "A 55768-2025")</f>
        <v/>
      </c>
      <c r="W44">
        <f>HYPERLINK("https://klasma.github.io/Logging_2182/kartor/A 55768-2025 karta.png", "A 55768-2025")</f>
        <v/>
      </c>
      <c r="Y44">
        <f>HYPERLINK("https://klasma.github.io/Logging_2182/klagomål/A 55768-2025 FSC-klagomål.docx", "A 55768-2025")</f>
        <v/>
      </c>
      <c r="Z44">
        <f>HYPERLINK("https://klasma.github.io/Logging_2182/klagomålsmail/A 55768-2025 FSC-klagomål mail.docx", "A 55768-2025")</f>
        <v/>
      </c>
      <c r="AA44">
        <f>HYPERLINK("https://klasma.github.io/Logging_2182/tillsyn/A 55768-2025 tillsynsbegäran.docx", "A 55768-2025")</f>
        <v/>
      </c>
      <c r="AB44">
        <f>HYPERLINK("https://klasma.github.io/Logging_2182/tillsynsmail/A 55768-2025 tillsynsbegäran mail.docx", "A 55768-2025")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46221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Ängsblåvinge</t>
        </is>
      </c>
      <c r="V45">
        <f>HYPERLINK("https://klasma.github.io/Logging_2182/artfynd/A 19700-2023 artfynd.xlsx", "A 19700-2023")</f>
        <v/>
      </c>
      <c r="W45">
        <f>HYPERLINK("https://klasma.github.io/Logging_2182/kartor/A 19700-2023 karta.png", "A 19700-2023")</f>
        <v/>
      </c>
      <c r="Y45">
        <f>HYPERLINK("https://klasma.github.io/Logging_2182/klagomål/A 19700-2023 FSC-klagomål.docx", "A 19700-2023")</f>
        <v/>
      </c>
      <c r="Z45">
        <f>HYPERLINK("https://klasma.github.io/Logging_2182/klagomålsmail/A 19700-2023 FSC-klagomål mail.docx", "A 19700-2023")</f>
        <v/>
      </c>
      <c r="AA45">
        <f>HYPERLINK("https://klasma.github.io/Logging_2182/tillsyn/A 19700-2023 tillsynsbegäran.docx", "A 19700-2023")</f>
        <v/>
      </c>
      <c r="AB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46221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s="2" t="inlineStr">
        <is>
          <t>Fläcknycklar</t>
        </is>
      </c>
      <c r="V46">
        <f>HYPERLINK("https://klasma.github.io/Logging_2182/artfynd/A 2755-2022 artfynd.xlsx", "A 2755-2022")</f>
        <v/>
      </c>
      <c r="W46">
        <f>HYPERLINK("https://klasma.github.io/Logging_2182/kartor/A 2755-2022 karta.png", "A 2755-2022")</f>
        <v/>
      </c>
      <c r="Y46">
        <f>HYPERLINK("https://klasma.github.io/Logging_2182/klagomål/A 2755-2022 FSC-klagomål.docx", "A 2755-2022")</f>
        <v/>
      </c>
      <c r="Z46">
        <f>HYPERLINK("https://klasma.github.io/Logging_2182/klagomålsmail/A 2755-2022 FSC-klagomål mail.docx", "A 2755-2022")</f>
        <v/>
      </c>
      <c r="AA46">
        <f>HYPERLINK("https://klasma.github.io/Logging_2182/tillsyn/A 2755-2022 tillsynsbegäran.docx", "A 2755-2022")</f>
        <v/>
      </c>
      <c r="AB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46221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Doftskinn</t>
        </is>
      </c>
      <c r="V47">
        <f>HYPERLINK("https://klasma.github.io/Logging_2182/artfynd/A 58074-2024 artfynd.xlsx", "A 58074-2024")</f>
        <v/>
      </c>
      <c r="W47">
        <f>HYPERLINK("https://klasma.github.io/Logging_2182/kartor/A 58074-2024 karta.png", "A 58074-2024")</f>
        <v/>
      </c>
      <c r="Y47">
        <f>HYPERLINK("https://klasma.github.io/Logging_2182/klagomål/A 58074-2024 FSC-klagomål.docx", "A 58074-2024")</f>
        <v/>
      </c>
      <c r="Z47">
        <f>HYPERLINK("https://klasma.github.io/Logging_2182/klagomålsmail/A 58074-2024 FSC-klagomål mail.docx", "A 58074-2024")</f>
        <v/>
      </c>
      <c r="AA47">
        <f>HYPERLINK("https://klasma.github.io/Logging_2182/tillsyn/A 58074-2024 tillsynsbegäran.docx", "A 58074-2024")</f>
        <v/>
      </c>
      <c r="AB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46221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Strutbräken</t>
        </is>
      </c>
      <c r="V48">
        <f>HYPERLINK("https://klasma.github.io/Logging_2182/artfynd/A 54608-2024 artfynd.xlsx", "A 54608-2024")</f>
        <v/>
      </c>
      <c r="W48">
        <f>HYPERLINK("https://klasma.github.io/Logging_2182/kartor/A 54608-2024 karta.png", "A 54608-2024")</f>
        <v/>
      </c>
      <c r="Y48">
        <f>HYPERLINK("https://klasma.github.io/Logging_2182/klagomål/A 54608-2024 FSC-klagomål.docx", "A 54608-2024")</f>
        <v/>
      </c>
      <c r="Z48">
        <f>HYPERLINK("https://klasma.github.io/Logging_2182/klagomålsmail/A 54608-2024 FSC-klagomål mail.docx", "A 54608-2024")</f>
        <v/>
      </c>
      <c r="AA48">
        <f>HYPERLINK("https://klasma.github.io/Logging_2182/tillsyn/A 54608-2024 tillsynsbegäran.docx", "A 54608-2024")</f>
        <v/>
      </c>
      <c r="AB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46221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Ullticka</t>
        </is>
      </c>
      <c r="V49">
        <f>HYPERLINK("https://klasma.github.io/Logging_2182/artfynd/A 57441-2024 artfynd.xlsx", "A 57441-2024")</f>
        <v/>
      </c>
      <c r="W49">
        <f>HYPERLINK("https://klasma.github.io/Logging_2182/kartor/A 57441-2024 karta.png", "A 57441-2024")</f>
        <v/>
      </c>
      <c r="Y49">
        <f>HYPERLINK("https://klasma.github.io/Logging_2182/klagomål/A 57441-2024 FSC-klagomål.docx", "A 57441-2024")</f>
        <v/>
      </c>
      <c r="Z49">
        <f>HYPERLINK("https://klasma.github.io/Logging_2182/klagomålsmail/A 57441-2024 FSC-klagomål mail.docx", "A 57441-2024")</f>
        <v/>
      </c>
      <c r="AA49">
        <f>HYPERLINK("https://klasma.github.io/Logging_2182/tillsyn/A 57441-2024 tillsynsbegäran.docx", "A 57441-2024")</f>
        <v/>
      </c>
      <c r="AB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46221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Garnlav</t>
        </is>
      </c>
      <c r="V50">
        <f>HYPERLINK("https://klasma.github.io/Logging_2182/artfynd/A 43682-2024 artfynd.xlsx", "A 43682-2024")</f>
        <v/>
      </c>
      <c r="W50">
        <f>HYPERLINK("https://klasma.github.io/Logging_2182/kartor/A 43682-2024 karta.png", "A 43682-2024")</f>
        <v/>
      </c>
      <c r="Y50">
        <f>HYPERLINK("https://klasma.github.io/Logging_2182/klagomål/A 43682-2024 FSC-klagomål.docx", "A 43682-2024")</f>
        <v/>
      </c>
      <c r="Z50">
        <f>HYPERLINK("https://klasma.github.io/Logging_2182/klagomålsmail/A 43682-2024 FSC-klagomål mail.docx", "A 43682-2024")</f>
        <v/>
      </c>
      <c r="AA50">
        <f>HYPERLINK("https://klasma.github.io/Logging_2182/tillsyn/A 43682-2024 tillsynsbegäran.docx", "A 43682-2024")</f>
        <v/>
      </c>
      <c r="AB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46221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Brunfläckig pärlemorfjäril</t>
        </is>
      </c>
      <c r="V51">
        <f>HYPERLINK("https://klasma.github.io/Logging_2182/artfynd/A 21316-2024 artfynd.xlsx", "A 21316-2024")</f>
        <v/>
      </c>
      <c r="W51">
        <f>HYPERLINK("https://klasma.github.io/Logging_2182/kartor/A 21316-2024 karta.png", "A 21316-2024")</f>
        <v/>
      </c>
      <c r="Y51">
        <f>HYPERLINK("https://klasma.github.io/Logging_2182/klagomål/A 21316-2024 FSC-klagomål.docx", "A 21316-2024")</f>
        <v/>
      </c>
      <c r="Z51">
        <f>HYPERLINK("https://klasma.github.io/Logging_2182/klagomålsmail/A 21316-2024 FSC-klagomål mail.docx", "A 21316-2024")</f>
        <v/>
      </c>
      <c r="AA51">
        <f>HYPERLINK("https://klasma.github.io/Logging_2182/tillsyn/A 21316-2024 tillsynsbegäran.docx", "A 21316-2024")</f>
        <v/>
      </c>
      <c r="AB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46221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HYPERLINK("https://klasma.github.io/Logging_2182/artfynd/S 19-2024 artfynd.xlsx", "S 19-2024")</f>
        <v/>
      </c>
      <c r="W52">
        <f>HYPERLINK("https://klasma.github.io/Logging_2182/kartor/S 19-2024 karta.png", "S 19-2024")</f>
        <v/>
      </c>
      <c r="Y52">
        <f>HYPERLINK("https://klasma.github.io/Logging_2182/klagomål/S 19-2024 FSC-klagomål.docx", "S 19-2024")</f>
        <v/>
      </c>
      <c r="Z52">
        <f>HYPERLINK("https://klasma.github.io/Logging_2182/klagomålsmail/S 19-2024 FSC-klagomål mail.docx", "S 19-2024")</f>
        <v/>
      </c>
      <c r="AA52">
        <f>HYPERLINK("https://klasma.github.io/Logging_2182/tillsyn/S 19-2024 tillsynsbegäran.docx", "S 19-2024")</f>
        <v/>
      </c>
      <c r="AB52">
        <f>HYPERLINK("https://klasma.github.io/Logging_2182/tillsynsmail/S 19-2024 tillsynsbegäran mail.docx", "S 19-2024")</f>
        <v/>
      </c>
      <c r="AC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46221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46221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46221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46221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46221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46221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46221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46221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46221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46221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46221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46221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46221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46221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46221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46221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46221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46221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46221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46221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46221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46221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46221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46221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46221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46221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46221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46221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46221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46221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42549-2024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46221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14029-2023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46221</v>
      </c>
      <c r="F85" t="inlineStr">
        <is>
          <t>GÄVLEBORGS LÄN</t>
        </is>
      </c>
      <c r="G85" t="inlineStr">
        <is>
          <t>SÖDERHAMN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49305-2023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46221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46221</v>
      </c>
      <c r="F87" t="inlineStr">
        <is>
          <t>GÄVLEBORGS LÄN</t>
        </is>
      </c>
      <c r="G87" t="inlineStr">
        <is>
          <t>SÖDERHAMN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46221</v>
      </c>
      <c r="F88" t="inlineStr">
        <is>
          <t>GÄVLEBORGS LÄN</t>
        </is>
      </c>
      <c r="G88" t="inlineStr">
        <is>
          <t>SÖDERHAMN</t>
        </is>
      </c>
      <c r="I88" t="n">
        <v>11.2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46221</v>
      </c>
      <c r="F89" t="inlineStr">
        <is>
          <t>GÄVLEBORGS LÄN</t>
        </is>
      </c>
      <c r="G89" t="inlineStr">
        <is>
          <t>SÖDERHAMN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43395-2023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46221</v>
      </c>
      <c r="F90" t="inlineStr">
        <is>
          <t>GÄVLEBORGS LÄN</t>
        </is>
      </c>
      <c r="G90" t="inlineStr">
        <is>
          <t>SÖDERHAMN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44856</v>
      </c>
      <c r="E91" s="1" t="n">
        <v>46221</v>
      </c>
      <c r="F91" t="inlineStr">
        <is>
          <t>GÄVLEBORGS LÄN</t>
        </is>
      </c>
      <c r="G91" t="inlineStr">
        <is>
          <t>SÖDERHAMN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4557-2024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45327</v>
      </c>
      <c r="E92" s="1" t="n">
        <v>46221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20312-2025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46221</v>
      </c>
      <c r="F93" t="inlineStr">
        <is>
          <t>GÄVLEBORGS LÄN</t>
        </is>
      </c>
      <c r="G93" t="inlineStr">
        <is>
          <t>SÖDERHAMN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45342</v>
      </c>
      <c r="E94" s="1" t="n">
        <v>46221</v>
      </c>
      <c r="F94" t="inlineStr">
        <is>
          <t>GÄVLEBORGS LÄN</t>
        </is>
      </c>
      <c r="G94" t="inlineStr">
        <is>
          <t>SÖDERHAMN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16731-2025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46221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18505-2024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45425</v>
      </c>
      <c r="E96" s="1" t="n">
        <v>46221</v>
      </c>
      <c r="F96" t="inlineStr">
        <is>
          <t>GÄVLEBORGS LÄN</t>
        </is>
      </c>
      <c r="G96" t="inlineStr">
        <is>
          <t>SÖDERHAMN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16196-2025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46221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40577-2022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46221</v>
      </c>
      <c r="F98" t="inlineStr">
        <is>
          <t>GÄVLEBORGS LÄN</t>
        </is>
      </c>
      <c r="G98" t="inlineStr">
        <is>
          <t>SÖDERHAMN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46221</v>
      </c>
      <c r="F99" t="inlineStr">
        <is>
          <t>GÄVLEBORGS LÄN</t>
        </is>
      </c>
      <c r="G99" t="inlineStr">
        <is>
          <t>SÖDERHAMN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19113-2024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45428</v>
      </c>
      <c r="E100" s="1" t="n">
        <v>46221</v>
      </c>
      <c r="F100" t="inlineStr">
        <is>
          <t>GÄVLEBORGS LÄN</t>
        </is>
      </c>
      <c r="G100" t="inlineStr">
        <is>
          <t>SÖDERHAMN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18466-2024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45425</v>
      </c>
      <c r="E101" s="1" t="n">
        <v>46221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59922-2023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46221</v>
      </c>
      <c r="F102" t="inlineStr">
        <is>
          <t>GÄVLEBORGS LÄN</t>
        </is>
      </c>
      <c r="G102" t="inlineStr">
        <is>
          <t>SÖDERHAMN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72644-2021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46221</v>
      </c>
      <c r="F103" t="inlineStr">
        <is>
          <t>GÄVLEBORGS LÄN</t>
        </is>
      </c>
      <c r="G103" t="inlineStr">
        <is>
          <t>SÖDERHAMN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64138-2023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46221</v>
      </c>
      <c r="F104" t="inlineStr">
        <is>
          <t>GÄVLEBORGS LÄN</t>
        </is>
      </c>
      <c r="G104" t="inlineStr">
        <is>
          <t>SÖDERHAMN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46221</v>
      </c>
      <c r="F105" t="inlineStr">
        <is>
          <t>GÄVLEBORGS LÄN</t>
        </is>
      </c>
      <c r="G105" t="inlineStr">
        <is>
          <t>SÖDERHAMN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45467</v>
      </c>
      <c r="E106" s="1" t="n">
        <v>46221</v>
      </c>
      <c r="F106" t="inlineStr">
        <is>
          <t>GÄVLEBORGS LÄN</t>
        </is>
      </c>
      <c r="G106" t="inlineStr">
        <is>
          <t>SÖDERHAMN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46221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38110-2024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46221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38111-2024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46221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21991-2024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46221</v>
      </c>
      <c r="F110" t="inlineStr">
        <is>
          <t>GÄVLEBORGS LÄN</t>
        </is>
      </c>
      <c r="G110" t="inlineStr">
        <is>
          <t>SÖDERHAMN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14498-2023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46221</v>
      </c>
      <c r="F111" t="inlineStr">
        <is>
          <t>GÄVLEBORGS LÄN</t>
        </is>
      </c>
      <c r="G111" t="inlineStr">
        <is>
          <t>SÖDERHAMN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46221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19652-2024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46221</v>
      </c>
      <c r="F113" t="inlineStr">
        <is>
          <t>GÄVLEBORGS LÄN</t>
        </is>
      </c>
      <c r="G113" t="inlineStr">
        <is>
          <t>SÖDERHAMN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27050-2024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45471</v>
      </c>
      <c r="E114" s="1" t="n">
        <v>46221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10.8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57753-2023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46221</v>
      </c>
      <c r="F115" t="inlineStr">
        <is>
          <t>GÄVLEBORGS LÄN</t>
        </is>
      </c>
      <c r="G115" t="inlineStr">
        <is>
          <t>SÖDERHAMN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46221</v>
      </c>
      <c r="F116" t="inlineStr">
        <is>
          <t>GÄVLEBORGS LÄN</t>
        </is>
      </c>
      <c r="G116" t="inlineStr">
        <is>
          <t>SÖDERHAMN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26266-2025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46221</v>
      </c>
      <c r="F117" t="inlineStr">
        <is>
          <t>GÄVLEBORGS LÄN</t>
        </is>
      </c>
      <c r="G117" t="inlineStr">
        <is>
          <t>SÖDERHAMN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46221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38079-2024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45545</v>
      </c>
      <c r="E119" s="1" t="n">
        <v>46221</v>
      </c>
      <c r="F119" t="inlineStr">
        <is>
          <t>GÄVLEBORGS LÄN</t>
        </is>
      </c>
      <c r="G119" t="inlineStr">
        <is>
          <t>SÖDERHAMN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57814-2022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44897</v>
      </c>
      <c r="E120" s="1" t="n">
        <v>46221</v>
      </c>
      <c r="F120" t="inlineStr">
        <is>
          <t>GÄVLEBORGS LÄN</t>
        </is>
      </c>
      <c r="G120" t="inlineStr">
        <is>
          <t>SÖDERHAMN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54799-2022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44883</v>
      </c>
      <c r="E121" s="1" t="n">
        <v>46221</v>
      </c>
      <c r="F121" t="inlineStr">
        <is>
          <t>GÄVLEBORGS LÄN</t>
        </is>
      </c>
      <c r="G121" t="inlineStr">
        <is>
          <t>SÖDERHAMN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45476</v>
      </c>
      <c r="E122" s="1" t="n">
        <v>46221</v>
      </c>
      <c r="F122" t="inlineStr">
        <is>
          <t>GÄVLEBORGS LÄN</t>
        </is>
      </c>
      <c r="G122" t="inlineStr">
        <is>
          <t>SÖDERHAMN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62903-2023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46221</v>
      </c>
      <c r="F123" t="inlineStr">
        <is>
          <t>GÄVLEBORGS LÄN</t>
        </is>
      </c>
      <c r="G123" t="inlineStr">
        <is>
          <t>SÖDERHAMN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46041</v>
      </c>
      <c r="E124" s="1" t="n">
        <v>46221</v>
      </c>
      <c r="F124" t="inlineStr">
        <is>
          <t>GÄVLEBORGS LÄN</t>
        </is>
      </c>
      <c r="G124" t="inlineStr">
        <is>
          <t>SÖDERHAMN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42902-2024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45566</v>
      </c>
      <c r="E125" s="1" t="n">
        <v>46221</v>
      </c>
      <c r="F125" t="inlineStr">
        <is>
          <t>GÄVLEBORGS LÄN</t>
        </is>
      </c>
      <c r="G125" t="inlineStr">
        <is>
          <t>SÖDERHAMN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46221</v>
      </c>
      <c r="F126" t="inlineStr">
        <is>
          <t>GÄVLEBORGS LÄN</t>
        </is>
      </c>
      <c r="G126" t="inlineStr">
        <is>
          <t>SÖDERHAMN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46043</v>
      </c>
      <c r="E127" s="1" t="n">
        <v>46221</v>
      </c>
      <c r="F127" t="inlineStr">
        <is>
          <t>GÄVLEBORGS LÄN</t>
        </is>
      </c>
      <c r="G127" t="inlineStr">
        <is>
          <t>SÖDERHAMN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46221</v>
      </c>
      <c r="F128" t="inlineStr">
        <is>
          <t>GÄVLEBORGS LÄN</t>
        </is>
      </c>
      <c r="G128" t="inlineStr">
        <is>
          <t>SÖDERHAMN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25029-2025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46221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46221</v>
      </c>
      <c r="F130" t="inlineStr">
        <is>
          <t>GÄVLEBORGS LÄN</t>
        </is>
      </c>
      <c r="G130" t="inlineStr">
        <is>
          <t>SÖDERHAMN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18466-2025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45762</v>
      </c>
      <c r="E131" s="1" t="n">
        <v>46221</v>
      </c>
      <c r="F131" t="inlineStr">
        <is>
          <t>GÄVLEBORGS LÄN</t>
        </is>
      </c>
      <c r="G131" t="inlineStr">
        <is>
          <t>SÖDERHAMN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46043</v>
      </c>
      <c r="E132" s="1" t="n">
        <v>46221</v>
      </c>
      <c r="F132" t="inlineStr">
        <is>
          <t>GÄVLEBORGS LÄN</t>
        </is>
      </c>
      <c r="G132" t="inlineStr">
        <is>
          <t>SÖDERHAMN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51553-2024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46221</v>
      </c>
      <c r="F133" t="inlineStr">
        <is>
          <t>GÄVLEBORGS LÄN</t>
        </is>
      </c>
      <c r="G133" t="inlineStr">
        <is>
          <t>SÖDERHAMN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38537-2025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46221</v>
      </c>
      <c r="F134" t="inlineStr">
        <is>
          <t>GÄVLEBORGS LÄN</t>
        </is>
      </c>
      <c r="G134" t="inlineStr">
        <is>
          <t>SÖDERHAMN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46221</v>
      </c>
      <c r="F135" t="inlineStr">
        <is>
          <t>GÄVLEBORGS LÄN</t>
        </is>
      </c>
      <c r="G135" t="inlineStr">
        <is>
          <t>SÖDERHAMN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39471-2025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46221</v>
      </c>
      <c r="F136" t="inlineStr">
        <is>
          <t>GÄVLEBORGS LÄN</t>
        </is>
      </c>
      <c r="G136" t="inlineStr">
        <is>
          <t>SÖDERHAMN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44582</v>
      </c>
      <c r="E137" s="1" t="n">
        <v>46221</v>
      </c>
      <c r="F137" t="inlineStr">
        <is>
          <t>GÄVLEBORGS LÄN</t>
        </is>
      </c>
      <c r="G137" t="inlineStr">
        <is>
          <t>SÖDERHAMN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46221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46221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29036-2025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46221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1458-2023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44937</v>
      </c>
      <c r="E141" s="1" t="n">
        <v>46221</v>
      </c>
      <c r="F141" t="inlineStr">
        <is>
          <t>GÄVLEBORGS LÄN</t>
        </is>
      </c>
      <c r="G141" t="inlineStr">
        <is>
          <t>SÖDERHAMN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46221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46221</v>
      </c>
      <c r="F143" t="inlineStr">
        <is>
          <t>GÄVLEBORGS LÄN</t>
        </is>
      </c>
      <c r="G143" t="inlineStr">
        <is>
          <t>SÖDERHAMN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29456-2025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46221</v>
      </c>
      <c r="F144" t="inlineStr">
        <is>
          <t>GÄVLEBORGS LÄN</t>
        </is>
      </c>
      <c r="G144" t="inlineStr">
        <is>
          <t>SÖDERHAMN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51458-2022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44869</v>
      </c>
      <c r="E145" s="1" t="n">
        <v>46221</v>
      </c>
      <c r="F145" t="inlineStr">
        <is>
          <t>GÄVLEBORGS LÄN</t>
        </is>
      </c>
      <c r="G145" t="inlineStr">
        <is>
          <t>SÖDERHAMN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29802-2023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45107</v>
      </c>
      <c r="E146" s="1" t="n">
        <v>46221</v>
      </c>
      <c r="F146" t="inlineStr">
        <is>
          <t>GÄVLEBORGS LÄN</t>
        </is>
      </c>
      <c r="G146" t="inlineStr">
        <is>
          <t>SÖDERHAMN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46221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46221</v>
      </c>
      <c r="F148" t="inlineStr">
        <is>
          <t>GÄVLEBORGS LÄN</t>
        </is>
      </c>
      <c r="G148" t="inlineStr">
        <is>
          <t>SÖDERHAMN</t>
        </is>
      </c>
      <c r="I148" t="n">
        <v>12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46221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46221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46221</v>
      </c>
      <c r="F151" t="inlineStr">
        <is>
          <t>GÄVLEBORGS LÄN</t>
        </is>
      </c>
      <c r="G151" t="inlineStr">
        <is>
          <t>SÖDERHAMN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60698-2023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46221</v>
      </c>
      <c r="F152" t="inlineStr">
        <is>
          <t>GÄVLEBORGS LÄN</t>
        </is>
      </c>
      <c r="G152" t="inlineStr">
        <is>
          <t>SÖDERHAMN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40575-2025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46221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41225-2025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46221</v>
      </c>
      <c r="F154" t="inlineStr">
        <is>
          <t>GÄVLEBORGS LÄN</t>
        </is>
      </c>
      <c r="G154" t="inlineStr">
        <is>
          <t>SÖDERHAMN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46221</v>
      </c>
      <c r="F155" t="inlineStr">
        <is>
          <t>GÄVLEBORGS LÄN</t>
        </is>
      </c>
      <c r="G155" t="inlineStr">
        <is>
          <t>SÖDERHAMN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50268-2024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46221</v>
      </c>
      <c r="F156" t="inlineStr">
        <is>
          <t>GÄVLEBORGS LÄN</t>
        </is>
      </c>
      <c r="G156" t="inlineStr">
        <is>
          <t>SÖDERHAMN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18459-2025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46221</v>
      </c>
      <c r="F157" t="inlineStr">
        <is>
          <t>GÄVLEBORGS LÄN</t>
        </is>
      </c>
      <c r="G157" t="inlineStr">
        <is>
          <t>SÖDERHAMN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41351-2025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45899</v>
      </c>
      <c r="E158" s="1" t="n">
        <v>46221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46221</v>
      </c>
      <c r="F159" t="inlineStr">
        <is>
          <t>GÄVLEBORGS LÄN</t>
        </is>
      </c>
      <c r="G159" t="inlineStr">
        <is>
          <t>SÖDERHAMN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46221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42497-2025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46221</v>
      </c>
      <c r="F161" t="inlineStr">
        <is>
          <t>GÄVLEBORGS LÄN</t>
        </is>
      </c>
      <c r="G161" t="inlineStr">
        <is>
          <t>SÖDERHAMN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46221</v>
      </c>
      <c r="F162" t="inlineStr">
        <is>
          <t>GÄVLEBORGS LÄN</t>
        </is>
      </c>
      <c r="G162" t="inlineStr">
        <is>
          <t>SÖDERHAMN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46221</v>
      </c>
      <c r="F163" t="inlineStr">
        <is>
          <t>GÄVLEBORGS LÄN</t>
        </is>
      </c>
      <c r="G163" t="inlineStr">
        <is>
          <t>SÖDERHAMN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14850-2024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46221</v>
      </c>
      <c r="F164" t="inlineStr">
        <is>
          <t>GÄVLEBORGS LÄN</t>
        </is>
      </c>
      <c r="G164" t="inlineStr">
        <is>
          <t>SÖDERHAMN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46221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34752-2024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45526</v>
      </c>
      <c r="E166" s="1" t="n">
        <v>46221</v>
      </c>
      <c r="F166" t="inlineStr">
        <is>
          <t>GÄVLEBORGS LÄN</t>
        </is>
      </c>
      <c r="G166" t="inlineStr">
        <is>
          <t>SÖDERHAMN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26930-2023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46221</v>
      </c>
      <c r="F167" t="inlineStr">
        <is>
          <t>GÄVLEBORGS LÄN</t>
        </is>
      </c>
      <c r="G167" t="inlineStr">
        <is>
          <t>SÖDERHAMN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58610-2023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46221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46221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46221</v>
      </c>
      <c r="F170" t="inlineStr">
        <is>
          <t>GÄVLEBORGS LÄN</t>
        </is>
      </c>
      <c r="G170" t="inlineStr">
        <is>
          <t>SÖDERHAMN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46221</v>
      </c>
      <c r="F171" t="inlineStr">
        <is>
          <t>GÄVLEBORGS LÄN</t>
        </is>
      </c>
      <c r="G171" t="inlineStr">
        <is>
          <t>SÖDERHAMN</t>
        </is>
      </c>
      <c r="I171" t="n">
        <v>14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28062-2025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46221</v>
      </c>
      <c r="F172" t="inlineStr">
        <is>
          <t>GÄVLEBORGS LÄN</t>
        </is>
      </c>
      <c r="G172" t="inlineStr">
        <is>
          <t>SÖDERHAMN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46221</v>
      </c>
      <c r="F173" t="inlineStr">
        <is>
          <t>GÄVLEBORGS LÄN</t>
        </is>
      </c>
      <c r="G173" t="inlineStr">
        <is>
          <t>SÖDERHAMN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34669-2025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46221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34525-2025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46221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34662-2025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46221</v>
      </c>
      <c r="F176" t="inlineStr">
        <is>
          <t>GÄVLEBORGS LÄN</t>
        </is>
      </c>
      <c r="G176" t="inlineStr">
        <is>
          <t>SÖDERHAMN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46221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4563-2023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44956</v>
      </c>
      <c r="E178" s="1" t="n">
        <v>46221</v>
      </c>
      <c r="F178" t="inlineStr">
        <is>
          <t>GÄVLEBORGS LÄN</t>
        </is>
      </c>
      <c r="G178" t="inlineStr">
        <is>
          <t>SÖDERHAMN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47057-2025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46221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18800-2024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46221</v>
      </c>
      <c r="F180" t="inlineStr">
        <is>
          <t>GÄVLEBORGS LÄN</t>
        </is>
      </c>
      <c r="G180" t="inlineStr">
        <is>
          <t>SÖDERHAMN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46221</v>
      </c>
      <c r="F181" t="inlineStr">
        <is>
          <t>GÄVLEBORGS LÄN</t>
        </is>
      </c>
      <c r="G181" t="inlineStr">
        <is>
          <t>SÖDERHAMN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44703-2024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45574</v>
      </c>
      <c r="E182" s="1" t="n">
        <v>46221</v>
      </c>
      <c r="F182" t="inlineStr">
        <is>
          <t>GÄVLEBORGS LÄN</t>
        </is>
      </c>
      <c r="G182" t="inlineStr">
        <is>
          <t>SÖDERHAMN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47100-2025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46221</v>
      </c>
      <c r="F183" t="inlineStr">
        <is>
          <t>GÄVLEBORGS LÄN</t>
        </is>
      </c>
      <c r="G183" t="inlineStr">
        <is>
          <t>SÖDERHAMN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52518-2024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45609</v>
      </c>
      <c r="E184" s="1" t="n">
        <v>46221</v>
      </c>
      <c r="F184" t="inlineStr">
        <is>
          <t>GÄVLEBORGS LÄN</t>
        </is>
      </c>
      <c r="G184" t="inlineStr">
        <is>
          <t>SÖDERHAMN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52519-2024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46221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55240-2024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45621</v>
      </c>
      <c r="E186" s="1" t="n">
        <v>46221</v>
      </c>
      <c r="F186" t="inlineStr">
        <is>
          <t>GÄVLEBORGS LÄN</t>
        </is>
      </c>
      <c r="G186" t="inlineStr">
        <is>
          <t>SÖDERHAMN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49959-2024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46221</v>
      </c>
      <c r="F187" t="inlineStr">
        <is>
          <t>GÄVLEBORGS LÄN</t>
        </is>
      </c>
      <c r="G187" t="inlineStr">
        <is>
          <t>SÖDERHAMN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44460</v>
      </c>
      <c r="E188" s="1" t="n">
        <v>46221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46221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35961-2025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45863</v>
      </c>
      <c r="E190" s="1" t="n">
        <v>46221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27028-2025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46221</v>
      </c>
      <c r="F191" t="inlineStr">
        <is>
          <t>GÄVLEBORGS LÄN</t>
        </is>
      </c>
      <c r="G191" t="inlineStr">
        <is>
          <t>SÖDERHAMN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46221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46221</v>
      </c>
      <c r="F193" t="inlineStr">
        <is>
          <t>GÄVLEBORGS LÄN</t>
        </is>
      </c>
      <c r="G193" t="inlineStr">
        <is>
          <t>SÖDERHAMN</t>
        </is>
      </c>
      <c r="H193" t="inlineStr">
        <is>
          <t>Övriga statliga verk och myndigheter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46221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16750-2025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46221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49532-2025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46221</v>
      </c>
      <c r="F196" t="inlineStr">
        <is>
          <t>GÄVLEBORGS LÄN</t>
        </is>
      </c>
      <c r="G196" t="inlineStr">
        <is>
          <t>SÖDERHAMN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39208-2024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45548</v>
      </c>
      <c r="E197" s="1" t="n">
        <v>46221</v>
      </c>
      <c r="F197" t="inlineStr">
        <is>
          <t>GÄVLEBORGS LÄN</t>
        </is>
      </c>
      <c r="G197" t="inlineStr">
        <is>
          <t>SÖDERHAMN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50246-2025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45944</v>
      </c>
      <c r="E198" s="1" t="n">
        <v>46221</v>
      </c>
      <c r="F198" t="inlineStr">
        <is>
          <t>GÄVLEBORGS LÄN</t>
        </is>
      </c>
      <c r="G198" t="inlineStr">
        <is>
          <t>SÖDERHAMN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46221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45879</v>
      </c>
      <c r="E200" s="1" t="n">
        <v>46221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37538-2025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45879</v>
      </c>
      <c r="E201" s="1" t="n">
        <v>46221</v>
      </c>
      <c r="F201" t="inlineStr">
        <is>
          <t>GÄVLEBORGS LÄN</t>
        </is>
      </c>
      <c r="G201" t="inlineStr">
        <is>
          <t>SÖDERHAMN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29084-2025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46221</v>
      </c>
      <c r="F202" t="inlineStr">
        <is>
          <t>GÄVLEBORGS LÄN</t>
        </is>
      </c>
      <c r="G202" t="inlineStr">
        <is>
          <t>SÖDERHAMN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7605-2026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46221</v>
      </c>
      <c r="F203" t="inlineStr">
        <is>
          <t>GÄVLEBORGS LÄN</t>
        </is>
      </c>
      <c r="G203" t="inlineStr">
        <is>
          <t>SÖDERHAMN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58099-2024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45632</v>
      </c>
      <c r="E204" s="1" t="n">
        <v>46221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13805-2022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46221</v>
      </c>
      <c r="F205" t="inlineStr">
        <is>
          <t>GÄVLEBORGS LÄN</t>
        </is>
      </c>
      <c r="G205" t="inlineStr">
        <is>
          <t>SÖDERHAMN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7837-2026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46221</v>
      </c>
      <c r="F206" t="inlineStr">
        <is>
          <t>GÄVLEBORGS LÄN</t>
        </is>
      </c>
      <c r="G206" t="inlineStr">
        <is>
          <t>SÖDERHAMN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30208-2022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44757</v>
      </c>
      <c r="E207" s="1" t="n">
        <v>46221</v>
      </c>
      <c r="F207" t="inlineStr">
        <is>
          <t>GÄVLEBORGS LÄN</t>
        </is>
      </c>
      <c r="G207" t="inlineStr">
        <is>
          <t>SÖDERHAMN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7608-2026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46221</v>
      </c>
      <c r="F208" t="inlineStr">
        <is>
          <t>GÄVLEBORGS LÄN</t>
        </is>
      </c>
      <c r="G208" t="inlineStr">
        <is>
          <t>SÖDERHAMN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7742-2026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46221</v>
      </c>
      <c r="F209" t="inlineStr">
        <is>
          <t>GÄVLEBORGS LÄN</t>
        </is>
      </c>
      <c r="G209" t="inlineStr">
        <is>
          <t>SÖDERHAMN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44795</v>
      </c>
      <c r="E210" s="1" t="n">
        <v>46221</v>
      </c>
      <c r="F210" t="inlineStr">
        <is>
          <t>GÄVLEBORGS LÄN</t>
        </is>
      </c>
      <c r="G210" t="inlineStr">
        <is>
          <t>SÖDERHAMN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7891-2026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46063</v>
      </c>
      <c r="E211" s="1" t="n">
        <v>46221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7893-2026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46221</v>
      </c>
      <c r="F212" t="inlineStr">
        <is>
          <t>GÄVLEBORGS LÄN</t>
        </is>
      </c>
      <c r="G212" t="inlineStr">
        <is>
          <t>SÖDERHAMN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7882-2026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46221</v>
      </c>
      <c r="F213" t="inlineStr">
        <is>
          <t>GÄVLEBORGS LÄN</t>
        </is>
      </c>
      <c r="G213" t="inlineStr">
        <is>
          <t>SÖDERHAMN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7889-2026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46221</v>
      </c>
      <c r="F214" t="inlineStr">
        <is>
          <t>GÄVLEBORGS LÄN</t>
        </is>
      </c>
      <c r="G214" t="inlineStr">
        <is>
          <t>SÖDERHAMN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52494-2025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46221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46221</v>
      </c>
      <c r="F216" t="inlineStr">
        <is>
          <t>GÄVLEBORGS LÄN</t>
        </is>
      </c>
      <c r="G216" t="inlineStr">
        <is>
          <t>SÖDERHAMN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8715-2026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46221</v>
      </c>
      <c r="F217" t="inlineStr">
        <is>
          <t>GÄVLEBORGS LÄN</t>
        </is>
      </c>
      <c r="G217" t="inlineStr">
        <is>
          <t>SÖDERHAMN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8709-2026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46221</v>
      </c>
      <c r="F218" t="inlineStr">
        <is>
          <t>GÄVLEBORGS LÄN</t>
        </is>
      </c>
      <c r="G218" t="inlineStr">
        <is>
          <t>SÖDERHAMN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45666</v>
      </c>
      <c r="E219" s="1" t="n">
        <v>46221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8651-2026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46221</v>
      </c>
      <c r="F220" t="inlineStr">
        <is>
          <t>GÄVLEBORGS LÄN</t>
        </is>
      </c>
      <c r="G220" t="inlineStr">
        <is>
          <t>SÖDERHAMN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46221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10763-2025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46221</v>
      </c>
      <c r="F222" t="inlineStr">
        <is>
          <t>GÄVLEBORGS LÄN</t>
        </is>
      </c>
      <c r="G222" t="inlineStr">
        <is>
          <t>SÖDERHAMN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8943-2026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46221</v>
      </c>
      <c r="F223" t="inlineStr">
        <is>
          <t>GÄVLEBORGS LÄN</t>
        </is>
      </c>
      <c r="G223" t="inlineStr">
        <is>
          <t>SÖDERHAMN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52886-2025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46221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53628-2025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46221</v>
      </c>
      <c r="F225" t="inlineStr">
        <is>
          <t>GÄVLEBORGS LÄN</t>
        </is>
      </c>
      <c r="G225" t="inlineStr">
        <is>
          <t>SÖDERHAMN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9176-2026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46221</v>
      </c>
      <c r="F226" t="inlineStr">
        <is>
          <t>GÄVLEBORGS LÄN</t>
        </is>
      </c>
      <c r="G226" t="inlineStr">
        <is>
          <t>SÖDERHAMN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18902-2025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46221</v>
      </c>
      <c r="F227" t="inlineStr">
        <is>
          <t>GÄVLEBORGS LÄN</t>
        </is>
      </c>
      <c r="G227" t="inlineStr">
        <is>
          <t>SÖDERHAMN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57500-2023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45246</v>
      </c>
      <c r="E228" s="1" t="n">
        <v>46221</v>
      </c>
      <c r="F228" t="inlineStr">
        <is>
          <t>GÄVLEBORGS LÄN</t>
        </is>
      </c>
      <c r="G228" t="inlineStr">
        <is>
          <t>SÖDERHAMN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8944-2026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46221</v>
      </c>
      <c r="F229" t="inlineStr">
        <is>
          <t>GÄVLEBORGS LÄN</t>
        </is>
      </c>
      <c r="G229" t="inlineStr">
        <is>
          <t>SÖDERHAMN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46221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46221</v>
      </c>
      <c r="F231" t="inlineStr">
        <is>
          <t>GÄVLEBORGS LÄN</t>
        </is>
      </c>
      <c r="G231" t="inlineStr">
        <is>
          <t>SÖDERHAMN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51292-2023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46221</v>
      </c>
      <c r="F232" t="inlineStr">
        <is>
          <t>GÄVLEBORGS LÄN</t>
        </is>
      </c>
      <c r="G232" t="inlineStr">
        <is>
          <t>SÖDERHAMN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46221</v>
      </c>
      <c r="F233" t="inlineStr">
        <is>
          <t>GÄVLEBORGS LÄN</t>
        </is>
      </c>
      <c r="G233" t="inlineStr">
        <is>
          <t>SÖDERHAMN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53731-2025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46221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43723-2022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44837</v>
      </c>
      <c r="E235" s="1" t="n">
        <v>46221</v>
      </c>
      <c r="F235" t="inlineStr">
        <is>
          <t>GÄVLEBORGS LÄN</t>
        </is>
      </c>
      <c r="G235" t="inlineStr">
        <is>
          <t>SÖDERHAMN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54266-2025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46221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7533-2025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46221</v>
      </c>
      <c r="F237" t="inlineStr">
        <is>
          <t>GÄVLEBORGS LÄN</t>
        </is>
      </c>
      <c r="G237" t="inlineStr">
        <is>
          <t>SÖDERHAMN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10135-2026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46221</v>
      </c>
      <c r="F238" t="inlineStr">
        <is>
          <t>GÄVLEBORGS LÄN</t>
        </is>
      </c>
      <c r="G238" t="inlineStr">
        <is>
          <t>SÖDERHAMN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10137-2026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46221</v>
      </c>
      <c r="F239" t="inlineStr">
        <is>
          <t>GÄVLEBORGS LÄN</t>
        </is>
      </c>
      <c r="G239" t="inlineStr">
        <is>
          <t>SÖDERHAMN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46221</v>
      </c>
      <c r="F240" t="inlineStr">
        <is>
          <t>GÄVLEBORGS LÄN</t>
        </is>
      </c>
      <c r="G240" t="inlineStr">
        <is>
          <t>SÖDERHAMN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26554-2022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44739</v>
      </c>
      <c r="E241" s="1" t="n">
        <v>46221</v>
      </c>
      <c r="F241" t="inlineStr">
        <is>
          <t>GÄVLEBORGS LÄN</t>
        </is>
      </c>
      <c r="G241" t="inlineStr">
        <is>
          <t>SÖDERHAMN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15881-2025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46221</v>
      </c>
      <c r="F242" t="inlineStr">
        <is>
          <t>GÄVLEBORGS LÄN</t>
        </is>
      </c>
      <c r="G242" t="inlineStr">
        <is>
          <t>SÖDERHAMN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54656-2025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46221</v>
      </c>
      <c r="F243" t="inlineStr">
        <is>
          <t>GÄVLEBORGS LÄN</t>
        </is>
      </c>
      <c r="G243" t="inlineStr">
        <is>
          <t>SÖDERHAMN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54685-2025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46221</v>
      </c>
      <c r="F244" t="inlineStr">
        <is>
          <t>GÄVLEBORGS LÄN</t>
        </is>
      </c>
      <c r="G244" t="inlineStr">
        <is>
          <t>SÖDERHAMN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40811-2022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44824</v>
      </c>
      <c r="E245" s="1" t="n">
        <v>46221</v>
      </c>
      <c r="F245" t="inlineStr">
        <is>
          <t>GÄVLEBORGS LÄN</t>
        </is>
      </c>
      <c r="G245" t="inlineStr">
        <is>
          <t>SÖDERHAMN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54650-2025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46221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9921-2026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46073</v>
      </c>
      <c r="E247" s="1" t="n">
        <v>46221</v>
      </c>
      <c r="F247" t="inlineStr">
        <is>
          <t>GÄVLEBORGS LÄN</t>
        </is>
      </c>
      <c r="G247" t="inlineStr">
        <is>
          <t>SÖDERHAMN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46221</v>
      </c>
      <c r="F248" t="inlineStr">
        <is>
          <t>GÄVLEBORGS LÄN</t>
        </is>
      </c>
      <c r="G248" t="inlineStr">
        <is>
          <t>SÖDERHAMN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55058-2025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46221</v>
      </c>
      <c r="F249" t="inlineStr">
        <is>
          <t>GÄVLEBORGS LÄN</t>
        </is>
      </c>
      <c r="G249" t="inlineStr">
        <is>
          <t>SÖDERHAMN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10345-2026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46221</v>
      </c>
      <c r="F250" t="inlineStr">
        <is>
          <t>GÄVLEBORGS LÄN</t>
        </is>
      </c>
      <c r="G250" t="inlineStr">
        <is>
          <t>SÖDERHAMN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18431-2025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46221</v>
      </c>
      <c r="F251" t="inlineStr">
        <is>
          <t>GÄVLEBORGS LÄN</t>
        </is>
      </c>
      <c r="G251" t="inlineStr">
        <is>
          <t>SÖDERHAMN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10483-2026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46077</v>
      </c>
      <c r="E252" s="1" t="n">
        <v>46221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54995-2025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46221</v>
      </c>
      <c r="F253" t="inlineStr">
        <is>
          <t>GÄVLEBORGS LÄN</t>
        </is>
      </c>
      <c r="G253" t="inlineStr">
        <is>
          <t>SÖDERHAMN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46221</v>
      </c>
      <c r="F254" t="inlineStr">
        <is>
          <t>GÄVLEBORGS LÄN</t>
        </is>
      </c>
      <c r="G254" t="inlineStr">
        <is>
          <t>SÖDERHAMN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55711-2025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45972</v>
      </c>
      <c r="E255" s="1" t="n">
        <v>46221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55401-2025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46221</v>
      </c>
      <c r="F256" t="inlineStr">
        <is>
          <t>GÄVLEBORGS LÄN</t>
        </is>
      </c>
      <c r="G256" t="inlineStr">
        <is>
          <t>SÖDERHAMN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45677</v>
      </c>
      <c r="E257" s="1" t="n">
        <v>46221</v>
      </c>
      <c r="F257" t="inlineStr">
        <is>
          <t>GÄVLEBORGS LÄN</t>
        </is>
      </c>
      <c r="G257" t="inlineStr">
        <is>
          <t>SÖDERHAMN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55730-2025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46221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56500-2023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46221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40745-2023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45170</v>
      </c>
      <c r="E260" s="1" t="n">
        <v>46221</v>
      </c>
      <c r="F260" t="inlineStr">
        <is>
          <t>GÄVLEBORGS LÄN</t>
        </is>
      </c>
      <c r="G260" t="inlineStr">
        <is>
          <t>SÖDERHAMN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11046-2026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46221</v>
      </c>
      <c r="F261" t="inlineStr">
        <is>
          <t>GÄVLEBORGS LÄN</t>
        </is>
      </c>
      <c r="G261" t="inlineStr">
        <is>
          <t>SÖDERHAMN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46221</v>
      </c>
      <c r="F262" t="inlineStr">
        <is>
          <t>GÄVLEBORGS LÄN</t>
        </is>
      </c>
      <c r="G262" t="inlineStr">
        <is>
          <t>SÖDERHAMN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40736-2021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44420</v>
      </c>
      <c r="E263" s="1" t="n">
        <v>46221</v>
      </c>
      <c r="F263" t="inlineStr">
        <is>
          <t>GÄVLEBORGS LÄN</t>
        </is>
      </c>
      <c r="G263" t="inlineStr">
        <is>
          <t>SÖDERHAMN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56946-2025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46221</v>
      </c>
      <c r="F264" t="inlineStr">
        <is>
          <t>GÄVLEBORGS LÄN</t>
        </is>
      </c>
      <c r="G264" t="inlineStr">
        <is>
          <t>SÖDERHAMN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56949-2025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46221</v>
      </c>
      <c r="F265" t="inlineStr">
        <is>
          <t>GÄVLEBORGS LÄN</t>
        </is>
      </c>
      <c r="G265" t="inlineStr">
        <is>
          <t>SÖDERHAMN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53918-2025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45961</v>
      </c>
      <c r="E266" s="1" t="n">
        <v>46221</v>
      </c>
      <c r="F266" t="inlineStr">
        <is>
          <t>GÄVLEBORGS LÄN</t>
        </is>
      </c>
      <c r="G266" t="inlineStr">
        <is>
          <t>SÖDERHAMN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56608-2025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46221</v>
      </c>
      <c r="F267" t="inlineStr">
        <is>
          <t>GÄVLEBORGS LÄN</t>
        </is>
      </c>
      <c r="G267" t="inlineStr">
        <is>
          <t>SÖDERHAMN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56945-2025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46221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46221</v>
      </c>
      <c r="F269" t="inlineStr">
        <is>
          <t>GÄVLEBORGS LÄN</t>
        </is>
      </c>
      <c r="G269" t="inlineStr">
        <is>
          <t>SÖDERHAMN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46221</v>
      </c>
      <c r="F270" t="inlineStr">
        <is>
          <t>GÄVLEBORGS LÄN</t>
        </is>
      </c>
      <c r="G270" t="inlineStr">
        <is>
          <t>SÖDERHAMN</t>
        </is>
      </c>
      <c r="H270" t="inlineStr">
        <is>
          <t>Kommuner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57175-2025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46221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11620-2026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46221</v>
      </c>
      <c r="F272" t="inlineStr">
        <is>
          <t>GÄVLEBORGS LÄN</t>
        </is>
      </c>
      <c r="G272" t="inlineStr">
        <is>
          <t>SÖDERHAMN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46221</v>
      </c>
      <c r="F273" t="inlineStr">
        <is>
          <t>GÄVLEBORGS LÄN</t>
        </is>
      </c>
      <c r="G273" t="inlineStr">
        <is>
          <t>SÖDERHAMN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46221</v>
      </c>
      <c r="F274" t="inlineStr">
        <is>
          <t>GÄVLEBORGS LÄN</t>
        </is>
      </c>
      <c r="G274" t="inlineStr">
        <is>
          <t>SÖDERHAMN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11794-2026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46221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46221</v>
      </c>
      <c r="F276" t="inlineStr">
        <is>
          <t>GÄVLEBORGS LÄN</t>
        </is>
      </c>
      <c r="G276" t="inlineStr">
        <is>
          <t>SÖDERHAMN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11793-2026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46221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11795-2026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46221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12204-2026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46221</v>
      </c>
      <c r="F279" t="inlineStr">
        <is>
          <t>GÄVLEBORGS LÄN</t>
        </is>
      </c>
      <c r="G279" t="inlineStr">
        <is>
          <t>SÖDERHAMN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12063-2026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46086</v>
      </c>
      <c r="E280" s="1" t="n">
        <v>46221</v>
      </c>
      <c r="F280" t="inlineStr">
        <is>
          <t>GÄVLEBORGS LÄN</t>
        </is>
      </c>
      <c r="G280" t="inlineStr">
        <is>
          <t>SÖDERHAMN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58215-2025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46221</v>
      </c>
      <c r="F281" t="inlineStr">
        <is>
          <t>GÄVLEBORGS LÄN</t>
        </is>
      </c>
      <c r="G281" t="inlineStr">
        <is>
          <t>SÖDERHAMN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58499-2025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46221</v>
      </c>
      <c r="F282" t="inlineStr">
        <is>
          <t>GÄVLEBORGS LÄN</t>
        </is>
      </c>
      <c r="G282" t="inlineStr">
        <is>
          <t>SÖDERHAMN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58502-2025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46221</v>
      </c>
      <c r="F283" t="inlineStr">
        <is>
          <t>GÄVLEBORGS LÄN</t>
        </is>
      </c>
      <c r="G283" t="inlineStr">
        <is>
          <t>SÖDERHAMN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30336-2022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46221</v>
      </c>
      <c r="F284" t="inlineStr">
        <is>
          <t>GÄVLEBORGS LÄN</t>
        </is>
      </c>
      <c r="G284" t="inlineStr">
        <is>
          <t>SÖDERHAMN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59684-2025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46221</v>
      </c>
      <c r="F285" t="inlineStr">
        <is>
          <t>GÄVLEBORGS LÄN</t>
        </is>
      </c>
      <c r="G285" t="inlineStr">
        <is>
          <t>SÖDERHAMN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59754-2025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46221</v>
      </c>
      <c r="F286" t="inlineStr">
        <is>
          <t>GÄVLEBORGS LÄN</t>
        </is>
      </c>
      <c r="G286" t="inlineStr">
        <is>
          <t>SÖDERHAMN</t>
        </is>
      </c>
      <c r="H286" t="inlineStr">
        <is>
          <t>Bergvik skog väst AB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59847-2025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46221</v>
      </c>
      <c r="F287" t="inlineStr">
        <is>
          <t>GÄVLEBORGS LÄN</t>
        </is>
      </c>
      <c r="G287" t="inlineStr">
        <is>
          <t>SÖDERHAMN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46221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13126-2026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46221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60301-2025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46221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13287-2026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46221</v>
      </c>
      <c r="F291" t="inlineStr">
        <is>
          <t>GÄVLEBORGS LÄN</t>
        </is>
      </c>
      <c r="G291" t="inlineStr">
        <is>
          <t>SÖDERHAMN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46221</v>
      </c>
      <c r="F292" t="inlineStr">
        <is>
          <t>GÄVLEBORGS LÄN</t>
        </is>
      </c>
      <c r="G292" t="inlineStr">
        <is>
          <t>SÖDERHAMN</t>
        </is>
      </c>
      <c r="I292" t="n">
        <v>14.1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46221</v>
      </c>
      <c r="F293" t="inlineStr">
        <is>
          <t>GÄVLEBORGS LÄN</t>
        </is>
      </c>
      <c r="G293" t="inlineStr">
        <is>
          <t>SÖDERHAMN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13289-2026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46221</v>
      </c>
      <c r="F294" t="inlineStr">
        <is>
          <t>GÄVLEBORGS LÄN</t>
        </is>
      </c>
      <c r="G294" t="inlineStr">
        <is>
          <t>SÖDERHAMN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58212-2025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46221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46221</v>
      </c>
      <c r="F296" t="inlineStr">
        <is>
          <t>GÄVLEBORGS LÄN</t>
        </is>
      </c>
      <c r="G296" t="inlineStr">
        <is>
          <t>SÖDERHAMN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57044-2022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44895</v>
      </c>
      <c r="E297" s="1" t="n">
        <v>46221</v>
      </c>
      <c r="F297" t="inlineStr">
        <is>
          <t>GÄVLEBORGS LÄN</t>
        </is>
      </c>
      <c r="G297" t="inlineStr">
        <is>
          <t>SÖDERHAMN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46221</v>
      </c>
      <c r="F298" t="inlineStr">
        <is>
          <t>GÄVLEBORGS LÄN</t>
        </is>
      </c>
      <c r="G298" t="inlineStr">
        <is>
          <t>SÖDERHAMN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60937-2025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46221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14061-2026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46221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46221</v>
      </c>
      <c r="F301" t="inlineStr">
        <is>
          <t>GÄVLEBORGS LÄN</t>
        </is>
      </c>
      <c r="G301" t="inlineStr">
        <is>
          <t>SÖDERHAMN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14259-2026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46221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46221</v>
      </c>
      <c r="F303" t="inlineStr">
        <is>
          <t>GÄVLEBORGS LÄN</t>
        </is>
      </c>
      <c r="G303" t="inlineStr">
        <is>
          <t>SÖDERHAMN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61396-2025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46221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18920-2025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46221</v>
      </c>
      <c r="F305" t="inlineStr">
        <is>
          <t>GÄVLEBORGS LÄN</t>
        </is>
      </c>
      <c r="G305" t="inlineStr">
        <is>
          <t>SÖDERHAMN</t>
        </is>
      </c>
      <c r="H305" t="inlineStr">
        <is>
          <t>Kommuner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13974-2026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46221</v>
      </c>
      <c r="F306" t="inlineStr">
        <is>
          <t>GÄVLEBORGS LÄN</t>
        </is>
      </c>
      <c r="G306" t="inlineStr">
        <is>
          <t>SÖDERHAMN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14129-2026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46221</v>
      </c>
      <c r="F307" t="inlineStr">
        <is>
          <t>GÄVLEBORGS LÄN</t>
        </is>
      </c>
      <c r="G307" t="inlineStr">
        <is>
          <t>SÖDERHAMN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14073-2026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46221</v>
      </c>
      <c r="F308" t="inlineStr">
        <is>
          <t>GÄVLEBORGS LÄN</t>
        </is>
      </c>
      <c r="G308" t="inlineStr">
        <is>
          <t>SÖDERHAMN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61416-2025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46001</v>
      </c>
      <c r="E309" s="1" t="n">
        <v>46221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23230-2024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45453</v>
      </c>
      <c r="E310" s="1" t="n">
        <v>46221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62414-2025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46221</v>
      </c>
      <c r="F311" t="inlineStr">
        <is>
          <t>GÄVLEBORGS LÄN</t>
        </is>
      </c>
      <c r="G311" t="inlineStr">
        <is>
          <t>SÖDERHAMN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46221</v>
      </c>
      <c r="F312" t="inlineStr">
        <is>
          <t>GÄVLEBORGS LÄN</t>
        </is>
      </c>
      <c r="G312" t="inlineStr">
        <is>
          <t>SÖDERHAMN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59048-2024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46221</v>
      </c>
      <c r="F313" t="inlineStr">
        <is>
          <t>GÄVLEBORGS LÄN</t>
        </is>
      </c>
      <c r="G313" t="inlineStr">
        <is>
          <t>SÖDERHAMN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46221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58544-2023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45251</v>
      </c>
      <c r="E315" s="1" t="n">
        <v>46221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61408-2023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46221</v>
      </c>
      <c r="F316" t="inlineStr">
        <is>
          <t>GÄVLEBORGS LÄN</t>
        </is>
      </c>
      <c r="G316" t="inlineStr">
        <is>
          <t>SÖDERHAMN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11075-2023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44992</v>
      </c>
      <c r="E317" s="1" t="n">
        <v>46221</v>
      </c>
      <c r="F317" t="inlineStr">
        <is>
          <t>GÄVLEBORGS LÄN</t>
        </is>
      </c>
      <c r="G317" t="inlineStr">
        <is>
          <t>SÖDERHAMN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59476-2022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46221</v>
      </c>
      <c r="F318" t="inlineStr">
        <is>
          <t>GÄVLEBORGS LÄN</t>
        </is>
      </c>
      <c r="G318" t="inlineStr">
        <is>
          <t>SÖDERHAMN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46221</v>
      </c>
      <c r="F319" t="inlineStr">
        <is>
          <t>GÄVLEBORGS LÄN</t>
        </is>
      </c>
      <c r="G319" t="inlineStr">
        <is>
          <t>SÖDERHAMN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15066-2026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46221</v>
      </c>
      <c r="F320" t="inlineStr">
        <is>
          <t>GÄVLEBORGS LÄN</t>
        </is>
      </c>
      <c r="G320" t="inlineStr">
        <is>
          <t>SÖDERHAMN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24766-2023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45084</v>
      </c>
      <c r="E321" s="1" t="n">
        <v>46221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29818-2023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46221</v>
      </c>
      <c r="F322" t="inlineStr">
        <is>
          <t>GÄVLEBORGS LÄN</t>
        </is>
      </c>
      <c r="G322" t="inlineStr">
        <is>
          <t>SÖDERHAMN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46026</v>
      </c>
      <c r="E323" s="1" t="n">
        <v>46221</v>
      </c>
      <c r="F323" t="inlineStr">
        <is>
          <t>GÄVLEBORGS LÄN</t>
        </is>
      </c>
      <c r="G323" t="inlineStr">
        <is>
          <t>SÖDERHAMN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46026</v>
      </c>
      <c r="E324" s="1" t="n">
        <v>46221</v>
      </c>
      <c r="F324" t="inlineStr">
        <is>
          <t>GÄVLEBORGS LÄN</t>
        </is>
      </c>
      <c r="G324" t="inlineStr">
        <is>
          <t>SÖDERHAMN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46026</v>
      </c>
      <c r="E325" s="1" t="n">
        <v>46221</v>
      </c>
      <c r="F325" t="inlineStr">
        <is>
          <t>GÄVLEBORGS LÄN</t>
        </is>
      </c>
      <c r="G325" t="inlineStr">
        <is>
          <t>SÖDERHAMN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46026</v>
      </c>
      <c r="E326" s="1" t="n">
        <v>46221</v>
      </c>
      <c r="F326" t="inlineStr">
        <is>
          <t>GÄVLEBORGS LÄN</t>
        </is>
      </c>
      <c r="G326" t="inlineStr">
        <is>
          <t>SÖDERHAMN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41649-2024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46221</v>
      </c>
      <c r="F327" t="inlineStr">
        <is>
          <t>GÄVLEBORGS LÄN</t>
        </is>
      </c>
      <c r="G327" t="inlineStr">
        <is>
          <t>SÖDERHAMN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41650-2024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45560</v>
      </c>
      <c r="E328" s="1" t="n">
        <v>46221</v>
      </c>
      <c r="F328" t="inlineStr">
        <is>
          <t>GÄVLEBORGS LÄN</t>
        </is>
      </c>
      <c r="G328" t="inlineStr">
        <is>
          <t>SÖDERHAMN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46026</v>
      </c>
      <c r="E329" s="1" t="n">
        <v>46221</v>
      </c>
      <c r="F329" t="inlineStr">
        <is>
          <t>GÄVLEBORGS LÄN</t>
        </is>
      </c>
      <c r="G329" t="inlineStr">
        <is>
          <t>SÖDERHAMN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46221</v>
      </c>
      <c r="F330" t="inlineStr">
        <is>
          <t>GÄVLEBORGS LÄN</t>
        </is>
      </c>
      <c r="G330" t="inlineStr">
        <is>
          <t>SÖDERHAMN</t>
        </is>
      </c>
      <c r="I330" t="n">
        <v>13.8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46221</v>
      </c>
      <c r="F331" t="inlineStr">
        <is>
          <t>GÄVLEBORGS LÄN</t>
        </is>
      </c>
      <c r="G331" t="inlineStr">
        <is>
          <t>SÖDERHAMN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26936-2023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46221</v>
      </c>
      <c r="F332" t="inlineStr">
        <is>
          <t>GÄVLEBORGS LÄN</t>
        </is>
      </c>
      <c r="G332" t="inlineStr">
        <is>
          <t>SÖDERHAMN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46221</v>
      </c>
      <c r="F333" t="inlineStr">
        <is>
          <t>GÄVLEBORGS LÄN</t>
        </is>
      </c>
      <c r="G333" t="inlineStr">
        <is>
          <t>SÖDERHAMN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46221</v>
      </c>
      <c r="F334" t="inlineStr">
        <is>
          <t>GÄVLEBORGS LÄN</t>
        </is>
      </c>
      <c r="G334" t="inlineStr">
        <is>
          <t>SÖDERHAMN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44681-2024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46221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46221</v>
      </c>
      <c r="F336" t="inlineStr">
        <is>
          <t>GÄVLEBORGS LÄN</t>
        </is>
      </c>
      <c r="G336" t="inlineStr">
        <is>
          <t>SÖDERHAMN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7979-2025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46221</v>
      </c>
      <c r="F337" t="inlineStr">
        <is>
          <t>GÄVLEBORGS LÄN</t>
        </is>
      </c>
      <c r="G337" t="inlineStr">
        <is>
          <t>SÖDERHAMN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46221</v>
      </c>
      <c r="F338" t="inlineStr">
        <is>
          <t>GÄVLEBORGS LÄN</t>
        </is>
      </c>
      <c r="G338" t="inlineStr">
        <is>
          <t>SÖDERHAMN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29813-2023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46221</v>
      </c>
      <c r="F339" t="inlineStr">
        <is>
          <t>GÄVLEBORGS LÄN</t>
        </is>
      </c>
      <c r="G339" t="inlineStr">
        <is>
          <t>SÖDERHAMN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46024</v>
      </c>
      <c r="E340" s="1" t="n">
        <v>46221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46221</v>
      </c>
      <c r="F341" t="inlineStr">
        <is>
          <t>GÄVLEBORGS LÄN</t>
        </is>
      </c>
      <c r="G341" t="inlineStr">
        <is>
          <t>SÖDERHAMN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46221</v>
      </c>
      <c r="F342" t="inlineStr">
        <is>
          <t>GÄVLEBORGS LÄN</t>
        </is>
      </c>
      <c r="G342" t="inlineStr">
        <is>
          <t>SÖDERHAMN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46221</v>
      </c>
      <c r="F343" t="inlineStr">
        <is>
          <t>GÄVLEBORGS LÄN</t>
        </is>
      </c>
      <c r="G343" t="inlineStr">
        <is>
          <t>SÖDERHAMN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15375-2026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46221</v>
      </c>
      <c r="F344" t="inlineStr">
        <is>
          <t>GÄVLEBORGS LÄN</t>
        </is>
      </c>
      <c r="G344" t="inlineStr">
        <is>
          <t>SÖDERHAMN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46221</v>
      </c>
      <c r="F345" t="inlineStr">
        <is>
          <t>GÄVLEBORGS LÄN</t>
        </is>
      </c>
      <c r="G345" t="inlineStr">
        <is>
          <t>SÖDERHAMN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46221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46221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46221</v>
      </c>
      <c r="F348" t="inlineStr">
        <is>
          <t>GÄVLEBORGS LÄN</t>
        </is>
      </c>
      <c r="G348" t="inlineStr">
        <is>
          <t>SÖDERHAMN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46221</v>
      </c>
      <c r="F349" t="inlineStr">
        <is>
          <t>GÄVLEBORGS LÄN</t>
        </is>
      </c>
      <c r="G349" t="inlineStr">
        <is>
          <t>SÖDERHAMN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46221</v>
      </c>
      <c r="F350" t="inlineStr">
        <is>
          <t>GÄVLEBORGS LÄN</t>
        </is>
      </c>
      <c r="G350" t="inlineStr">
        <is>
          <t>SÖDERHAMN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15958-2026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46108</v>
      </c>
      <c r="E351" s="1" t="n">
        <v>46221</v>
      </c>
      <c r="F351" t="inlineStr">
        <is>
          <t>GÄVLEBORGS LÄN</t>
        </is>
      </c>
      <c r="G351" t="inlineStr">
        <is>
          <t>SÖDERHAMN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17456-2025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45757</v>
      </c>
      <c r="E352" s="1" t="n">
        <v>46221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21283-2023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46221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50281-2024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46221</v>
      </c>
      <c r="F354" t="inlineStr">
        <is>
          <t>GÄVLEBORGS LÄN</t>
        </is>
      </c>
      <c r="G354" t="inlineStr">
        <is>
          <t>SÖDERHAMN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46221</v>
      </c>
      <c r="F355" t="inlineStr">
        <is>
          <t>GÄVLEBORGS LÄN</t>
        </is>
      </c>
      <c r="G355" t="inlineStr">
        <is>
          <t>SÖDERHAMN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46221</v>
      </c>
      <c r="F356" t="inlineStr">
        <is>
          <t>GÄVLEBORGS LÄN</t>
        </is>
      </c>
      <c r="G356" t="inlineStr">
        <is>
          <t>SÖDERHAMN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27151-2023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46221</v>
      </c>
      <c r="F357" t="inlineStr">
        <is>
          <t>GÄVLEBORGS LÄN</t>
        </is>
      </c>
      <c r="G357" t="inlineStr">
        <is>
          <t>SÖDERHAMN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16178-2026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46221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16231-2026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46221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16340-2023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45028</v>
      </c>
      <c r="E360" s="1" t="n">
        <v>46221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16485-2026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46221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46221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16908-2026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46221</v>
      </c>
      <c r="F363" t="inlineStr">
        <is>
          <t>GÄVLEBORGS LÄN</t>
        </is>
      </c>
      <c r="G363" t="inlineStr">
        <is>
          <t>SÖDERHAMN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16828-2026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46221</v>
      </c>
      <c r="F364" t="inlineStr">
        <is>
          <t>GÄVLEBORGS LÄN</t>
        </is>
      </c>
      <c r="G364" t="inlineStr">
        <is>
          <t>SÖDERHAMN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16475-2026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46221</v>
      </c>
      <c r="F365" t="inlineStr">
        <is>
          <t>GÄVLEBORGS LÄN</t>
        </is>
      </c>
      <c r="G365" t="inlineStr">
        <is>
          <t>SÖDERHAMN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24933-2024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45461</v>
      </c>
      <c r="E366" s="1" t="n">
        <v>46221</v>
      </c>
      <c r="F366" t="inlineStr">
        <is>
          <t>GÄVLEBORGS LÄN</t>
        </is>
      </c>
      <c r="G366" t="inlineStr">
        <is>
          <t>SÖDERHAMN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1782-2023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44938</v>
      </c>
      <c r="E367" s="1" t="n">
        <v>46221</v>
      </c>
      <c r="F367" t="inlineStr">
        <is>
          <t>GÄVLEBORGS LÄN</t>
        </is>
      </c>
      <c r="G367" t="inlineStr">
        <is>
          <t>SÖDERHAMN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17192-2026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46117</v>
      </c>
      <c r="E368" s="1" t="n">
        <v>46221</v>
      </c>
      <c r="F368" t="inlineStr">
        <is>
          <t>GÄVLEBORGS LÄN</t>
        </is>
      </c>
      <c r="G368" t="inlineStr">
        <is>
          <t>SÖDERHAMN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46117</v>
      </c>
      <c r="E369" s="1" t="n">
        <v>46221</v>
      </c>
      <c r="F369" t="inlineStr">
        <is>
          <t>GÄVLEBORGS LÄN</t>
        </is>
      </c>
      <c r="G369" t="inlineStr">
        <is>
          <t>SÖDERHAMN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18140-2023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45040</v>
      </c>
      <c r="E370" s="1" t="n">
        <v>46221</v>
      </c>
      <c r="F370" t="inlineStr">
        <is>
          <t>GÄVLEBORGS LÄN</t>
        </is>
      </c>
      <c r="G370" t="inlineStr">
        <is>
          <t>SÖDERHAMN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46117</v>
      </c>
      <c r="E371" s="1" t="n">
        <v>46221</v>
      </c>
      <c r="F371" t="inlineStr">
        <is>
          <t>GÄVLEBORGS LÄN</t>
        </is>
      </c>
      <c r="G371" t="inlineStr">
        <is>
          <t>SÖDERHAMN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17191-2026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46117</v>
      </c>
      <c r="E372" s="1" t="n">
        <v>46221</v>
      </c>
      <c r="F372" t="inlineStr">
        <is>
          <t>GÄVLEBORGS LÄN</t>
        </is>
      </c>
      <c r="G372" t="inlineStr">
        <is>
          <t>SÖDERHAMN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48797-2024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45593</v>
      </c>
      <c r="E373" s="1" t="n">
        <v>46221</v>
      </c>
      <c r="F373" t="inlineStr">
        <is>
          <t>GÄVLEBORGS LÄN</t>
        </is>
      </c>
      <c r="G373" t="inlineStr">
        <is>
          <t>SÖDERHAMN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54135-2024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45616</v>
      </c>
      <c r="E374" s="1" t="n">
        <v>46221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49703-2023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45212</v>
      </c>
      <c r="E375" s="1" t="n">
        <v>46221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17809-2026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46221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46221</v>
      </c>
      <c r="F377" t="inlineStr">
        <is>
          <t>GÄVLEBORGS LÄN</t>
        </is>
      </c>
      <c r="G377" t="inlineStr">
        <is>
          <t>SÖDERHAMN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10327-2024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45365</v>
      </c>
      <c r="E378" s="1" t="n">
        <v>46221</v>
      </c>
      <c r="F378" t="inlineStr">
        <is>
          <t>GÄVLEBORGS LÄN</t>
        </is>
      </c>
      <c r="G378" t="inlineStr">
        <is>
          <t>SÖDERHAMN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13288-2026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46221</v>
      </c>
      <c r="F379" t="inlineStr">
        <is>
          <t>GÄVLEBORGS LÄN</t>
        </is>
      </c>
      <c r="G379" t="inlineStr">
        <is>
          <t>SÖDERHAMN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29981-2023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45108</v>
      </c>
      <c r="E380" s="1" t="n">
        <v>46221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29983-2023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45108</v>
      </c>
      <c r="E381" s="1" t="n">
        <v>46221</v>
      </c>
      <c r="F381" t="inlineStr">
        <is>
          <t>GÄVLEBORGS LÄN</t>
        </is>
      </c>
      <c r="G381" t="inlineStr">
        <is>
          <t>SÖDERHAMN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18479-2026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46221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59216-2021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46221</v>
      </c>
      <c r="F383" t="inlineStr">
        <is>
          <t>GÄVLEBORGS LÄN</t>
        </is>
      </c>
      <c r="G383" t="inlineStr">
        <is>
          <t>SÖDERHAMN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58611-2023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45251</v>
      </c>
      <c r="E384" s="1" t="n">
        <v>46221</v>
      </c>
      <c r="F384" t="inlineStr">
        <is>
          <t>GÄVLEBORGS LÄN</t>
        </is>
      </c>
      <c r="G384" t="inlineStr">
        <is>
          <t>SÖDERHAMN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19175-2026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46221</v>
      </c>
      <c r="F385" t="inlineStr">
        <is>
          <t>GÄVLEBORGS LÄN</t>
        </is>
      </c>
      <c r="G385" t="inlineStr">
        <is>
          <t>SÖDERHAMN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44564</v>
      </c>
      <c r="E386" s="1" t="n">
        <v>46221</v>
      </c>
      <c r="F386" t="inlineStr">
        <is>
          <t>GÄVLEBORGS LÄN</t>
        </is>
      </c>
      <c r="G386" t="inlineStr">
        <is>
          <t>SÖDERHAMN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63632-2023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45275</v>
      </c>
      <c r="E387" s="1" t="n">
        <v>46221</v>
      </c>
      <c r="F387" t="inlineStr">
        <is>
          <t>GÄVLEBORGS LÄN</t>
        </is>
      </c>
      <c r="G387" t="inlineStr">
        <is>
          <t>SÖDERHAMN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16106-2023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45027</v>
      </c>
      <c r="E388" s="1" t="n">
        <v>46221</v>
      </c>
      <c r="F388" t="inlineStr">
        <is>
          <t>GÄVLEBORGS LÄN</t>
        </is>
      </c>
      <c r="G388" t="inlineStr">
        <is>
          <t>SÖDERHAMN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19109-2026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46221</v>
      </c>
      <c r="F389" t="inlineStr">
        <is>
          <t>GÄVLEBORGS LÄN</t>
        </is>
      </c>
      <c r="G389" t="inlineStr">
        <is>
          <t>SÖDERHAMN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14960-2024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45398</v>
      </c>
      <c r="E390" s="1" t="n">
        <v>46221</v>
      </c>
      <c r="F390" t="inlineStr">
        <is>
          <t>GÄVLEBORGS LÄN</t>
        </is>
      </c>
      <c r="G390" t="inlineStr">
        <is>
          <t>SÖDERHAMN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51986-2024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45607</v>
      </c>
      <c r="E391" s="1" t="n">
        <v>46221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55715-2024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46221</v>
      </c>
      <c r="F392" t="inlineStr">
        <is>
          <t>GÄVLEBORGS LÄN</t>
        </is>
      </c>
      <c r="G392" t="inlineStr">
        <is>
          <t>SÖDERHAMN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19310-2026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46133</v>
      </c>
      <c r="E393" s="1" t="n">
        <v>46221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46007-2024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45580</v>
      </c>
      <c r="E394" s="1" t="n">
        <v>46221</v>
      </c>
      <c r="F394" t="inlineStr">
        <is>
          <t>GÄVLEBORGS LÄN</t>
        </is>
      </c>
      <c r="G394" t="inlineStr">
        <is>
          <t>SÖDERHAMN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19647-2026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46221</v>
      </c>
      <c r="F395" t="inlineStr">
        <is>
          <t>GÄVLEBORGS LÄN</t>
        </is>
      </c>
      <c r="G395" t="inlineStr">
        <is>
          <t>SÖDERHAMN</t>
        </is>
      </c>
      <c r="H395" t="inlineStr">
        <is>
          <t>Övriga statliga verk och myndigheter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45670</v>
      </c>
      <c r="E396" s="1" t="n">
        <v>46221</v>
      </c>
      <c r="F396" t="inlineStr">
        <is>
          <t>GÄVLEBORGS LÄN</t>
        </is>
      </c>
      <c r="G396" t="inlineStr">
        <is>
          <t>SÖDERHAMN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16726-2025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45754</v>
      </c>
      <c r="E397" s="1" t="n">
        <v>46221</v>
      </c>
      <c r="F397" t="inlineStr">
        <is>
          <t>GÄVLEBORGS LÄN</t>
        </is>
      </c>
      <c r="G397" t="inlineStr">
        <is>
          <t>SÖDERHAMN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13124-2026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46221</v>
      </c>
      <c r="F398" t="inlineStr">
        <is>
          <t>GÄVLEBORGS LÄN</t>
        </is>
      </c>
      <c r="G398" t="inlineStr">
        <is>
          <t>SÖDERHAMN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19725-2026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46221</v>
      </c>
      <c r="F399" t="inlineStr">
        <is>
          <t>GÄVLEBORGS LÄN</t>
        </is>
      </c>
      <c r="G399" t="inlineStr">
        <is>
          <t>SÖDERHAMN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46221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20286-2023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46221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19736-2026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46221</v>
      </c>
      <c r="F402" t="inlineStr">
        <is>
          <t>GÄVLEBORGS LÄN</t>
        </is>
      </c>
      <c r="G402" t="inlineStr">
        <is>
          <t>SÖDERHAMN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53917-2024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46221</v>
      </c>
      <c r="F403" t="inlineStr">
        <is>
          <t>GÄVLEBORGS LÄN</t>
        </is>
      </c>
      <c r="G403" t="inlineStr">
        <is>
          <t>SÖDERHAMN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46221</v>
      </c>
      <c r="F404" t="inlineStr">
        <is>
          <t>GÄVLEBORGS LÄN</t>
        </is>
      </c>
      <c r="G404" t="inlineStr">
        <is>
          <t>SÖDERHAMN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48313-2024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46221</v>
      </c>
      <c r="F405" t="inlineStr">
        <is>
          <t>GÄVLEBORGS LÄN</t>
        </is>
      </c>
      <c r="G405" t="inlineStr">
        <is>
          <t>SÖDERHAMN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46221</v>
      </c>
      <c r="F406" t="inlineStr">
        <is>
          <t>GÄVLEBORGS LÄN</t>
        </is>
      </c>
      <c r="G406" t="inlineStr">
        <is>
          <t>SÖDERHAMN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46221</v>
      </c>
      <c r="F407" t="inlineStr">
        <is>
          <t>GÄVLEBORGS LÄN</t>
        </is>
      </c>
      <c r="G407" t="inlineStr">
        <is>
          <t>SÖDERHAMN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58180-2024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46221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7341-2026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46221</v>
      </c>
      <c r="F409" t="inlineStr">
        <is>
          <t>GÄVLEBORGS LÄN</t>
        </is>
      </c>
      <c r="G409" t="inlineStr">
        <is>
          <t>SÖDERHAMN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59772-2024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46221</v>
      </c>
      <c r="F410" t="inlineStr">
        <is>
          <t>GÄVLEBORGS LÄN</t>
        </is>
      </c>
      <c r="G410" t="inlineStr">
        <is>
          <t>SÖDERHAMN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49765-2024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46221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7629-2026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46221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7799-2025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46221</v>
      </c>
      <c r="F413" t="inlineStr">
        <is>
          <t>GÄVLEBORGS LÄN</t>
        </is>
      </c>
      <c r="G413" t="inlineStr">
        <is>
          <t>SÖDERHAMN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15417-2025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46221</v>
      </c>
      <c r="F414" t="inlineStr">
        <is>
          <t>GÄVLEBORGS LÄN</t>
        </is>
      </c>
      <c r="G414" t="inlineStr">
        <is>
          <t>SÖDERHAMN</t>
        </is>
      </c>
      <c r="I414" t="n">
        <v>11.2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15975-2026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46221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12227-2026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46221</v>
      </c>
      <c r="F416" t="inlineStr">
        <is>
          <t>GÄVLEBORGS LÄN</t>
        </is>
      </c>
      <c r="G416" t="inlineStr">
        <is>
          <t>SÖDERHAMN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12240-2026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46221</v>
      </c>
      <c r="F417" t="inlineStr">
        <is>
          <t>GÄVLEBORGS LÄN</t>
        </is>
      </c>
      <c r="G417" t="inlineStr">
        <is>
          <t>SÖDERHAMN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20595-2026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46221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46221</v>
      </c>
      <c r="F419" t="inlineStr">
        <is>
          <t>GÄVLEBORGS LÄN</t>
        </is>
      </c>
      <c r="G419" t="inlineStr">
        <is>
          <t>SÖDERHAMN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45331</v>
      </c>
      <c r="E420" s="1" t="n">
        <v>46221</v>
      </c>
      <c r="F420" t="inlineStr">
        <is>
          <t>GÄVLEBORGS LÄN</t>
        </is>
      </c>
      <c r="G420" t="inlineStr">
        <is>
          <t>SÖDERHAMN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38355-2022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44812</v>
      </c>
      <c r="E421" s="1" t="n">
        <v>46221</v>
      </c>
      <c r="F421" t="inlineStr">
        <is>
          <t>GÄVLEBORGS LÄN</t>
        </is>
      </c>
      <c r="G421" t="inlineStr">
        <is>
          <t>SÖDERHAMN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26042-2026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46177</v>
      </c>
      <c r="E422" s="1" t="n">
        <v>46221</v>
      </c>
      <c r="F422" t="inlineStr">
        <is>
          <t>GÄVLEBORGS LÄN</t>
        </is>
      </c>
      <c r="G422" t="inlineStr">
        <is>
          <t>SÖDERHAMN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46221</v>
      </c>
      <c r="F423" t="inlineStr">
        <is>
          <t>GÄVLEBORGS LÄN</t>
        </is>
      </c>
      <c r="G423" t="inlineStr">
        <is>
          <t>SÖDERHAMN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46221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49935-2024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45597</v>
      </c>
      <c r="E425" s="1" t="n">
        <v>46221</v>
      </c>
      <c r="F425" t="inlineStr">
        <is>
          <t>GÄVLEBORGS LÄN</t>
        </is>
      </c>
      <c r="G425" t="inlineStr">
        <is>
          <t>SÖDERHAMN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51492-2023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46221</v>
      </c>
      <c r="F426" t="inlineStr">
        <is>
          <t>GÄVLEBORGS LÄN</t>
        </is>
      </c>
      <c r="G426" t="inlineStr">
        <is>
          <t>SÖDERHAMN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59773-2024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45639</v>
      </c>
      <c r="E427" s="1" t="n">
        <v>46221</v>
      </c>
      <c r="F427" t="inlineStr">
        <is>
          <t>GÄVLEBORGS LÄN</t>
        </is>
      </c>
      <c r="G427" t="inlineStr">
        <is>
          <t>SÖDERHAMN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49762-2024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45597</v>
      </c>
      <c r="E428" s="1" t="n">
        <v>46221</v>
      </c>
      <c r="F428" t="inlineStr">
        <is>
          <t>GÄVLEBORGS LÄN</t>
        </is>
      </c>
      <c r="G428" t="inlineStr">
        <is>
          <t>SÖDERHAMN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43191-2024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45567</v>
      </c>
      <c r="E429" s="1" t="n">
        <v>46221</v>
      </c>
      <c r="F429" t="inlineStr">
        <is>
          <t>GÄVLEBORGS LÄN</t>
        </is>
      </c>
      <c r="G429" t="inlineStr">
        <is>
          <t>SÖDERHAMN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8663-2026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46221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26213-2026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46221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53583-2025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46221</v>
      </c>
      <c r="F432" t="inlineStr">
        <is>
          <t>GÄVLEBORGS LÄN</t>
        </is>
      </c>
      <c r="G432" t="inlineStr">
        <is>
          <t>SÖDERHAMN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19617-2024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46221</v>
      </c>
      <c r="F433" t="inlineStr">
        <is>
          <t>GÄVLEBORGS LÄN</t>
        </is>
      </c>
      <c r="G433" t="inlineStr">
        <is>
          <t>SÖDERHAMN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26013-2026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46221</v>
      </c>
      <c r="F434" t="inlineStr">
        <is>
          <t>GÄVLEBORGS LÄN</t>
        </is>
      </c>
      <c r="G434" t="inlineStr">
        <is>
          <t>SÖDERHAMN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10876-2026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46078</v>
      </c>
      <c r="E435" s="1" t="n">
        <v>46221</v>
      </c>
      <c r="F435" t="inlineStr">
        <is>
          <t>GÄVLEBORGS LÄN</t>
        </is>
      </c>
      <c r="G435" t="inlineStr">
        <is>
          <t>SÖDERHAMN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28003-2025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46221</v>
      </c>
      <c r="F436" t="inlineStr">
        <is>
          <t>GÄVLEBORGS LÄN</t>
        </is>
      </c>
      <c r="G436" t="inlineStr">
        <is>
          <t>SÖDERHAMN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40793-2024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46221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46221</v>
      </c>
      <c r="F438" t="inlineStr">
        <is>
          <t>GÄVLEBORGS LÄN</t>
        </is>
      </c>
      <c r="G438" t="inlineStr">
        <is>
          <t>SÖDERHAMN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23189-2025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46221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30928-2023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46221</v>
      </c>
      <c r="F440" t="inlineStr">
        <is>
          <t>GÄVLEBORGS LÄN</t>
        </is>
      </c>
      <c r="G440" t="inlineStr">
        <is>
          <t>SÖDERHAMN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45757</v>
      </c>
      <c r="E441" s="1" t="n">
        <v>46221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7559-2025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45705</v>
      </c>
      <c r="E442" s="1" t="n">
        <v>46221</v>
      </c>
      <c r="F442" t="inlineStr">
        <is>
          <t>GÄVLEBORGS LÄN</t>
        </is>
      </c>
      <c r="G442" t="inlineStr">
        <is>
          <t>SÖDERHAMN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3985-2026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46221</v>
      </c>
      <c r="F443" t="inlineStr">
        <is>
          <t>GÄVLEBORGS LÄN</t>
        </is>
      </c>
      <c r="G443" t="inlineStr">
        <is>
          <t>SÖDERHAMN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55383-2025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46221</v>
      </c>
      <c r="F444" t="inlineStr">
        <is>
          <t>GÄVLEBORGS LÄN</t>
        </is>
      </c>
      <c r="G444" t="inlineStr">
        <is>
          <t>SÖDERHAMN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46024</v>
      </c>
      <c r="E445" s="1" t="n">
        <v>46221</v>
      </c>
      <c r="F445" t="inlineStr">
        <is>
          <t>GÄVLEBORGS LÄN</t>
        </is>
      </c>
      <c r="G445" t="inlineStr">
        <is>
          <t>SÖDERHAMN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1659-2025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45670</v>
      </c>
      <c r="E446" s="1" t="n">
        <v>46221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46221</v>
      </c>
      <c r="F447" t="inlineStr">
        <is>
          <t>GÄVLEBORGS LÄN</t>
        </is>
      </c>
      <c r="G447" t="inlineStr">
        <is>
          <t>SÖDERHAMN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46043</v>
      </c>
      <c r="E448" s="1" t="n">
        <v>46221</v>
      </c>
      <c r="F448" t="inlineStr">
        <is>
          <t>GÄVLEBORGS LÄN</t>
        </is>
      </c>
      <c r="G448" t="inlineStr">
        <is>
          <t>SÖDERHAMN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11823-2026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46221</v>
      </c>
      <c r="F449" t="inlineStr">
        <is>
          <t>GÄVLEBORGS LÄN</t>
        </is>
      </c>
      <c r="G449" t="inlineStr">
        <is>
          <t>SÖDERHAMN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20107-2026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46221</v>
      </c>
      <c r="F450" t="inlineStr">
        <is>
          <t>GÄVLEBORGS LÄN</t>
        </is>
      </c>
      <c r="G450" t="inlineStr">
        <is>
          <t>SÖDERHAMN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46221</v>
      </c>
      <c r="F451" t="inlineStr">
        <is>
          <t>GÄVLEBORGS LÄN</t>
        </is>
      </c>
      <c r="G451" t="inlineStr">
        <is>
          <t>SÖDERHAMN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20289-2026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46221</v>
      </c>
      <c r="F452" t="inlineStr">
        <is>
          <t>GÄVLEBORGS LÄN</t>
        </is>
      </c>
      <c r="G452" t="inlineStr">
        <is>
          <t>SÖDERHAMN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46221</v>
      </c>
      <c r="F453" t="inlineStr">
        <is>
          <t>GÄVLEBORGS LÄN</t>
        </is>
      </c>
      <c r="G453" t="inlineStr">
        <is>
          <t>SÖDERHAMN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44338-2023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45188</v>
      </c>
      <c r="E454" s="1" t="n">
        <v>46221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Kommuner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44341-2023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45188</v>
      </c>
      <c r="E455" s="1" t="n">
        <v>46221</v>
      </c>
      <c r="F455" t="inlineStr">
        <is>
          <t>GÄVLEBORGS LÄN</t>
        </is>
      </c>
      <c r="G455" t="inlineStr">
        <is>
          <t>SÖDERHAMN</t>
        </is>
      </c>
      <c r="H455" t="inlineStr">
        <is>
          <t>Kommuner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15646-2022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44662</v>
      </c>
      <c r="E456" s="1" t="n">
        <v>46221</v>
      </c>
      <c r="F456" t="inlineStr">
        <is>
          <t>GÄVLEBORGS LÄN</t>
        </is>
      </c>
      <c r="G456" t="inlineStr">
        <is>
          <t>SÖDERHAMN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46221</v>
      </c>
      <c r="F457" t="inlineStr">
        <is>
          <t>GÄVLEBORGS LÄN</t>
        </is>
      </c>
      <c r="G457" t="inlineStr">
        <is>
          <t>SÖDERHAMN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46221</v>
      </c>
      <c r="F458" t="inlineStr">
        <is>
          <t>GÄVLEBORGS LÄN</t>
        </is>
      </c>
      <c r="G458" t="inlineStr">
        <is>
          <t>SÖDERHAMN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29289-2022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44750</v>
      </c>
      <c r="E459" s="1" t="n">
        <v>46221</v>
      </c>
      <c r="F459" t="inlineStr">
        <is>
          <t>GÄVLEBORGS LÄN</t>
        </is>
      </c>
      <c r="G459" t="inlineStr">
        <is>
          <t>SÖDERHAMN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18909-2025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45764</v>
      </c>
      <c r="E460" s="1" t="n">
        <v>46221</v>
      </c>
      <c r="F460" t="inlineStr">
        <is>
          <t>GÄVLEBORGS LÄN</t>
        </is>
      </c>
      <c r="G460" t="inlineStr">
        <is>
          <t>SÖDERHAMN</t>
        </is>
      </c>
      <c r="H460" t="inlineStr">
        <is>
          <t>Kommuner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20934-2026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46221</v>
      </c>
      <c r="F461" t="inlineStr">
        <is>
          <t>GÄVLEBORGS LÄN</t>
        </is>
      </c>
      <c r="G461" t="inlineStr">
        <is>
          <t>SÖDERHAMN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21003-2026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46221</v>
      </c>
      <c r="F462" t="inlineStr">
        <is>
          <t>GÄVLEBORGS LÄN</t>
        </is>
      </c>
      <c r="G462" t="inlineStr">
        <is>
          <t>SÖDERHAMN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13661-2026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46221</v>
      </c>
      <c r="F463" t="inlineStr">
        <is>
          <t>GÄVLEBORGS LÄN</t>
        </is>
      </c>
      <c r="G463" t="inlineStr">
        <is>
          <t>SÖDERHAMN</t>
        </is>
      </c>
      <c r="I463" t="n">
        <v>14.2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39916-2021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44417</v>
      </c>
      <c r="E464" s="1" t="n">
        <v>46221</v>
      </c>
      <c r="F464" t="inlineStr">
        <is>
          <t>GÄVLEBORGS LÄN</t>
        </is>
      </c>
      <c r="G464" t="inlineStr">
        <is>
          <t>SÖDERHAMN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59783-2023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45257</v>
      </c>
      <c r="E465" s="1" t="n">
        <v>46221</v>
      </c>
      <c r="F465" t="inlineStr">
        <is>
          <t>GÄVLEBORGS LÄN</t>
        </is>
      </c>
      <c r="G465" t="inlineStr">
        <is>
          <t>SÖDERHAMN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27038-2026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46221</v>
      </c>
      <c r="F466" t="inlineStr">
        <is>
          <t>GÄVLEBORGS LÄN</t>
        </is>
      </c>
      <c r="G466" t="inlineStr">
        <is>
          <t>SÖDERHAMN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62339-2023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46221</v>
      </c>
      <c r="F467" t="inlineStr">
        <is>
          <t>GÄVLEBORGS LÄN</t>
        </is>
      </c>
      <c r="G467" t="inlineStr">
        <is>
          <t>SÖDERHAMN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46024</v>
      </c>
      <c r="E468" s="1" t="n">
        <v>46221</v>
      </c>
      <c r="F468" t="inlineStr">
        <is>
          <t>GÄVLEBORGS LÄN</t>
        </is>
      </c>
      <c r="G468" t="inlineStr">
        <is>
          <t>SÖDERHAMN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21059-2026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46221</v>
      </c>
      <c r="F469" t="inlineStr">
        <is>
          <t>GÄVLEBORGS LÄN</t>
        </is>
      </c>
      <c r="G469" t="inlineStr">
        <is>
          <t>SÖDERHAMN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39207-2024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46221</v>
      </c>
      <c r="F470" t="inlineStr">
        <is>
          <t>GÄVLEBORGS LÄN</t>
        </is>
      </c>
      <c r="G470" t="inlineStr">
        <is>
          <t>SÖDERHAMN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55765-2025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45972</v>
      </c>
      <c r="E471" s="1" t="n">
        <v>46221</v>
      </c>
      <c r="F471" t="inlineStr">
        <is>
          <t>GÄVLEBORGS LÄN</t>
        </is>
      </c>
      <c r="G471" t="inlineStr">
        <is>
          <t>SÖDERHAMN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21195-2026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46221</v>
      </c>
      <c r="F472" t="inlineStr">
        <is>
          <t>GÄVLEBORGS LÄN</t>
        </is>
      </c>
      <c r="G472" t="inlineStr">
        <is>
          <t>SÖDERHAMN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21385-2026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46147</v>
      </c>
      <c r="E473" s="1" t="n">
        <v>46221</v>
      </c>
      <c r="F473" t="inlineStr">
        <is>
          <t>GÄVLEBORGS LÄN</t>
        </is>
      </c>
      <c r="G473" t="inlineStr">
        <is>
          <t>SÖDERHAMN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28340-2024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46221</v>
      </c>
      <c r="F474" t="inlineStr">
        <is>
          <t>GÄVLEBORGS LÄN</t>
        </is>
      </c>
      <c r="G474" t="inlineStr">
        <is>
          <t>SÖDERHAMN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20806-2026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46221</v>
      </c>
      <c r="F475" t="inlineStr">
        <is>
          <t>GÄVLEBORGS LÄN</t>
        </is>
      </c>
      <c r="G475" t="inlineStr">
        <is>
          <t>SÖDERHAMN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46221</v>
      </c>
      <c r="F476" t="inlineStr">
        <is>
          <t>GÄVLEBORGS LÄN</t>
        </is>
      </c>
      <c r="G476" t="inlineStr">
        <is>
          <t>SÖDERHAMN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21547-2026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46221</v>
      </c>
      <c r="F477" t="inlineStr">
        <is>
          <t>GÄVLEBORGS LÄN</t>
        </is>
      </c>
      <c r="G477" t="inlineStr">
        <is>
          <t>SÖDERHAMN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21548-2026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46148</v>
      </c>
      <c r="E478" s="1" t="n">
        <v>46221</v>
      </c>
      <c r="F478" t="inlineStr">
        <is>
          <t>GÄVLEBORGS LÄN</t>
        </is>
      </c>
      <c r="G478" t="inlineStr">
        <is>
          <t>SÖDERHAMN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21387-2026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46221</v>
      </c>
      <c r="F479" t="inlineStr">
        <is>
          <t>GÄVLEBORGS LÄN</t>
        </is>
      </c>
      <c r="G479" t="inlineStr">
        <is>
          <t>SÖDERHAMN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46087</v>
      </c>
      <c r="E480" s="1" t="n">
        <v>46221</v>
      </c>
      <c r="F480" t="inlineStr">
        <is>
          <t>GÄVLEBORGS LÄN</t>
        </is>
      </c>
      <c r="G480" t="inlineStr">
        <is>
          <t>SÖDERHAMN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21690-2026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46221</v>
      </c>
      <c r="F481" t="inlineStr">
        <is>
          <t>GÄVLEBORGS LÄN</t>
        </is>
      </c>
      <c r="G481" t="inlineStr">
        <is>
          <t>SÖDERHAMN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21913-2026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46150</v>
      </c>
      <c r="E482" s="1" t="n">
        <v>46221</v>
      </c>
      <c r="F482" t="inlineStr">
        <is>
          <t>GÄVLEBORGS LÄN</t>
        </is>
      </c>
      <c r="G482" t="inlineStr">
        <is>
          <t>SÖDERHAMN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21644-2026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46221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21694-2026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46221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21699-2026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46149</v>
      </c>
      <c r="E485" s="1" t="n">
        <v>46221</v>
      </c>
      <c r="F485" t="inlineStr">
        <is>
          <t>GÄVLEBORGS LÄN</t>
        </is>
      </c>
      <c r="G485" t="inlineStr">
        <is>
          <t>SÖDERHAMN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50809-2024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45602</v>
      </c>
      <c r="E486" s="1" t="n">
        <v>46221</v>
      </c>
      <c r="F486" t="inlineStr">
        <is>
          <t>GÄVLEBORGS LÄN</t>
        </is>
      </c>
      <c r="G486" t="inlineStr">
        <is>
          <t>SÖDERHAMN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61881-2024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45652</v>
      </c>
      <c r="E487" s="1" t="n">
        <v>46221</v>
      </c>
      <c r="F487" t="inlineStr">
        <is>
          <t>GÄVLEBORGS LÄN</t>
        </is>
      </c>
      <c r="G487" t="inlineStr">
        <is>
          <t>SÖDERHAMN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14321-2024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45393</v>
      </c>
      <c r="E488" s="1" t="n">
        <v>46221</v>
      </c>
      <c r="F488" t="inlineStr">
        <is>
          <t>GÄVLEBORGS LÄN</t>
        </is>
      </c>
      <c r="G488" t="inlineStr">
        <is>
          <t>SÖDERHAMN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31916-2024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45510</v>
      </c>
      <c r="E489" s="1" t="n">
        <v>46221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24910-2024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45461</v>
      </c>
      <c r="E490" s="1" t="n">
        <v>46221</v>
      </c>
      <c r="F490" t="inlineStr">
        <is>
          <t>GÄVLEBORGS LÄN</t>
        </is>
      </c>
      <c r="G490" t="inlineStr">
        <is>
          <t>SÖDERHAMN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18492-2024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45425</v>
      </c>
      <c r="E491" s="1" t="n">
        <v>46221</v>
      </c>
      <c r="F491" t="inlineStr">
        <is>
          <t>GÄVLEBORGS LÄN</t>
        </is>
      </c>
      <c r="G491" t="inlineStr">
        <is>
          <t>SÖDERHAMN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22592-2026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46221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28434-2026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46197</v>
      </c>
      <c r="E493" s="1" t="n">
        <v>46221</v>
      </c>
      <c r="F493" t="inlineStr">
        <is>
          <t>GÄVLEBORGS LÄN</t>
        </is>
      </c>
      <c r="G493" t="inlineStr">
        <is>
          <t>SÖDERHAMN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28426-2026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46221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22543-2026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46221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10138-2026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46221</v>
      </c>
      <c r="F496" t="inlineStr">
        <is>
          <t>GÄVLEBORGS LÄN</t>
        </is>
      </c>
      <c r="G496" t="inlineStr">
        <is>
          <t>SÖDERHAMN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15877-2025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45749</v>
      </c>
      <c r="E497" s="1" t="n">
        <v>46221</v>
      </c>
      <c r="F497" t="inlineStr">
        <is>
          <t>GÄVLEBORGS LÄN</t>
        </is>
      </c>
      <c r="G497" t="inlineStr">
        <is>
          <t>SÖDERHAMN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14718-2026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46221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36204-2024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45534</v>
      </c>
      <c r="E499" s="1" t="n">
        <v>46221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42035-2024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45561</v>
      </c>
      <c r="E500" s="1" t="n">
        <v>46221</v>
      </c>
      <c r="F500" t="inlineStr">
        <is>
          <t>GÄVLEBORGS LÄN</t>
        </is>
      </c>
      <c r="G500" t="inlineStr">
        <is>
          <t>SÖDERHAMN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46221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11206-2023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46221</v>
      </c>
      <c r="F502" t="inlineStr">
        <is>
          <t>GÄVLEBORGS LÄN</t>
        </is>
      </c>
      <c r="G502" t="inlineStr">
        <is>
          <t>SÖDERHAMN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41648-2024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46221</v>
      </c>
      <c r="F503" t="inlineStr">
        <is>
          <t>GÄVLEBORGS LÄN</t>
        </is>
      </c>
      <c r="G503" t="inlineStr">
        <is>
          <t>SÖDERHAMN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11215-2023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46221</v>
      </c>
      <c r="F504" t="inlineStr">
        <is>
          <t>GÄVLEBORGS LÄN</t>
        </is>
      </c>
      <c r="G504" t="inlineStr">
        <is>
          <t>SÖDERHAMN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22725-2026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46157</v>
      </c>
      <c r="E505" s="1" t="n">
        <v>46221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22727-2026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46157</v>
      </c>
      <c r="E506" s="1" t="n">
        <v>46221</v>
      </c>
      <c r="F506" t="inlineStr">
        <is>
          <t>GÄVLEBORGS LÄN</t>
        </is>
      </c>
      <c r="G506" t="inlineStr">
        <is>
          <t>SÖDERHAMN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22735-2026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46157</v>
      </c>
      <c r="E507" s="1" t="n">
        <v>46221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4843-2023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44957</v>
      </c>
      <c r="E508" s="1" t="n">
        <v>46221</v>
      </c>
      <c r="F508" t="inlineStr">
        <is>
          <t>GÄVLEBORGS LÄN</t>
        </is>
      </c>
      <c r="G508" t="inlineStr">
        <is>
          <t>SÖDERHAMN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22724-2026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46157</v>
      </c>
      <c r="E509" s="1" t="n">
        <v>46221</v>
      </c>
      <c r="F509" t="inlineStr">
        <is>
          <t>GÄVLEBORGS LÄN</t>
        </is>
      </c>
      <c r="G509" t="inlineStr">
        <is>
          <t>SÖDERHAMN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22726-2026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46157</v>
      </c>
      <c r="E510" s="1" t="n">
        <v>46221</v>
      </c>
      <c r="F510" t="inlineStr">
        <is>
          <t>GÄVLEBORGS LÄN</t>
        </is>
      </c>
      <c r="G510" t="inlineStr">
        <is>
          <t>SÖDERHAMN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22790-2026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46157</v>
      </c>
      <c r="E511" s="1" t="n">
        <v>46221</v>
      </c>
      <c r="F511" t="inlineStr">
        <is>
          <t>GÄVLEBORGS LÄN</t>
        </is>
      </c>
      <c r="G511" t="inlineStr">
        <is>
          <t>SÖDERHAMN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22791-2026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46157</v>
      </c>
      <c r="E512" s="1" t="n">
        <v>46221</v>
      </c>
      <c r="F512" t="inlineStr">
        <is>
          <t>GÄVLEBORGS LÄN</t>
        </is>
      </c>
      <c r="G512" t="inlineStr">
        <is>
          <t>SÖDERHAMN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53503-2023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46221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22736-2026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46157</v>
      </c>
      <c r="E514" s="1" t="n">
        <v>46221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22737-2026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46157</v>
      </c>
      <c r="E515" s="1" t="n">
        <v>46221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16137-2022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44665</v>
      </c>
      <c r="E516" s="1" t="n">
        <v>46221</v>
      </c>
      <c r="F516" t="inlineStr">
        <is>
          <t>GÄVLEBORGS LÄN</t>
        </is>
      </c>
      <c r="G516" t="inlineStr">
        <is>
          <t>SÖDERHAMN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23328-2026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46221</v>
      </c>
      <c r="F517" t="inlineStr">
        <is>
          <t>GÄVLEBORGS LÄN</t>
        </is>
      </c>
      <c r="G517" t="inlineStr">
        <is>
          <t>SÖDERHAMN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14128-2022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44651</v>
      </c>
      <c r="E518" s="1" t="n">
        <v>46221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29982-2023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45108</v>
      </c>
      <c r="E519" s="1" t="n">
        <v>46221</v>
      </c>
      <c r="F519" t="inlineStr">
        <is>
          <t>GÄVLEBORGS LÄN</t>
        </is>
      </c>
      <c r="G519" t="inlineStr">
        <is>
          <t>SÖDERHAMN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18195-2023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45041</v>
      </c>
      <c r="E520" s="1" t="n">
        <v>46221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5886-2023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44963</v>
      </c>
      <c r="E521" s="1" t="n">
        <v>46221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18913-2025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46221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Kommuner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54007-2023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45231</v>
      </c>
      <c r="E523" s="1" t="n">
        <v>46221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Kommuner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23469-2026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46221</v>
      </c>
      <c r="F524" t="inlineStr">
        <is>
          <t>GÄVLEBORGS LÄN</t>
        </is>
      </c>
      <c r="G524" t="inlineStr">
        <is>
          <t>SÖDERHAMN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46221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56502-2023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46221</v>
      </c>
      <c r="F526" t="inlineStr">
        <is>
          <t>GÄVLEBORGS LÄN</t>
        </is>
      </c>
      <c r="G526" t="inlineStr">
        <is>
          <t>SÖDERHAMN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58142-2024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46221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58156-2024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46221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26839-2024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45470</v>
      </c>
      <c r="E529" s="1" t="n">
        <v>46221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71645-2021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44543</v>
      </c>
      <c r="E530" s="1" t="n">
        <v>46221</v>
      </c>
      <c r="F530" t="inlineStr">
        <is>
          <t>GÄVLEBORGS LÄN</t>
        </is>
      </c>
      <c r="G530" t="inlineStr">
        <is>
          <t>SÖDERHAMN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23651-2026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46164</v>
      </c>
      <c r="E531" s="1" t="n">
        <v>46221</v>
      </c>
      <c r="F531" t="inlineStr">
        <is>
          <t>GÄVLEBORGS LÄN</t>
        </is>
      </c>
      <c r="G531" t="inlineStr">
        <is>
          <t>SÖDERHAMN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63798-2023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45278</v>
      </c>
      <c r="E532" s="1" t="n">
        <v>46221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23770-2026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46221</v>
      </c>
      <c r="F533" t="inlineStr">
        <is>
          <t>GÄVLEBORGS LÄN</t>
        </is>
      </c>
      <c r="G533" t="inlineStr">
        <is>
          <t>SÖDERHAMN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23467-2026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46221</v>
      </c>
      <c r="F534" t="inlineStr">
        <is>
          <t>GÄVLEBORGS LÄN</t>
        </is>
      </c>
      <c r="G534" t="inlineStr">
        <is>
          <t>SÖDERHAMN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23470-2026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46221</v>
      </c>
      <c r="F535" t="inlineStr">
        <is>
          <t>GÄVLEBORGS LÄN</t>
        </is>
      </c>
      <c r="G535" t="inlineStr">
        <is>
          <t>SÖDERHAMN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6853-2024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46221</v>
      </c>
      <c r="F536" t="inlineStr">
        <is>
          <t>GÄVLEBORGS LÄN</t>
        </is>
      </c>
      <c r="G536" t="inlineStr">
        <is>
          <t>SÖDERHAMN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58141-2024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46221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15454-2025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46221</v>
      </c>
      <c r="F538" t="inlineStr">
        <is>
          <t>GÄVLEBORGS LÄN</t>
        </is>
      </c>
      <c r="G538" t="inlineStr">
        <is>
          <t>SÖDERHAMN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30321-2026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46207</v>
      </c>
      <c r="E539" s="1" t="n">
        <v>46221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48561-2025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45936</v>
      </c>
      <c r="E540" s="1" t="n">
        <v>46221</v>
      </c>
      <c r="F540" t="inlineStr">
        <is>
          <t>GÄVLEBORGS LÄN</t>
        </is>
      </c>
      <c r="G540" t="inlineStr">
        <is>
          <t>SÖDERHAMN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23870-2026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46221</v>
      </c>
      <c r="F541" t="inlineStr">
        <is>
          <t>GÄVLEBORGS LÄN</t>
        </is>
      </c>
      <c r="G541" t="inlineStr">
        <is>
          <t>SÖDERHAMN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23825-2026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46165</v>
      </c>
      <c r="E542" s="1" t="n">
        <v>46221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54156-2022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44881</v>
      </c>
      <c r="E543" s="1" t="n">
        <v>46221</v>
      </c>
      <c r="F543" t="inlineStr">
        <is>
          <t>GÄVLEBORGS LÄN</t>
        </is>
      </c>
      <c r="G543" t="inlineStr">
        <is>
          <t>SÖDERHAMN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50283-2024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45600</v>
      </c>
      <c r="E544" s="1" t="n">
        <v>46221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46027</v>
      </c>
      <c r="E545" s="1" t="n">
        <v>46221</v>
      </c>
      <c r="F545" t="inlineStr">
        <is>
          <t>GÄVLEBORGS LÄN</t>
        </is>
      </c>
      <c r="G545" t="inlineStr">
        <is>
          <t>SÖDERHAMN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16472-2026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46112</v>
      </c>
      <c r="E546" s="1" t="n">
        <v>46221</v>
      </c>
      <c r="F546" t="inlineStr">
        <is>
          <t>GÄVLEBORGS LÄN</t>
        </is>
      </c>
      <c r="G546" t="inlineStr">
        <is>
          <t>SÖDERHAMN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46221</v>
      </c>
      <c r="F547" t="inlineStr">
        <is>
          <t>GÄVLEBORGS LÄN</t>
        </is>
      </c>
      <c r="G547" t="inlineStr">
        <is>
          <t>SÖDERHAMN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24097-2026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46221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63431-2021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44508</v>
      </c>
      <c r="E549" s="1" t="n">
        <v>46221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13664-2026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46097</v>
      </c>
      <c r="E550" s="1" t="n">
        <v>46221</v>
      </c>
      <c r="F550" t="inlineStr">
        <is>
          <t>GÄVLEBORGS LÄN</t>
        </is>
      </c>
      <c r="G550" t="inlineStr">
        <is>
          <t>SÖDERHAMN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34976-2024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45527</v>
      </c>
      <c r="E551" s="1" t="n">
        <v>46221</v>
      </c>
      <c r="F551" t="inlineStr">
        <is>
          <t>GÄVLEBORGS LÄN</t>
        </is>
      </c>
      <c r="G551" t="inlineStr">
        <is>
          <t>SÖDERHAMN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20456-2024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45435</v>
      </c>
      <c r="E552" s="1" t="n">
        <v>46221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56933-2024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45628</v>
      </c>
      <c r="E553" s="1" t="n">
        <v>46221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30848-2026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46212</v>
      </c>
      <c r="E554" s="1" t="n">
        <v>46221</v>
      </c>
      <c r="F554" t="inlineStr">
        <is>
          <t>GÄVLEBORGS LÄN</t>
        </is>
      </c>
      <c r="G554" t="inlineStr">
        <is>
          <t>SÖDERHAMN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30668-2026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46211</v>
      </c>
      <c r="E555" s="1" t="n">
        <v>46221</v>
      </c>
      <c r="F555" t="inlineStr">
        <is>
          <t>GÄVLEBORGS LÄN</t>
        </is>
      </c>
      <c r="G555" t="inlineStr">
        <is>
          <t>SÖDERHAMN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30871-2026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46221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Kyrkan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30875-2026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46212</v>
      </c>
      <c r="E557" s="1" t="n">
        <v>46221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Kyrkan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46221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Kyrkan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45677</v>
      </c>
      <c r="E559" s="1" t="n">
        <v>46221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46221</v>
      </c>
      <c r="F560" t="inlineStr">
        <is>
          <t>GÄVLEBORGS LÄN</t>
        </is>
      </c>
      <c r="G560" t="inlineStr">
        <is>
          <t>SÖDERHAMN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58166-2024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45632</v>
      </c>
      <c r="E561" s="1" t="n">
        <v>46221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19782-2025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46221</v>
      </c>
      <c r="F562" t="inlineStr">
        <is>
          <t>GÄVLEBORGS LÄN</t>
        </is>
      </c>
      <c r="G562" t="inlineStr">
        <is>
          <t>SÖDERHAMN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31274-2026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46218</v>
      </c>
      <c r="E563" s="1" t="n">
        <v>46221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24918-2026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46221</v>
      </c>
      <c r="F564" t="inlineStr">
        <is>
          <t>GÄVLEBORGS LÄN</t>
        </is>
      </c>
      <c r="G564" t="inlineStr">
        <is>
          <t>SÖDERHAMN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25200-2026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46221</v>
      </c>
      <c r="F565" t="inlineStr">
        <is>
          <t>GÄVLEBORGS LÄN</t>
        </is>
      </c>
      <c r="G565" t="inlineStr">
        <is>
          <t>SÖDERHAMN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27862-2023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45098</v>
      </c>
      <c r="E566" s="1" t="n">
        <v>46221</v>
      </c>
      <c r="F566" t="inlineStr">
        <is>
          <t>GÄVLEBORGS LÄN</t>
        </is>
      </c>
      <c r="G566" t="inlineStr">
        <is>
          <t>SÖDERHAMN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21272-2023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45062</v>
      </c>
      <c r="E567" s="1" t="n">
        <v>46221</v>
      </c>
      <c r="F567" t="inlineStr">
        <is>
          <t>GÄVLEBORGS LÄN</t>
        </is>
      </c>
      <c r="G567" t="inlineStr">
        <is>
          <t>SÖDERHAMN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41221-2022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44826</v>
      </c>
      <c r="E568" s="1" t="n">
        <v>46221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47794-2024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45588</v>
      </c>
      <c r="E569" s="1" t="n">
        <v>46221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24912-2026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46221</v>
      </c>
      <c r="F570" t="inlineStr">
        <is>
          <t>GÄVLEBORGS LÄN</t>
        </is>
      </c>
      <c r="G570" t="inlineStr">
        <is>
          <t>SÖDERHAMN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24921-2026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46221</v>
      </c>
      <c r="F571" t="inlineStr">
        <is>
          <t>GÄVLEBORGS LÄN</t>
        </is>
      </c>
      <c r="G571" t="inlineStr">
        <is>
          <t>SÖDERHAMN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24916-2026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46221</v>
      </c>
      <c r="F572" t="inlineStr">
        <is>
          <t>GÄVLEBORGS LÄN</t>
        </is>
      </c>
      <c r="G572" t="inlineStr">
        <is>
          <t>SÖDERHAMN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24917-2026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46221</v>
      </c>
      <c r="F573" t="inlineStr">
        <is>
          <t>GÄVLEBORGS LÄN</t>
        </is>
      </c>
      <c r="G573" t="inlineStr">
        <is>
          <t>SÖDERHAMN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46006-2024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45580</v>
      </c>
      <c r="E574" s="1" t="n">
        <v>46221</v>
      </c>
      <c r="F574" t="inlineStr">
        <is>
          <t>GÄVLEBORGS LÄN</t>
        </is>
      </c>
      <c r="G574" t="inlineStr">
        <is>
          <t>SÖDERHAMN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59000-2023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45252</v>
      </c>
      <c r="E575" s="1" t="n">
        <v>46221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24966-2026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46221</v>
      </c>
      <c r="F576" t="inlineStr">
        <is>
          <t>GÄVLEBORGS LÄN</t>
        </is>
      </c>
      <c r="G576" t="inlineStr">
        <is>
          <t>SÖDERHAMN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25552-2026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46221</v>
      </c>
      <c r="F577" t="inlineStr">
        <is>
          <t>GÄVLEBORGS LÄN</t>
        </is>
      </c>
      <c r="G577" t="inlineStr">
        <is>
          <t>SÖDERHAMN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25477-2026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46221</v>
      </c>
      <c r="F578" t="inlineStr">
        <is>
          <t>GÄVLEBORGS LÄN</t>
        </is>
      </c>
      <c r="G578" t="inlineStr">
        <is>
          <t>SÖDERHAMN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50066-2023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46221</v>
      </c>
      <c r="F579" t="inlineStr">
        <is>
          <t>GÄVLEBORGS LÄN</t>
        </is>
      </c>
      <c r="G579" t="inlineStr">
        <is>
          <t>SÖDERHAMN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29979-2023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45108</v>
      </c>
      <c r="E580" s="1" t="n">
        <v>46221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46221</v>
      </c>
      <c r="F581" t="inlineStr">
        <is>
          <t>GÄVLEBORGS LÄN</t>
        </is>
      </c>
      <c r="G581" t="inlineStr">
        <is>
          <t>SÖDERHAMN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15499-2025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45747</v>
      </c>
      <c r="E582" s="1" t="n">
        <v>46221</v>
      </c>
      <c r="F582" t="inlineStr">
        <is>
          <t>GÄVLEBORGS LÄN</t>
        </is>
      </c>
      <c r="G582" t="inlineStr">
        <is>
          <t>SÖDERHAMN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49281-2024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46221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49282-2024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45595</v>
      </c>
      <c r="E584" s="1" t="n">
        <v>46221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14472-2024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46221</v>
      </c>
      <c r="F585" t="inlineStr">
        <is>
          <t>GÄVLEBORGS LÄN</t>
        </is>
      </c>
      <c r="G585" t="inlineStr">
        <is>
          <t>SÖDERHAMN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46221</v>
      </c>
      <c r="F586" t="inlineStr">
        <is>
          <t>GÄVLEBORGS LÄN</t>
        </is>
      </c>
      <c r="G586" t="inlineStr">
        <is>
          <t>SÖDERHAMN</t>
        </is>
      </c>
      <c r="I586" t="n">
        <v>20.9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42265-2024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45562</v>
      </c>
      <c r="E587" s="1" t="n">
        <v>46221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31363-2026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46221</v>
      </c>
      <c r="F588" t="inlineStr">
        <is>
          <t>GÄVLEBORGS LÄN</t>
        </is>
      </c>
      <c r="G588" t="inlineStr">
        <is>
          <t>SÖDERHAMN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31364-2026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46219</v>
      </c>
      <c r="E589" s="1" t="n">
        <v>46221</v>
      </c>
      <c r="F589" t="inlineStr">
        <is>
          <t>GÄVLEBORGS LÄN</t>
        </is>
      </c>
      <c r="G589" t="inlineStr">
        <is>
          <t>SÖDERHAMN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45770</v>
      </c>
      <c r="E590" s="1" t="n">
        <v>46221</v>
      </c>
      <c r="F590" t="inlineStr">
        <is>
          <t>GÄVLEBORGS LÄN</t>
        </is>
      </c>
      <c r="G590" t="inlineStr">
        <is>
          <t>SÖDERHAMN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31346-2026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46219</v>
      </c>
      <c r="E591" s="1" t="n">
        <v>46221</v>
      </c>
      <c r="F591" t="inlineStr">
        <is>
          <t>GÄVLEBORGS LÄN</t>
        </is>
      </c>
      <c r="G591" t="inlineStr">
        <is>
          <t>SÖDERHAMN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16188-2025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45750</v>
      </c>
      <c r="E592" s="1" t="n">
        <v>46221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50842-2024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45602</v>
      </c>
      <c r="E593" s="1" t="n">
        <v>46221</v>
      </c>
      <c r="F593" t="inlineStr">
        <is>
          <t>GÄVLEBORGS LÄN</t>
        </is>
      </c>
      <c r="G593" t="inlineStr">
        <is>
          <t>SÖDERHAMN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55713-2024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45622</v>
      </c>
      <c r="E594" s="1" t="n">
        <v>46221</v>
      </c>
      <c r="F594" t="inlineStr">
        <is>
          <t>GÄVLEBORGS LÄN</t>
        </is>
      </c>
      <c r="G594" t="inlineStr">
        <is>
          <t>SÖDERHAMN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51413-2023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45219</v>
      </c>
      <c r="E595" s="1" t="n">
        <v>46221</v>
      </c>
      <c r="F595" t="inlineStr">
        <is>
          <t>GÄVLEBORGS LÄN</t>
        </is>
      </c>
      <c r="G595" t="inlineStr">
        <is>
          <t>SÖDERHAMN</t>
        </is>
      </c>
      <c r="H595" t="inlineStr">
        <is>
          <t>Kommuner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45748</v>
      </c>
      <c r="E596" s="1" t="n">
        <v>46221</v>
      </c>
      <c r="F596" t="inlineStr">
        <is>
          <t>GÄVLEBORGS LÄN</t>
        </is>
      </c>
      <c r="G596" t="inlineStr">
        <is>
          <t>SÖDERHAMN</t>
        </is>
      </c>
      <c r="H596" t="inlineStr">
        <is>
          <t>Kommuner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22212-2023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45069</v>
      </c>
      <c r="E597" s="1" t="n">
        <v>46221</v>
      </c>
      <c r="F597" t="inlineStr">
        <is>
          <t>GÄVLEBORGS LÄN</t>
        </is>
      </c>
      <c r="G597" t="inlineStr">
        <is>
          <t>SÖDERHAMN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45296</v>
      </c>
      <c r="E598" s="1" t="n">
        <v>46221</v>
      </c>
      <c r="F598" t="inlineStr">
        <is>
          <t>GÄVLEBORGS LÄN</t>
        </is>
      </c>
      <c r="G598" t="inlineStr">
        <is>
          <t>SÖDERHAMN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4497-2024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45327</v>
      </c>
      <c r="E599" s="1" t="n">
        <v>46221</v>
      </c>
      <c r="F599" t="inlineStr">
        <is>
          <t>GÄVLEBORGS LÄN</t>
        </is>
      </c>
      <c r="G599" t="inlineStr">
        <is>
          <t>SÖDERHAMN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7972-2025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45707</v>
      </c>
      <c r="E600" s="1" t="n">
        <v>46221</v>
      </c>
      <c r="F600" t="inlineStr">
        <is>
          <t>GÄVLEBORGS LÄN</t>
        </is>
      </c>
      <c r="G600" t="inlineStr">
        <is>
          <t>SÖDERHAMN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58281-2024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45632</v>
      </c>
      <c r="E601" s="1" t="n">
        <v>46221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53916-2024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45615</v>
      </c>
      <c r="E602" s="1" t="n">
        <v>46221</v>
      </c>
      <c r="F602" t="inlineStr">
        <is>
          <t>GÄVLEBORGS LÄN</t>
        </is>
      </c>
      <c r="G602" t="inlineStr">
        <is>
          <t>SÖDERHAMN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61680-2023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45265</v>
      </c>
      <c r="E603" s="1" t="n">
        <v>46221</v>
      </c>
      <c r="F603" t="inlineStr">
        <is>
          <t>GÄVLEBORGS LÄN</t>
        </is>
      </c>
      <c r="G603" t="inlineStr">
        <is>
          <t>SÖDERHAMN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21252-2025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45779</v>
      </c>
      <c r="E604" s="1" t="n">
        <v>46221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18189-2024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45420</v>
      </c>
      <c r="E605" s="1" t="n">
        <v>46221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47676-2024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46221</v>
      </c>
      <c r="F606" t="inlineStr">
        <is>
          <t>GÄVLEBORGS LÄN</t>
        </is>
      </c>
      <c r="G606" t="inlineStr">
        <is>
          <t>SÖDERHAMN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37916-2024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46221</v>
      </c>
      <c r="F607" t="inlineStr">
        <is>
          <t>GÄVLEBORGS LÄN</t>
        </is>
      </c>
      <c r="G607" t="inlineStr">
        <is>
          <t>SÖDERHAMN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36059-2023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45149</v>
      </c>
      <c r="E608" s="1" t="n">
        <v>46221</v>
      </c>
      <c r="F608" t="inlineStr">
        <is>
          <t>GÄVLEBORGS LÄN</t>
        </is>
      </c>
      <c r="G608" t="inlineStr">
        <is>
          <t>SÖDERHAMN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23265-2025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46221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23332-2025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46221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23307-2025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46221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34978-2024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46221</v>
      </c>
      <c r="F612" t="inlineStr">
        <is>
          <t>GÄVLEBORGS LÄN</t>
        </is>
      </c>
      <c r="G612" t="inlineStr">
        <is>
          <t>SÖDERHAMN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21789-2024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45442</v>
      </c>
      <c r="E613" s="1" t="n">
        <v>46221</v>
      </c>
      <c r="F613" t="inlineStr">
        <is>
          <t>GÄVLEBORGS LÄN</t>
        </is>
      </c>
      <c r="G613" t="inlineStr">
        <is>
          <t>SÖDERHAMN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20166-2022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44698</v>
      </c>
      <c r="E614" s="1" t="n">
        <v>46221</v>
      </c>
      <c r="F614" t="inlineStr">
        <is>
          <t>GÄVLEBORGS LÄN</t>
        </is>
      </c>
      <c r="G614" t="inlineStr">
        <is>
          <t>SÖDERHAMN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60292-2024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45643</v>
      </c>
      <c r="E615" s="1" t="n">
        <v>46221</v>
      </c>
      <c r="F615" t="inlineStr">
        <is>
          <t>GÄVLEBORGS LÄN</t>
        </is>
      </c>
      <c r="G615" t="inlineStr">
        <is>
          <t>SÖDERHAMN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24610-2025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45798</v>
      </c>
      <c r="E616" s="1" t="n">
        <v>46221</v>
      </c>
      <c r="F616" t="inlineStr">
        <is>
          <t>GÄVLEBORGS LÄN</t>
        </is>
      </c>
      <c r="G616" t="inlineStr">
        <is>
          <t>SÖDERHAMN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45797</v>
      </c>
      <c r="E617" s="1" t="n">
        <v>46221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24307-2025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45797</v>
      </c>
      <c r="E618" s="1" t="n">
        <v>46221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31676-2022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44776</v>
      </c>
      <c r="E619" s="1" t="n">
        <v>46221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25900-2024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45467</v>
      </c>
      <c r="E620" s="1" t="n">
        <v>46221</v>
      </c>
      <c r="F620" t="inlineStr">
        <is>
          <t>GÄVLEBORGS LÄN</t>
        </is>
      </c>
      <c r="G620" t="inlineStr">
        <is>
          <t>SÖDERHAMN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24305-2025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45797</v>
      </c>
      <c r="E621" s="1" t="n">
        <v>46221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25036-2025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46221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19188-2024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45428</v>
      </c>
      <c r="E623" s="1" t="n">
        <v>46221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46221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46221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46221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15-2024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45293</v>
      </c>
      <c r="E627" s="1" t="n">
        <v>46221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17.7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>
      <c r="A628" t="inlineStr">
        <is>
          <t>S 3155-2025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45973</v>
      </c>
      <c r="E628" s="1" t="n">
        <v>46221</v>
      </c>
      <c r="F628" t="inlineStr">
        <is>
          <t>GÄVLEBORGS LÄN</t>
        </is>
      </c>
      <c r="G628" t="inlineStr">
        <is>
          <t>SÖDERHAMN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2026-07-18T01:25:07Z</dcterms:created>
  <dcterms:modified xmlns:dcterms="http://purl.org/dc/terms/" xmlns:xsi="http://www.w3.org/2001/XMLSchema-instance" xsi:type="dcterms:W3CDTF">2026-07-18T01:25:08Z</dcterms:modified>
</cp:coreProperties>
</file>