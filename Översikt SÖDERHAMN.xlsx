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46248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46248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46248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46248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46248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46248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46248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46248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46248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31805-2024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45509</v>
      </c>
      <c r="E11" s="1" t="n">
        <v>46248</v>
      </c>
      <c r="F11" t="inlineStr">
        <is>
          <t>GÄVLEBORGS LÄN</t>
        </is>
      </c>
      <c r="G11" t="inlineStr">
        <is>
          <t>SÖDERHAMN</t>
        </is>
      </c>
      <c r="I11" t="n">
        <v>7.3</v>
      </c>
      <c r="J11" t="n">
        <v>4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5</v>
      </c>
      <c r="V11" s="2" t="inlineStr">
        <is>
          <t>Knärot
Duvhök
Havsörn
Kungsfågel</t>
        </is>
      </c>
      <c r="W11">
        <f>HYPERLINK("https://klasma.github.io/Logging_2182/artfynd/A 31805-2024 artfynd.xlsx", "A 31805-2024")</f>
        <v/>
      </c>
      <c r="X11">
        <f>HYPERLINK("https://klasma.github.io/Logging_2182/kartor/A 31805-2024 karta.png", "A 31805-2024")</f>
        <v/>
      </c>
      <c r="Y11">
        <f>HYPERLINK("https://klasma.github.io/Logging_2182/kartor_geotiff/A 31805-2024 georefererad karta.tif", "A 31805-2024")</f>
        <v/>
      </c>
      <c r="Z11">
        <f>HYPERLINK("https://klasma.github.io/Logging_2182/knärot/A 31805-2024 karta knärot.png", "A 31805-2024")</f>
        <v/>
      </c>
      <c r="AA11">
        <f>HYPERLINK("https://klasma.github.io/Logging_2182/klagomål/A 31805-2024 FSC-klagomål.docx", "A 31805-2024")</f>
        <v/>
      </c>
      <c r="AB11">
        <f>HYPERLINK("https://klasma.github.io/Logging_2182/klagomålsmail/A 31805-2024 FSC-klagomål mail.docx", "A 31805-2024")</f>
        <v/>
      </c>
      <c r="AC11">
        <f>HYPERLINK("https://klasma.github.io/Logging_2182/tillsyn/A 31805-2024 tillsynsbegäran.docx", "A 31805-2024")</f>
        <v/>
      </c>
      <c r="AD11">
        <f>HYPERLINK("https://klasma.github.io/Logging_2182/tillsynsmail/A 31805-2024 tillsynsbegäran mail.docx", "A 31805-2024")</f>
        <v/>
      </c>
      <c r="AE11">
        <f>HYPERLINK("https://klasma.github.io/Logging_2182/fåglar/A 31805-2024 prioriterade fågelarter.docx", "A 31805-2024")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46248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46248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46248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46248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53562-2024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46248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3.6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2</v>
      </c>
      <c r="V16" s="2" t="inlineStr">
        <is>
          <t>Havsörn
Fläcknycklar</t>
        </is>
      </c>
      <c r="W16">
        <f>HYPERLINK("https://klasma.github.io/Logging_2182/artfynd/A 53562-2024 artfynd.xlsx", "A 53562-2024")</f>
        <v/>
      </c>
      <c r="X16">
        <f>HYPERLINK("https://klasma.github.io/Logging_2182/kartor/A 53562-2024 karta.png", "A 53562-2024")</f>
        <v/>
      </c>
      <c r="Y16">
        <f>HYPERLINK("https://klasma.github.io/Logging_2182/kartor_geotiff/A 53562-2024 georefererad karta.tif", "A 53562-2024")</f>
        <v/>
      </c>
      <c r="AA16">
        <f>HYPERLINK("https://klasma.github.io/Logging_2182/klagomål/A 53562-2024 FSC-klagomål.docx", "A 53562-2024")</f>
        <v/>
      </c>
      <c r="AB16">
        <f>HYPERLINK("https://klasma.github.io/Logging_2182/klagomålsmail/A 53562-2024 FSC-klagomål mail.docx", "A 53562-2024")</f>
        <v/>
      </c>
      <c r="AC16">
        <f>HYPERLINK("https://klasma.github.io/Logging_2182/tillsyn/A 53562-2024 tillsynsbegäran.docx", "A 53562-2024")</f>
        <v/>
      </c>
      <c r="AD16">
        <f>HYPERLINK("https://klasma.github.io/Logging_2182/tillsynsmail/A 53562-2024 tillsynsbegäran mail.docx", "A 53562-2024")</f>
        <v/>
      </c>
      <c r="AE16">
        <f>HYPERLINK("https://klasma.github.io/Logging_2182/fåglar/A 53562-2024 prioriterade fågelarter.docx", "A 53562-2024")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46248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19921-2025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46248</v>
      </c>
      <c r="F18" t="inlineStr">
        <is>
          <t>GÄVLEBORGS LÄN</t>
        </is>
      </c>
      <c r="G18" t="inlineStr">
        <is>
          <t>SÖDERHAMN</t>
        </is>
      </c>
      <c r="I18" t="n">
        <v>5.2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Kolflarnlav
Mörk kolflarnlav</t>
        </is>
      </c>
      <c r="W18">
        <f>HYPERLINK("https://klasma.github.io/Logging_2182/artfynd/A 19921-2025 artfynd.xlsx", "A 19921-2025")</f>
        <v/>
      </c>
      <c r="X18">
        <f>HYPERLINK("https://klasma.github.io/Logging_2182/kartor/A 19921-2025 karta.png", "A 19921-2025")</f>
        <v/>
      </c>
      <c r="Y18">
        <f>HYPERLINK("https://klasma.github.io/Logging_2182/kartor_geotiff/A 19921-2025 georefererad karta.tif", "A 19921-2025")</f>
        <v/>
      </c>
      <c r="AA18">
        <f>HYPERLINK("https://klasma.github.io/Logging_2182/klagomål/A 19921-2025 FSC-klagomål.docx", "A 19921-2025")</f>
        <v/>
      </c>
      <c r="AB18">
        <f>HYPERLINK("https://klasma.github.io/Logging_2182/klagomålsmail/A 19921-2025 FSC-klagomål mail.docx", "A 19921-2025")</f>
        <v/>
      </c>
      <c r="AC18">
        <f>HYPERLINK("https://klasma.github.io/Logging_2182/tillsyn/A 19921-2025 tillsynsbegäran.docx", "A 19921-2025")</f>
        <v/>
      </c>
      <c r="AD18">
        <f>HYPERLINK("https://klasma.github.io/Logging_2182/tillsynsmail/A 19921-2025 tillsynsbegäran mail.docx", "A 19921-2025")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46248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46248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46248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46248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46248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S 14-2024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45293</v>
      </c>
      <c r="E24" s="1" t="n">
        <v>46248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21.8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Vårärt
Svart trolldruva</t>
        </is>
      </c>
      <c r="W24">
        <f>HYPERLINK("https://klasma.github.io/Logging_2182/artfynd/S 14-2024 artfynd.xlsx", "S 14-2024")</f>
        <v/>
      </c>
      <c r="X24">
        <f>HYPERLINK("https://klasma.github.io/Logging_2182/kartor/S 14-2024 karta.png", "S 14-2024")</f>
        <v/>
      </c>
      <c r="Y24">
        <f>HYPERLINK("https://klasma.github.io/Logging_2182/kartor_geotiff/S 14-2024 georefererad karta.tif", "S 14-2024")</f>
        <v/>
      </c>
      <c r="AA24">
        <f>HYPERLINK("https://klasma.github.io/Logging_2182/klagomål/S 14-2024 FSC-klagomål.docx", "S 14-2024")</f>
        <v/>
      </c>
      <c r="AB24">
        <f>HYPERLINK("https://klasma.github.io/Logging_2182/klagomålsmail/S 14-2024 FSC-klagomål mail.docx", "S 14-2024")</f>
        <v/>
      </c>
      <c r="AC24">
        <f>HYPERLINK("https://klasma.github.io/Logging_2182/tillsyn/S 14-2024 tillsynsbegäran.docx", "S 14-2024")</f>
        <v/>
      </c>
      <c r="AD24">
        <f>HYPERLINK("https://klasma.github.io/Logging_2182/tillsynsmail/S 14-2024 tillsynsbegäran mail.docx", "S 14-2024")</f>
        <v/>
      </c>
    </row>
    <row r="25" ht="15" customHeight="1">
      <c r="A25" t="inlineStr">
        <is>
          <t>A 54608-2024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45617</v>
      </c>
      <c r="E25" s="1" t="n">
        <v>46248</v>
      </c>
      <c r="F25" t="inlineStr">
        <is>
          <t>GÄVLEBORGS LÄN</t>
        </is>
      </c>
      <c r="G25" t="inlineStr">
        <is>
          <t>SÖDERHAMN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Strutbräken</t>
        </is>
      </c>
      <c r="W25">
        <f>HYPERLINK("https://klasma.github.io/Logging_2182/artfynd/A 54608-2024 artfynd.xlsx", "A 54608-2024")</f>
        <v/>
      </c>
      <c r="X25">
        <f>HYPERLINK("https://klasma.github.io/Logging_2182/kartor/A 54608-2024 karta.png", "A 54608-2024")</f>
        <v/>
      </c>
      <c r="Y25">
        <f>HYPERLINK("https://klasma.github.io/Logging_2182/kartor_geotiff/A 54608-2024 georefererad karta.tif", "A 54608-2024")</f>
        <v/>
      </c>
      <c r="AA25">
        <f>HYPERLINK("https://klasma.github.io/Logging_2182/klagomål/A 54608-2024 FSC-klagomål.docx", "A 54608-2024")</f>
        <v/>
      </c>
      <c r="AB25">
        <f>HYPERLINK("https://klasma.github.io/Logging_2182/klagomålsmail/A 54608-2024 FSC-klagomål mail.docx", "A 54608-2024")</f>
        <v/>
      </c>
      <c r="AC25">
        <f>HYPERLINK("https://klasma.github.io/Logging_2182/tillsyn/A 54608-2024 tillsynsbegäran.docx", "A 54608-2024")</f>
        <v/>
      </c>
      <c r="AD25">
        <f>HYPERLINK("https://klasma.github.io/Logging_2182/tillsynsmail/A 54608-2024 tillsynsbegäran mail.docx", "A 54608-2024")</f>
        <v/>
      </c>
    </row>
    <row r="26" ht="15" customHeight="1">
      <c r="A26" t="inlineStr">
        <is>
          <t>A 21316-2024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46248</v>
      </c>
      <c r="F26" t="inlineStr">
        <is>
          <t>GÄVLEBORGS LÄN</t>
        </is>
      </c>
      <c r="G26" t="inlineStr">
        <is>
          <t>SÖDERHAMN</t>
        </is>
      </c>
      <c r="H26" t="inlineStr">
        <is>
          <t>Kommuner</t>
        </is>
      </c>
      <c r="I26" t="n">
        <v>2.3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Brunfläckig pärlemorfjäril</t>
        </is>
      </c>
      <c r="W26">
        <f>HYPERLINK("https://klasma.github.io/Logging_2182/artfynd/A 21316-2024 artfynd.xlsx", "A 21316-2024")</f>
        <v/>
      </c>
      <c r="X26">
        <f>HYPERLINK("https://klasma.github.io/Logging_2182/kartor/A 21316-2024 karta.png", "A 21316-2024")</f>
        <v/>
      </c>
      <c r="Y26">
        <f>HYPERLINK("https://klasma.github.io/Logging_2182/kartor_geotiff/A 21316-2024 georefererad karta.tif", "A 21316-2024")</f>
        <v/>
      </c>
      <c r="AA26">
        <f>HYPERLINK("https://klasma.github.io/Logging_2182/klagomål/A 21316-2024 FSC-klagomål.docx", "A 21316-2024")</f>
        <v/>
      </c>
      <c r="AB26">
        <f>HYPERLINK("https://klasma.github.io/Logging_2182/klagomålsmail/A 21316-2024 FSC-klagomål mail.docx", "A 21316-2024")</f>
        <v/>
      </c>
      <c r="AC26">
        <f>HYPERLINK("https://klasma.github.io/Logging_2182/tillsyn/A 21316-2024 tillsynsbegäran.docx", "A 21316-2024")</f>
        <v/>
      </c>
      <c r="AD26">
        <f>HYPERLINK("https://klasma.github.io/Logging_2182/tillsynsmail/A 21316-2024 tillsynsbegäran mail.docx", "A 21316-2024")</f>
        <v/>
      </c>
    </row>
    <row r="27" ht="15" customHeight="1">
      <c r="A27" t="inlineStr">
        <is>
          <t>A 2755-2022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46248</v>
      </c>
      <c r="F27" t="inlineStr">
        <is>
          <t>GÄVLEBORGS LÄN</t>
        </is>
      </c>
      <c r="G27" t="inlineStr">
        <is>
          <t>SÖDERHAMN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Fläcknycklar</t>
        </is>
      </c>
      <c r="W27">
        <f>HYPERLINK("https://klasma.github.io/Logging_2182/artfynd/A 2755-2022 artfynd.xlsx", "A 2755-2022")</f>
        <v/>
      </c>
      <c r="X27">
        <f>HYPERLINK("https://klasma.github.io/Logging_2182/kartor/A 2755-2022 karta.png", "A 2755-2022")</f>
        <v/>
      </c>
      <c r="Y27">
        <f>HYPERLINK("https://klasma.github.io/Logging_2182/kartor_geotiff/A 2755-2022 georefererad karta.tif", "A 2755-2022")</f>
        <v/>
      </c>
      <c r="AA27">
        <f>HYPERLINK("https://klasma.github.io/Logging_2182/klagomål/A 2755-2022 FSC-klagomål.docx", "A 2755-2022")</f>
        <v/>
      </c>
      <c r="AB27">
        <f>HYPERLINK("https://klasma.github.io/Logging_2182/klagomålsmail/A 2755-2022 FSC-klagomål mail.docx", "A 2755-2022")</f>
        <v/>
      </c>
      <c r="AC27">
        <f>HYPERLINK("https://klasma.github.io/Logging_2182/tillsyn/A 2755-2022 tillsynsbegäran.docx", "A 2755-2022")</f>
        <v/>
      </c>
      <c r="AD27">
        <f>HYPERLINK("https://klasma.github.io/Logging_2182/tillsynsmail/A 2755-2022 tillsynsbegäran mail.docx", "A 2755-2022")</f>
        <v/>
      </c>
    </row>
    <row r="28" ht="15" customHeight="1">
      <c r="A28" t="inlineStr">
        <is>
          <t>A 40097-2024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46248</v>
      </c>
      <c r="F28" t="inlineStr">
        <is>
          <t>GÄVLEBORGS LÄN</t>
        </is>
      </c>
      <c r="G28" t="inlineStr">
        <is>
          <t>SÖDERHAMN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HYPERLINK("https://klasma.github.io/Logging_2182/artfynd/A 40097-2024 artfynd.xlsx", "A 40097-2024")</f>
        <v/>
      </c>
      <c r="X28">
        <f>HYPERLINK("https://klasma.github.io/Logging_2182/kartor/A 40097-2024 karta.png", "A 40097-2024")</f>
        <v/>
      </c>
      <c r="Y28">
        <f>HYPERLINK("https://klasma.github.io/Logging_2182/kartor_geotiff/A 40097-2024 georefererad karta.tif", "A 40097-2024")</f>
        <v/>
      </c>
      <c r="AA28">
        <f>HYPERLINK("https://klasma.github.io/Logging_2182/klagomål/A 40097-2024 FSC-klagomål.docx", "A 40097-2024")</f>
        <v/>
      </c>
      <c r="AB28">
        <f>HYPERLINK("https://klasma.github.io/Logging_2182/klagomålsmail/A 40097-2024 FSC-klagomål mail.docx", "A 40097-2024")</f>
        <v/>
      </c>
      <c r="AC28">
        <f>HYPERLINK("https://klasma.github.io/Logging_2182/tillsyn/A 40097-2024 tillsynsbegäran.docx", "A 40097-2024")</f>
        <v/>
      </c>
      <c r="AD28">
        <f>HYPERLINK("https://klasma.github.io/Logging_2182/tillsynsmail/A 40097-2024 tillsynsbegäran mail.docx", "A 40097-2024")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46248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46248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58261-2024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45632</v>
      </c>
      <c r="E31" s="1" t="n">
        <v>46248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HYPERLINK("https://klasma.github.io/Logging_2182/artfynd/A 58261-2024 artfynd.xlsx", "A 58261-2024")</f>
        <v/>
      </c>
      <c r="X31">
        <f>HYPERLINK("https://klasma.github.io/Logging_2182/kartor/A 58261-2024 karta.png", "A 58261-2024")</f>
        <v/>
      </c>
      <c r="Y31">
        <f>HYPERLINK("https://klasma.github.io/Logging_2182/kartor_geotiff/A 58261-2024 georefererad karta.tif", "A 58261-2024")</f>
        <v/>
      </c>
      <c r="AA31">
        <f>HYPERLINK("https://klasma.github.io/Logging_2182/klagomål/A 58261-2024 FSC-klagomål.docx", "A 58261-2024")</f>
        <v/>
      </c>
      <c r="AB31">
        <f>HYPERLINK("https://klasma.github.io/Logging_2182/klagomålsmail/A 58261-2024 FSC-klagomål mail.docx", "A 58261-2024")</f>
        <v/>
      </c>
      <c r="AC31">
        <f>HYPERLINK("https://klasma.github.io/Logging_2182/tillsyn/A 58261-2024 tillsynsbegäran.docx", "A 58261-2024")</f>
        <v/>
      </c>
      <c r="AD31">
        <f>HYPERLINK("https://klasma.github.io/Logging_2182/tillsynsmail/A 58261-2024 tillsynsbegäran mail.docx", "A 58261-2024")</f>
        <v/>
      </c>
    </row>
    <row r="32" ht="15" customHeight="1">
      <c r="A32" t="inlineStr">
        <is>
          <t>A 58077-2024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46248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Motaggsvamp</t>
        </is>
      </c>
      <c r="W32">
        <f>HYPERLINK("https://klasma.github.io/Logging_2182/artfynd/A 58077-2024 artfynd.xlsx", "A 58077-2024")</f>
        <v/>
      </c>
      <c r="X32">
        <f>HYPERLINK("https://klasma.github.io/Logging_2182/kartor/A 58077-2024 karta.png", "A 58077-2024")</f>
        <v/>
      </c>
      <c r="Y32">
        <f>HYPERLINK("https://klasma.github.io/Logging_2182/kartor_geotiff/A 58077-2024 georefererad karta.tif", "A 58077-2024")</f>
        <v/>
      </c>
      <c r="AA32">
        <f>HYPERLINK("https://klasma.github.io/Logging_2182/klagomål/A 58077-2024 FSC-klagomål.docx", "A 58077-2024")</f>
        <v/>
      </c>
      <c r="AB32">
        <f>HYPERLINK("https://klasma.github.io/Logging_2182/klagomålsmail/A 58077-2024 FSC-klagomål mail.docx", "A 58077-2024")</f>
        <v/>
      </c>
      <c r="AC32">
        <f>HYPERLINK("https://klasma.github.io/Logging_2182/tillsyn/A 58077-2024 tillsynsbegäran.docx", "A 58077-2024")</f>
        <v/>
      </c>
      <c r="AD32">
        <f>HYPERLINK("https://klasma.github.io/Logging_2182/tillsynsmail/A 58077-2024 tillsynsbegäran mail.docx", "A 58077-2024")</f>
        <v/>
      </c>
    </row>
    <row r="33" ht="15" customHeight="1">
      <c r="A33" t="inlineStr">
        <is>
          <t>A 41258-2022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44826</v>
      </c>
      <c r="E33" s="1" t="n">
        <v>46248</v>
      </c>
      <c r="F33" t="inlineStr">
        <is>
          <t>GÄVLEBORGS LÄN</t>
        </is>
      </c>
      <c r="G33" t="inlineStr">
        <is>
          <t>SÖDERHAMN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Rosenticka</t>
        </is>
      </c>
      <c r="W33">
        <f>HYPERLINK("https://klasma.github.io/Logging_2182/artfynd/A 41258-2022 artfynd.xlsx", "A 41258-2022")</f>
        <v/>
      </c>
      <c r="X33">
        <f>HYPERLINK("https://klasma.github.io/Logging_2182/kartor/A 41258-2022 karta.png", "A 41258-2022")</f>
        <v/>
      </c>
      <c r="Y33">
        <f>HYPERLINK("https://klasma.github.io/Logging_2182/kartor_geotiff/A 41258-2022 georefererad karta.tif", "A 41258-2022")</f>
        <v/>
      </c>
      <c r="AA33">
        <f>HYPERLINK("https://klasma.github.io/Logging_2182/klagomål/A 41258-2022 FSC-klagomål.docx", "A 41258-2022")</f>
        <v/>
      </c>
      <c r="AB33">
        <f>HYPERLINK("https://klasma.github.io/Logging_2182/klagomålsmail/A 41258-2022 FSC-klagomål mail.docx", "A 41258-2022")</f>
        <v/>
      </c>
      <c r="AC33">
        <f>HYPERLINK("https://klasma.github.io/Logging_2182/tillsyn/A 41258-2022 tillsynsbegäran.docx", "A 41258-2022")</f>
        <v/>
      </c>
      <c r="AD33">
        <f>HYPERLINK("https://klasma.github.io/Logging_2182/tillsynsmail/A 41258-2022 tillsynsbegäran mail.docx", "A 41258-2022")</f>
        <v/>
      </c>
    </row>
    <row r="34" ht="15" customHeight="1">
      <c r="A34" t="inlineStr">
        <is>
          <t>A 58074-2024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46248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Doftskinn</t>
        </is>
      </c>
      <c r="W34">
        <f>HYPERLINK("https://klasma.github.io/Logging_2182/artfynd/A 58074-2024 artfynd.xlsx", "A 58074-2024")</f>
        <v/>
      </c>
      <c r="X34">
        <f>HYPERLINK("https://klasma.github.io/Logging_2182/kartor/A 58074-2024 karta.png", "A 58074-2024")</f>
        <v/>
      </c>
      <c r="Y34">
        <f>HYPERLINK("https://klasma.github.io/Logging_2182/kartor_geotiff/A 58074-2024 georefererad karta.tif", "A 58074-2024")</f>
        <v/>
      </c>
      <c r="AA34">
        <f>HYPERLINK("https://klasma.github.io/Logging_2182/klagomål/A 58074-2024 FSC-klagomål.docx", "A 58074-2024")</f>
        <v/>
      </c>
      <c r="AB34">
        <f>HYPERLINK("https://klasma.github.io/Logging_2182/klagomålsmail/A 58074-2024 FSC-klagomål mail.docx", "A 58074-2024")</f>
        <v/>
      </c>
      <c r="AC34">
        <f>HYPERLINK("https://klasma.github.io/Logging_2182/tillsyn/A 58074-2024 tillsynsbegäran.docx", "A 58074-2024")</f>
        <v/>
      </c>
      <c r="AD34">
        <f>HYPERLINK("https://klasma.github.io/Logging_2182/tillsynsmail/A 58074-2024 tillsynsbegäran mail.docx", "A 58074-2024")</f>
        <v/>
      </c>
    </row>
    <row r="35" ht="15" customHeight="1">
      <c r="A35" t="inlineStr">
        <is>
          <t>A 38545-2025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46248</v>
      </c>
      <c r="F35" t="inlineStr">
        <is>
          <t>GÄVLEBORGS LÄN</t>
        </is>
      </c>
      <c r="G35" t="inlineStr">
        <is>
          <t>SÖDERHAMN</t>
        </is>
      </c>
      <c r="I35" t="n">
        <v>2.3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HYPERLINK("https://klasma.github.io/Logging_2182/artfynd/A 38545-2025 artfynd.xlsx", "A 38545-2025")</f>
        <v/>
      </c>
      <c r="X35">
        <f>HYPERLINK("https://klasma.github.io/Logging_2182/kartor/A 38545-2025 karta.png", "A 38545-2025")</f>
        <v/>
      </c>
      <c r="Y35">
        <f>HYPERLINK("https://klasma.github.io/Logging_2182/kartor_geotiff/A 38545-2025 georefererad karta.tif", "A 38545-2025")</f>
        <v/>
      </c>
      <c r="Z35">
        <f>HYPERLINK("https://klasma.github.io/Logging_2182/knärot/A 38545-2025 karta knärot.png", "A 38545-2025")</f>
        <v/>
      </c>
      <c r="AA35">
        <f>HYPERLINK("https://klasma.github.io/Logging_2182/klagomål/A 38545-2025 FSC-klagomål.docx", "A 38545-2025")</f>
        <v/>
      </c>
      <c r="AB35">
        <f>HYPERLINK("https://klasma.github.io/Logging_2182/klagomålsmail/A 38545-2025 FSC-klagomål mail.docx", "A 38545-2025")</f>
        <v/>
      </c>
      <c r="AC35">
        <f>HYPERLINK("https://klasma.github.io/Logging_2182/tillsyn/A 38545-2025 tillsynsbegäran.docx", "A 38545-2025")</f>
        <v/>
      </c>
      <c r="AD35">
        <f>HYPERLINK("https://klasma.github.io/Logging_2182/tillsynsmail/A 38545-2025 tillsynsbegäran mail.docx", "A 38545-2025")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46248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19700-2023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45051</v>
      </c>
      <c r="E37" s="1" t="n">
        <v>46248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Ängsblåvinge</t>
        </is>
      </c>
      <c r="W37">
        <f>HYPERLINK("https://klasma.github.io/Logging_2182/artfynd/A 19700-2023 artfynd.xlsx", "A 19700-2023")</f>
        <v/>
      </c>
      <c r="X37">
        <f>HYPERLINK("https://klasma.github.io/Logging_2182/kartor/A 19700-2023 karta.png", "A 19700-2023")</f>
        <v/>
      </c>
      <c r="Y37">
        <f>HYPERLINK("https://klasma.github.io/Logging_2182/kartor_geotiff/A 19700-2023 georefererad karta.tif", "A 19700-2023")</f>
        <v/>
      </c>
      <c r="AA37">
        <f>HYPERLINK("https://klasma.github.io/Logging_2182/klagomål/A 19700-2023 FSC-klagomål.docx", "A 19700-2023")</f>
        <v/>
      </c>
      <c r="AB37">
        <f>HYPERLINK("https://klasma.github.io/Logging_2182/klagomålsmail/A 19700-2023 FSC-klagomål mail.docx", "A 19700-2023")</f>
        <v/>
      </c>
      <c r="AC37">
        <f>HYPERLINK("https://klasma.github.io/Logging_2182/tillsyn/A 19700-2023 tillsynsbegäran.docx", "A 19700-2023")</f>
        <v/>
      </c>
      <c r="AD37">
        <f>HYPERLINK("https://klasma.github.io/Logging_2182/tillsynsmail/A 19700-2023 tillsynsbegäran mail.docx", "A 19700-2023")</f>
        <v/>
      </c>
    </row>
    <row r="38" ht="15" customHeight="1">
      <c r="A38" t="inlineStr">
        <is>
          <t>A 39774-2025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45891</v>
      </c>
      <c r="E38" s="1" t="n">
        <v>46248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Järpe</t>
        </is>
      </c>
      <c r="W38">
        <f>HYPERLINK("https://klasma.github.io/Logging_2182/artfynd/A 39774-2025 artfynd.xlsx", "A 39774-2025")</f>
        <v/>
      </c>
      <c r="X38">
        <f>HYPERLINK("https://klasma.github.io/Logging_2182/kartor/A 39774-2025 karta.png", "A 39774-2025")</f>
        <v/>
      </c>
      <c r="Y38">
        <f>HYPERLINK("https://klasma.github.io/Logging_2182/kartor_geotiff/A 39774-2025 georefererad karta.tif", "A 39774-2025")</f>
        <v/>
      </c>
      <c r="AA38">
        <f>HYPERLINK("https://klasma.github.io/Logging_2182/klagomål/A 39774-2025 FSC-klagomål.docx", "A 39774-2025")</f>
        <v/>
      </c>
      <c r="AB38">
        <f>HYPERLINK("https://klasma.github.io/Logging_2182/klagomålsmail/A 39774-2025 FSC-klagomål mail.docx", "A 39774-2025")</f>
        <v/>
      </c>
      <c r="AC38">
        <f>HYPERLINK("https://klasma.github.io/Logging_2182/tillsyn/A 39774-2025 tillsynsbegäran.docx", "A 39774-2025")</f>
        <v/>
      </c>
      <c r="AD38">
        <f>HYPERLINK("https://klasma.github.io/Logging_2182/tillsynsmail/A 39774-2025 tillsynsbegäran mail.docx", "A 39774-2025")</f>
        <v/>
      </c>
      <c r="AE38">
        <f>HYPERLINK("https://klasma.github.io/Logging_2182/fåglar/A 39774-2025 prioriterade fågelarter.docx", "A 39774-2025")</f>
        <v/>
      </c>
    </row>
    <row r="39" ht="15" customHeight="1">
      <c r="A39" t="inlineStr">
        <is>
          <t>A 55768-2025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45972</v>
      </c>
      <c r="E39" s="1" t="n">
        <v>46248</v>
      </c>
      <c r="F39" t="inlineStr">
        <is>
          <t>GÄVLEBORGS LÄN</t>
        </is>
      </c>
      <c r="G39" t="inlineStr">
        <is>
          <t>SÖDERHAMN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Sydlig ladlav</t>
        </is>
      </c>
      <c r="W39">
        <f>HYPERLINK("https://klasma.github.io/Logging_2182/artfynd/A 55768-2025 artfynd.xlsx", "A 55768-2025")</f>
        <v/>
      </c>
      <c r="X39">
        <f>HYPERLINK("https://klasma.github.io/Logging_2182/kartor/A 55768-2025 karta.png", "A 55768-2025")</f>
        <v/>
      </c>
      <c r="Y39">
        <f>HYPERLINK("https://klasma.github.io/Logging_2182/kartor_geotiff/A 55768-2025 georefererad karta.tif", "A 55768-2025")</f>
        <v/>
      </c>
      <c r="AA39">
        <f>HYPERLINK("https://klasma.github.io/Logging_2182/klagomål/A 55768-2025 FSC-klagomål.docx", "A 55768-2025")</f>
        <v/>
      </c>
      <c r="AB39">
        <f>HYPERLINK("https://klasma.github.io/Logging_2182/klagomålsmail/A 55768-2025 FSC-klagomål mail.docx", "A 55768-2025")</f>
        <v/>
      </c>
      <c r="AC39">
        <f>HYPERLINK("https://klasma.github.io/Logging_2182/tillsyn/A 55768-2025 tillsynsbegäran.docx", "A 55768-2025")</f>
        <v/>
      </c>
      <c r="AD39">
        <f>HYPERLINK("https://klasma.github.io/Logging_2182/tillsynsmail/A 55768-2025 tillsynsbegäran mail.docx", "A 55768-2025")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46248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51157-2025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45947</v>
      </c>
      <c r="E41" s="1" t="n">
        <v>46248</v>
      </c>
      <c r="F41" t="inlineStr">
        <is>
          <t>GÄVLEBORGS LÄN</t>
        </is>
      </c>
      <c r="G41" t="inlineStr">
        <is>
          <t>SÖDERHAMN</t>
        </is>
      </c>
      <c r="I41" t="n">
        <v>10.2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Gråspett</t>
        </is>
      </c>
      <c r="W41">
        <f>HYPERLINK("https://klasma.github.io/Logging_2182/artfynd/A 51157-2025 artfynd.xlsx", "A 51157-2025")</f>
        <v/>
      </c>
      <c r="X41">
        <f>HYPERLINK("https://klasma.github.io/Logging_2182/kartor/A 51157-2025 karta.png", "A 51157-2025")</f>
        <v/>
      </c>
      <c r="Y41">
        <f>HYPERLINK("https://klasma.github.io/Logging_2182/kartor_geotiff/A 51157-2025 georefererad karta.tif", "A 51157-2025")</f>
        <v/>
      </c>
      <c r="AA41">
        <f>HYPERLINK("https://klasma.github.io/Logging_2182/klagomål/A 51157-2025 FSC-klagomål.docx", "A 51157-2025")</f>
        <v/>
      </c>
      <c r="AB41">
        <f>HYPERLINK("https://klasma.github.io/Logging_2182/klagomålsmail/A 51157-2025 FSC-klagomål mail.docx", "A 51157-2025")</f>
        <v/>
      </c>
      <c r="AC41">
        <f>HYPERLINK("https://klasma.github.io/Logging_2182/tillsyn/A 51157-2025 tillsynsbegäran.docx", "A 51157-2025")</f>
        <v/>
      </c>
      <c r="AD41">
        <f>HYPERLINK("https://klasma.github.io/Logging_2182/tillsynsmail/A 51157-2025 tillsynsbegäran mail.docx", "A 51157-2025")</f>
        <v/>
      </c>
      <c r="AE41">
        <f>HYPERLINK("https://klasma.github.io/Logging_2182/fåglar/A 51157-2025 prioriterade fågelarter.docx", "A 51157-2025")</f>
        <v/>
      </c>
    </row>
    <row r="42" ht="15" customHeight="1">
      <c r="A42" t="inlineStr">
        <is>
          <t>A 31803-2024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45509</v>
      </c>
      <c r="E42" s="1" t="n">
        <v>46248</v>
      </c>
      <c r="F42" t="inlineStr">
        <is>
          <t>GÄVLEBORGS LÄN</t>
        </is>
      </c>
      <c r="G42" t="inlineStr">
        <is>
          <t>SÖDERHAMN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5</v>
      </c>
      <c r="V42" s="2" t="inlineStr">
        <is>
          <t>Knärot</t>
        </is>
      </c>
      <c r="W42">
        <f>HYPERLINK("https://klasma.github.io/Logging_2182/artfynd/A 31803-2024 artfynd.xlsx", "A 31803-2024")</f>
        <v/>
      </c>
      <c r="X42">
        <f>HYPERLINK("https://klasma.github.io/Logging_2182/kartor/A 31803-2024 karta.png", "A 31803-2024")</f>
        <v/>
      </c>
      <c r="Y42">
        <f>HYPERLINK("https://klasma.github.io/Logging_2182/kartor_geotiff/A 31803-2024 georefererad karta.tif", "A 31803-2024")</f>
        <v/>
      </c>
      <c r="Z42">
        <f>HYPERLINK("https://klasma.github.io/Logging_2182/knärot/A 31803-2024 karta knärot.png", "A 31803-2024")</f>
        <v/>
      </c>
      <c r="AA42">
        <f>HYPERLINK("https://klasma.github.io/Logging_2182/klagomål/A 31803-2024 FSC-klagomål.docx", "A 31803-2024")</f>
        <v/>
      </c>
      <c r="AB42">
        <f>HYPERLINK("https://klasma.github.io/Logging_2182/klagomålsmail/A 31803-2024 FSC-klagomål mail.docx", "A 31803-2024")</f>
        <v/>
      </c>
      <c r="AC42">
        <f>HYPERLINK("https://klasma.github.io/Logging_2182/tillsyn/A 31803-2024 tillsynsbegäran.docx", "A 31803-2024")</f>
        <v/>
      </c>
      <c r="AD42">
        <f>HYPERLINK("https://klasma.github.io/Logging_2182/tillsynsmail/A 31803-2024 tillsynsbegäran mail.docx", "A 31803-2024")</f>
        <v/>
      </c>
    </row>
    <row r="43" ht="15" customHeight="1">
      <c r="A43" t="inlineStr">
        <is>
          <t>A 59848-2025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46248</v>
      </c>
      <c r="F43" t="inlineStr">
        <is>
          <t>GÄVLEBORGS LÄN</t>
        </is>
      </c>
      <c r="G43" t="inlineStr">
        <is>
          <t>SÖDERHAMN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HYPERLINK("https://klasma.github.io/Logging_2182/artfynd/A 59848-2025 artfynd.xlsx", "A 59848-2025")</f>
        <v/>
      </c>
      <c r="X43">
        <f>HYPERLINK("https://klasma.github.io/Logging_2182/kartor/A 59848-2025 karta.png", "A 59848-2025")</f>
        <v/>
      </c>
      <c r="Y43">
        <f>HYPERLINK("https://klasma.github.io/Logging_2182/kartor_geotiff/A 59848-2025 georefererad karta.tif", "A 59848-2025")</f>
        <v/>
      </c>
      <c r="AA43">
        <f>HYPERLINK("https://klasma.github.io/Logging_2182/klagomål/A 59848-2025 FSC-klagomål.docx", "A 59848-2025")</f>
        <v/>
      </c>
      <c r="AB43">
        <f>HYPERLINK("https://klasma.github.io/Logging_2182/klagomålsmail/A 59848-2025 FSC-klagomål mail.docx", "A 59848-2025")</f>
        <v/>
      </c>
      <c r="AC43">
        <f>HYPERLINK("https://klasma.github.io/Logging_2182/tillsyn/A 59848-2025 tillsynsbegäran.docx", "A 59848-2025")</f>
        <v/>
      </c>
      <c r="AD43">
        <f>HYPERLINK("https://klasma.github.io/Logging_2182/tillsynsmail/A 59848-2025 tillsynsbegäran mail.docx", "A 59848-2025")</f>
        <v/>
      </c>
    </row>
    <row r="44" ht="15" customHeight="1">
      <c r="A44" t="inlineStr">
        <is>
          <t>A 60322-2025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46248</v>
      </c>
      <c r="F44" t="inlineStr">
        <is>
          <t>GÄVLEBORGS LÄN</t>
        </is>
      </c>
      <c r="G44" t="inlineStr">
        <is>
          <t>SÖDERHAMN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HYPERLINK("https://klasma.github.io/Logging_2182/artfynd/A 60322-2025 artfynd.xlsx", "A 60322-2025")</f>
        <v/>
      </c>
      <c r="X44">
        <f>HYPERLINK("https://klasma.github.io/Logging_2182/kartor/A 60322-2025 karta.png", "A 60322-2025")</f>
        <v/>
      </c>
      <c r="Y44">
        <f>HYPERLINK("https://klasma.github.io/Logging_2182/kartor_geotiff/A 60322-2025 georefererad karta.tif", "A 60322-2025")</f>
        <v/>
      </c>
      <c r="AA44">
        <f>HYPERLINK("https://klasma.github.io/Logging_2182/klagomål/A 60322-2025 FSC-klagomål.docx", "A 60322-2025")</f>
        <v/>
      </c>
      <c r="AB44">
        <f>HYPERLINK("https://klasma.github.io/Logging_2182/klagomålsmail/A 60322-2025 FSC-klagomål mail.docx", "A 60322-2025")</f>
        <v/>
      </c>
      <c r="AC44">
        <f>HYPERLINK("https://klasma.github.io/Logging_2182/tillsyn/A 60322-2025 tillsynsbegäran.docx", "A 60322-2025")</f>
        <v/>
      </c>
      <c r="AD44">
        <f>HYPERLINK("https://klasma.github.io/Logging_2182/tillsynsmail/A 60322-2025 tillsynsbegäran mail.docx", "A 60322-2025")</f>
        <v/>
      </c>
    </row>
    <row r="45" ht="15" customHeight="1">
      <c r="A45" t="inlineStr">
        <is>
          <t>A 60318-2025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45994</v>
      </c>
      <c r="E45" s="1" t="n">
        <v>46248</v>
      </c>
      <c r="F45" t="inlineStr">
        <is>
          <t>GÄVLEBORGS LÄN</t>
        </is>
      </c>
      <c r="G45" t="inlineStr">
        <is>
          <t>SÖDERHAMN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HYPERLINK("https://klasma.github.io/Logging_2182/artfynd/A 60318-2025 artfynd.xlsx", "A 60318-2025")</f>
        <v/>
      </c>
      <c r="X45">
        <f>HYPERLINK("https://klasma.github.io/Logging_2182/kartor/A 60318-2025 karta.png", "A 60318-2025")</f>
        <v/>
      </c>
      <c r="Y45">
        <f>HYPERLINK("https://klasma.github.io/Logging_2182/kartor_geotiff/A 60318-2025 georefererad karta.tif", "A 60318-2025")</f>
        <v/>
      </c>
      <c r="AA45">
        <f>HYPERLINK("https://klasma.github.io/Logging_2182/klagomål/A 60318-2025 FSC-klagomål.docx", "A 60318-2025")</f>
        <v/>
      </c>
      <c r="AB45">
        <f>HYPERLINK("https://klasma.github.io/Logging_2182/klagomålsmail/A 60318-2025 FSC-klagomål mail.docx", "A 60318-2025")</f>
        <v/>
      </c>
      <c r="AC45">
        <f>HYPERLINK("https://klasma.github.io/Logging_2182/tillsyn/A 60318-2025 tillsynsbegäran.docx", "A 60318-2025")</f>
        <v/>
      </c>
      <c r="AD45">
        <f>HYPERLINK("https://klasma.github.io/Logging_2182/tillsynsmail/A 60318-2025 tillsynsbegäran mail.docx", "A 60318-2025")</f>
        <v/>
      </c>
    </row>
    <row r="46" ht="15" customHeight="1">
      <c r="A46" t="inlineStr">
        <is>
          <t>A 6060-2026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46248</v>
      </c>
      <c r="F46" t="inlineStr">
        <is>
          <t>GÄVLEBORGS LÄN</t>
        </is>
      </c>
      <c r="G46" t="inlineStr">
        <is>
          <t>SÖDERHAMN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Barkticka</t>
        </is>
      </c>
      <c r="W46">
        <f>HYPERLINK("https://klasma.github.io/Logging_2182/artfynd/A 6060-2026 artfynd.xlsx", "A 6060-2026")</f>
        <v/>
      </c>
      <c r="X46">
        <f>HYPERLINK("https://klasma.github.io/Logging_2182/kartor/A 6060-2026 karta.png", "A 6060-2026")</f>
        <v/>
      </c>
      <c r="Y46">
        <f>HYPERLINK("https://klasma.github.io/Logging_2182/kartor_geotiff/A 6060-2026 georefererad karta.tif", "A 6060-2026")</f>
        <v/>
      </c>
      <c r="AA46">
        <f>HYPERLINK("https://klasma.github.io/Logging_2182/klagomål/A 6060-2026 FSC-klagomål.docx", "A 6060-2026")</f>
        <v/>
      </c>
      <c r="AB46">
        <f>HYPERLINK("https://klasma.github.io/Logging_2182/klagomålsmail/A 6060-2026 FSC-klagomål mail.docx", "A 6060-2026")</f>
        <v/>
      </c>
      <c r="AC46">
        <f>HYPERLINK("https://klasma.github.io/Logging_2182/tillsyn/A 6060-2026 tillsynsbegäran.docx", "A 6060-2026")</f>
        <v/>
      </c>
      <c r="AD46">
        <f>HYPERLINK("https://klasma.github.io/Logging_2182/tillsynsmail/A 6060-2026 tillsynsbegäran mail.docx", "A 6060-2026")</f>
        <v/>
      </c>
    </row>
    <row r="47" ht="15" customHeight="1">
      <c r="A47" t="inlineStr">
        <is>
          <t>A 5946-2026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46248</v>
      </c>
      <c r="F47" t="inlineStr">
        <is>
          <t>GÄVLEBORGS LÄN</t>
        </is>
      </c>
      <c r="G47" t="inlineStr">
        <is>
          <t>SÖDERHAMN</t>
        </is>
      </c>
      <c r="I47" t="n">
        <v>8.800000000000001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Stor aspticka</t>
        </is>
      </c>
      <c r="W47">
        <f>HYPERLINK("https://klasma.github.io/Logging_2182/artfynd/A 5946-2026 artfynd.xlsx", "A 5946-2026")</f>
        <v/>
      </c>
      <c r="X47">
        <f>HYPERLINK("https://klasma.github.io/Logging_2182/kartor/A 5946-2026 karta.png", "A 5946-2026")</f>
        <v/>
      </c>
      <c r="Y47">
        <f>HYPERLINK("https://klasma.github.io/Logging_2182/kartor_geotiff/A 5946-2026 georefererad karta.tif", "A 5946-2026")</f>
        <v/>
      </c>
      <c r="AA47">
        <f>HYPERLINK("https://klasma.github.io/Logging_2182/klagomål/A 5946-2026 FSC-klagomål.docx", "A 5946-2026")</f>
        <v/>
      </c>
      <c r="AB47">
        <f>HYPERLINK("https://klasma.github.io/Logging_2182/klagomålsmail/A 5946-2026 FSC-klagomål mail.docx", "A 5946-2026")</f>
        <v/>
      </c>
      <c r="AC47">
        <f>HYPERLINK("https://klasma.github.io/Logging_2182/tillsyn/A 5946-2026 tillsynsbegäran.docx", "A 5946-2026")</f>
        <v/>
      </c>
      <c r="AD47">
        <f>HYPERLINK("https://klasma.github.io/Logging_2182/tillsynsmail/A 5946-2026 tillsynsbegäran mail.docx", "A 5946-2026")</f>
        <v/>
      </c>
    </row>
    <row r="48" ht="15" customHeight="1">
      <c r="A48" t="inlineStr">
        <is>
          <t>A 9284-2026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46248</v>
      </c>
      <c r="F48" t="inlineStr">
        <is>
          <t>GÄVLEBORGS LÄN</t>
        </is>
      </c>
      <c r="G48" t="inlineStr">
        <is>
          <t>SÖDERHAMN</t>
        </is>
      </c>
      <c r="I48" t="n">
        <v>0.2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HYPERLINK("https://klasma.github.io/Logging_2182/artfynd/A 9284-2026 artfynd.xlsx", "A 9284-2026")</f>
        <v/>
      </c>
      <c r="X48">
        <f>HYPERLINK("https://klasma.github.io/Logging_2182/kartor/A 9284-2026 karta.png", "A 9284-2026")</f>
        <v/>
      </c>
      <c r="Y48">
        <f>HYPERLINK("https://klasma.github.io/Logging_2182/kartor_geotiff/A 9284-2026 georefererad karta.tif", "A 9284-2026")</f>
        <v/>
      </c>
      <c r="Z48">
        <f>HYPERLINK("https://klasma.github.io/Logging_2182/knärot/A 9284-2026 karta knärot.png", "A 9284-2026")</f>
        <v/>
      </c>
      <c r="AA48">
        <f>HYPERLINK("https://klasma.github.io/Logging_2182/klagomål/A 9284-2026 FSC-klagomål.docx", "A 9284-2026")</f>
        <v/>
      </c>
      <c r="AB48">
        <f>HYPERLINK("https://klasma.github.io/Logging_2182/klagomålsmail/A 9284-2026 FSC-klagomål mail.docx", "A 9284-2026")</f>
        <v/>
      </c>
      <c r="AC48">
        <f>HYPERLINK("https://klasma.github.io/Logging_2182/tillsyn/A 9284-2026 tillsynsbegäran.docx", "A 9284-2026")</f>
        <v/>
      </c>
      <c r="AD48">
        <f>HYPERLINK("https://klasma.github.io/Logging_2182/tillsynsmail/A 9284-2026 tillsynsbegäran mail.docx", "A 9284-2026")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46248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46248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46248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46248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46248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46248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46248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46248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46248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46248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46248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46248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46248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46248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22019-2022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44711</v>
      </c>
      <c r="E63" s="1" t="n">
        <v>46248</v>
      </c>
      <c r="F63" t="inlineStr">
        <is>
          <t>GÄVLEBORGS LÄN</t>
        </is>
      </c>
      <c r="G63" t="inlineStr">
        <is>
          <t>SÖDERHAMN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46248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46248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46248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32749-2022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46248</v>
      </c>
      <c r="F67" t="inlineStr">
        <is>
          <t>GÄVLEBORGS LÄN</t>
        </is>
      </c>
      <c r="G67" t="inlineStr">
        <is>
          <t>SÖDERHAMN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46248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46248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44820</v>
      </c>
      <c r="E70" s="1" t="n">
        <v>46248</v>
      </c>
      <c r="F70" t="inlineStr">
        <is>
          <t>GÄVLEBORGS LÄN</t>
        </is>
      </c>
      <c r="G70" t="inlineStr">
        <is>
          <t>SÖDERHAMN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46248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46248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46248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46248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46248</v>
      </c>
      <c r="F75" t="inlineStr">
        <is>
          <t>GÄVLEBORGS LÄN</t>
        </is>
      </c>
      <c r="G75" t="inlineStr">
        <is>
          <t>SÖDERHAMN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44838</v>
      </c>
      <c r="E76" s="1" t="n">
        <v>46248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46248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46248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46248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46248</v>
      </c>
      <c r="F80" t="inlineStr">
        <is>
          <t>GÄVLEBORGS LÄN</t>
        </is>
      </c>
      <c r="G80" t="inlineStr">
        <is>
          <t>SÖDERHAMN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45428</v>
      </c>
      <c r="E81" s="1" t="n">
        <v>46248</v>
      </c>
      <c r="F81" t="inlineStr">
        <is>
          <t>GÄVLEBORGS LÄN</t>
        </is>
      </c>
      <c r="G81" t="inlineStr">
        <is>
          <t>SÖDERHAMN</t>
        </is>
      </c>
      <c r="H81" t="inlineStr">
        <is>
          <t>Bergvik skog väst AB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46248</v>
      </c>
      <c r="F82" t="inlineStr">
        <is>
          <t>GÄVLEBORGS LÄN</t>
        </is>
      </c>
      <c r="G82" t="inlineStr">
        <is>
          <t>SÖDERHAMN</t>
        </is>
      </c>
      <c r="H82" t="inlineStr">
        <is>
          <t>Kommuner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46248</v>
      </c>
      <c r="F83" t="inlineStr">
        <is>
          <t>GÄVLEBORGS LÄN</t>
        </is>
      </c>
      <c r="G83" t="inlineStr">
        <is>
          <t>SÖDERHAMN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25904-2024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45467</v>
      </c>
      <c r="E84" s="1" t="n">
        <v>46248</v>
      </c>
      <c r="F84" t="inlineStr">
        <is>
          <t>GÄVLEBORGS LÄN</t>
        </is>
      </c>
      <c r="G84" t="inlineStr">
        <is>
          <t>SÖDERHAMN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45027</v>
      </c>
      <c r="E85" s="1" t="n">
        <v>46248</v>
      </c>
      <c r="F85" t="inlineStr">
        <is>
          <t>GÄVLEBORGS LÄN</t>
        </is>
      </c>
      <c r="G85" t="inlineStr">
        <is>
          <t>SÖDERHAMN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46248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46248</v>
      </c>
      <c r="F87" t="inlineStr">
        <is>
          <t>GÄVLEBORGS LÄN</t>
        </is>
      </c>
      <c r="G87" t="inlineStr">
        <is>
          <t>SÖDERHAMN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46248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46248</v>
      </c>
      <c r="F89" t="inlineStr">
        <is>
          <t>GÄVLEBORGS LÄN</t>
        </is>
      </c>
      <c r="G89" t="inlineStr">
        <is>
          <t>SÖDERHAMN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46248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58544-2023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45251</v>
      </c>
      <c r="E91" s="1" t="n">
        <v>46248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45342</v>
      </c>
      <c r="E92" s="1" t="n">
        <v>46248</v>
      </c>
      <c r="F92" t="inlineStr">
        <is>
          <t>GÄVLEBORGS LÄN</t>
        </is>
      </c>
      <c r="G92" t="inlineStr">
        <is>
          <t>SÖDERHAMN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46248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46248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46248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59048-2024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46248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46248</v>
      </c>
      <c r="F97" t="inlineStr">
        <is>
          <t>GÄVLEBORGS LÄN</t>
        </is>
      </c>
      <c r="G97" t="inlineStr">
        <is>
          <t>SÖDERHAMN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46248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55240-2024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45621</v>
      </c>
      <c r="E99" s="1" t="n">
        <v>46248</v>
      </c>
      <c r="F99" t="inlineStr">
        <is>
          <t>GÄVLEBORGS LÄN</t>
        </is>
      </c>
      <c r="G99" t="inlineStr">
        <is>
          <t>SÖDERHAMN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27862-2023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46248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46248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46248</v>
      </c>
      <c r="F102" t="inlineStr">
        <is>
          <t>GÄVLEBORGS LÄN</t>
        </is>
      </c>
      <c r="G102" t="inlineStr">
        <is>
          <t>SÖDERHAMN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46248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24933-2024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45461</v>
      </c>
      <c r="E104" s="1" t="n">
        <v>46248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46248</v>
      </c>
      <c r="F105" t="inlineStr">
        <is>
          <t>GÄVLEBORGS LÄN</t>
        </is>
      </c>
      <c r="G105" t="inlineStr">
        <is>
          <t>SÖDERHAMN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46248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44937</v>
      </c>
      <c r="E107" s="1" t="n">
        <v>46248</v>
      </c>
      <c r="F107" t="inlineStr">
        <is>
          <t>GÄVLEBORGS LÄN</t>
        </is>
      </c>
      <c r="G107" t="inlineStr">
        <is>
          <t>SÖDERHAMN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46248</v>
      </c>
      <c r="F108" t="inlineStr">
        <is>
          <t>GÄVLEBORGS LÄN</t>
        </is>
      </c>
      <c r="G108" t="inlineStr">
        <is>
          <t>SÖDERHAMN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46248</v>
      </c>
      <c r="F109" t="inlineStr">
        <is>
          <t>GÄVLEBORGS LÄN</t>
        </is>
      </c>
      <c r="G109" t="inlineStr">
        <is>
          <t>SÖDERHAMN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46248</v>
      </c>
      <c r="F110" t="inlineStr">
        <is>
          <t>GÄVLEBORGS LÄN</t>
        </is>
      </c>
      <c r="G110" t="inlineStr">
        <is>
          <t>SÖDERHAMN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46248</v>
      </c>
      <c r="F111" t="inlineStr">
        <is>
          <t>GÄVLEBORGS LÄN</t>
        </is>
      </c>
      <c r="G111" t="inlineStr">
        <is>
          <t>SÖDERHAMN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46248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46248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45632</v>
      </c>
      <c r="E114" s="1" t="n">
        <v>46248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46248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45296</v>
      </c>
      <c r="E116" s="1" t="n">
        <v>46248</v>
      </c>
      <c r="F116" t="inlineStr">
        <is>
          <t>GÄVLEBORGS LÄN</t>
        </is>
      </c>
      <c r="G116" t="inlineStr">
        <is>
          <t>SÖDERHAMN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21991-2024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46248</v>
      </c>
      <c r="F117" t="inlineStr">
        <is>
          <t>GÄVLEBORGS LÄN</t>
        </is>
      </c>
      <c r="G117" t="inlineStr">
        <is>
          <t>SÖDERHAMN</t>
        </is>
      </c>
      <c r="H117" t="inlineStr">
        <is>
          <t>Kommuner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44957</v>
      </c>
      <c r="E118" s="1" t="n">
        <v>46248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46248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45652</v>
      </c>
      <c r="E120" s="1" t="n">
        <v>46248</v>
      </c>
      <c r="F120" t="inlineStr">
        <is>
          <t>GÄVLEBORGS LÄN</t>
        </is>
      </c>
      <c r="G120" t="inlineStr">
        <is>
          <t>SÖDERHAMN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46248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44662</v>
      </c>
      <c r="E122" s="1" t="n">
        <v>46248</v>
      </c>
      <c r="F122" t="inlineStr">
        <is>
          <t>GÄVLEBORGS LÄN</t>
        </is>
      </c>
      <c r="G122" t="inlineStr">
        <is>
          <t>SÖDERHAMN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46248</v>
      </c>
      <c r="F123" t="inlineStr">
        <is>
          <t>GÄVLEBORGS LÄN</t>
        </is>
      </c>
      <c r="G123" t="inlineStr">
        <is>
          <t>SÖDERHAMN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46248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46248</v>
      </c>
      <c r="F125" t="inlineStr">
        <is>
          <t>GÄVLEBORGS LÄN</t>
        </is>
      </c>
      <c r="G125" t="inlineStr">
        <is>
          <t>SÖDERHAMN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46248</v>
      </c>
      <c r="F126" t="inlineStr">
        <is>
          <t>GÄVLEBORGS LÄN</t>
        </is>
      </c>
      <c r="G126" t="inlineStr">
        <is>
          <t>SÖDERHAMN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72644-2021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46248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46248</v>
      </c>
      <c r="F128" t="inlineStr">
        <is>
          <t>GÄVLEBORGS LÄN</t>
        </is>
      </c>
      <c r="G128" t="inlineStr">
        <is>
          <t>SÖDERHAMN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45632</v>
      </c>
      <c r="E129" s="1" t="n">
        <v>46248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46248</v>
      </c>
      <c r="F130" t="inlineStr">
        <is>
          <t>GÄVLEBORGS LÄN</t>
        </is>
      </c>
      <c r="G130" t="inlineStr">
        <is>
          <t>SÖDERHAMN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46248</v>
      </c>
      <c r="F131" t="inlineStr">
        <is>
          <t>GÄVLEBORGS LÄN</t>
        </is>
      </c>
      <c r="G131" t="inlineStr">
        <is>
          <t>SÖDERHAMN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46248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45365</v>
      </c>
      <c r="E133" s="1" t="n">
        <v>46248</v>
      </c>
      <c r="F133" t="inlineStr">
        <is>
          <t>GÄVLEBORGS LÄN</t>
        </is>
      </c>
      <c r="G133" t="inlineStr">
        <is>
          <t>SÖDERHAMN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46248</v>
      </c>
      <c r="F134" t="inlineStr">
        <is>
          <t>GÄVLEBORGS LÄN</t>
        </is>
      </c>
      <c r="G134" t="inlineStr">
        <is>
          <t>SÖDERHAMN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46248</v>
      </c>
      <c r="F135" t="inlineStr">
        <is>
          <t>GÄVLEBORGS LÄN</t>
        </is>
      </c>
      <c r="G135" t="inlineStr">
        <is>
          <t>SÖDERHAMN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46248</v>
      </c>
      <c r="F136" t="inlineStr">
        <is>
          <t>GÄVLEBORGS LÄN</t>
        </is>
      </c>
      <c r="G136" t="inlineStr">
        <is>
          <t>SÖDERHAMN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45040</v>
      </c>
      <c r="E137" s="1" t="n">
        <v>46248</v>
      </c>
      <c r="F137" t="inlineStr">
        <is>
          <t>GÄVLEBORGS LÄN</t>
        </is>
      </c>
      <c r="G137" t="inlineStr">
        <is>
          <t>SÖDERHAMN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46248</v>
      </c>
      <c r="F138" t="inlineStr">
        <is>
          <t>GÄVLEBORGS LÄN</t>
        </is>
      </c>
      <c r="G138" t="inlineStr">
        <is>
          <t>SÖDERHAMN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46248</v>
      </c>
      <c r="F139" t="inlineStr">
        <is>
          <t>GÄVLEBORGS LÄN</t>
        </is>
      </c>
      <c r="G139" t="inlineStr">
        <is>
          <t>SÖDERHAMN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45593</v>
      </c>
      <c r="E140" s="1" t="n">
        <v>46248</v>
      </c>
      <c r="F140" t="inlineStr">
        <is>
          <t>GÄVLEBORGS LÄN</t>
        </is>
      </c>
      <c r="G140" t="inlineStr">
        <is>
          <t>SÖDERHAMN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46248</v>
      </c>
      <c r="F141" t="inlineStr">
        <is>
          <t>GÄVLEBORGS LÄN</t>
        </is>
      </c>
      <c r="G141" t="inlineStr">
        <is>
          <t>SÖDERHAMN</t>
        </is>
      </c>
      <c r="H141" t="inlineStr">
        <is>
          <t>Kommuner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44837</v>
      </c>
      <c r="E142" s="1" t="n">
        <v>46248</v>
      </c>
      <c r="F142" t="inlineStr">
        <is>
          <t>GÄVLEBORGS LÄN</t>
        </is>
      </c>
      <c r="G142" t="inlineStr">
        <is>
          <t>SÖDERHAMN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46248</v>
      </c>
      <c r="F143" t="inlineStr">
        <is>
          <t>GÄVLEBORGS LÄN</t>
        </is>
      </c>
      <c r="G143" t="inlineStr">
        <is>
          <t>SÖDERHAMN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46248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46248</v>
      </c>
      <c r="F145" t="inlineStr">
        <is>
          <t>GÄVLEBORGS LÄN</t>
        </is>
      </c>
      <c r="G145" t="inlineStr">
        <is>
          <t>SÖDERHAMN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46248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46248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46248</v>
      </c>
      <c r="F148" t="inlineStr">
        <is>
          <t>GÄVLEBORGS LÄN</t>
        </is>
      </c>
      <c r="G148" t="inlineStr">
        <is>
          <t>SÖDERHAMN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44824</v>
      </c>
      <c r="E149" s="1" t="n">
        <v>46248</v>
      </c>
      <c r="F149" t="inlineStr">
        <is>
          <t>GÄVLEBORGS LÄN</t>
        </is>
      </c>
      <c r="G149" t="inlineStr">
        <is>
          <t>SÖDERHAMN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46248</v>
      </c>
      <c r="F150" t="inlineStr">
        <is>
          <t>GÄVLEBORGS LÄN</t>
        </is>
      </c>
      <c r="G150" t="inlineStr">
        <is>
          <t>SÖDERHAMN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46248</v>
      </c>
      <c r="F151" t="inlineStr">
        <is>
          <t>GÄVLEBORGS LÄN</t>
        </is>
      </c>
      <c r="G151" t="inlineStr">
        <is>
          <t>SÖDERHAMN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45597</v>
      </c>
      <c r="E152" s="1" t="n">
        <v>46248</v>
      </c>
      <c r="F152" t="inlineStr">
        <is>
          <t>GÄVLEBORGS LÄN</t>
        </is>
      </c>
      <c r="G152" t="inlineStr">
        <is>
          <t>SÖDERHAMN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42902-2024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45566</v>
      </c>
      <c r="E153" s="1" t="n">
        <v>46248</v>
      </c>
      <c r="F153" t="inlineStr">
        <is>
          <t>GÄVLEBORGS LÄN</t>
        </is>
      </c>
      <c r="G153" t="inlineStr">
        <is>
          <t>SÖDERHAMN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45677</v>
      </c>
      <c r="E154" s="1" t="n">
        <v>46248</v>
      </c>
      <c r="F154" t="inlineStr">
        <is>
          <t>GÄVLEBORGS LÄN</t>
        </is>
      </c>
      <c r="G154" t="inlineStr">
        <is>
          <t>SÖDERHAMN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7972-2025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45707</v>
      </c>
      <c r="E155" s="1" t="n">
        <v>46248</v>
      </c>
      <c r="F155" t="inlineStr">
        <is>
          <t>GÄVLEBORGS LÄN</t>
        </is>
      </c>
      <c r="G155" t="inlineStr">
        <is>
          <t>SÖDERHAMN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46248</v>
      </c>
      <c r="F156" t="inlineStr">
        <is>
          <t>GÄVLEBORGS LÄN</t>
        </is>
      </c>
      <c r="G156" t="inlineStr">
        <is>
          <t>SÖDERHAMN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46248</v>
      </c>
      <c r="F157" t="inlineStr">
        <is>
          <t>GÄVLEBORGS LÄN</t>
        </is>
      </c>
      <c r="G157" t="inlineStr">
        <is>
          <t>SÖDERHAMN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46248</v>
      </c>
      <c r="F158" t="inlineStr">
        <is>
          <t>GÄVLEBORGS LÄN</t>
        </is>
      </c>
      <c r="G158" t="inlineStr">
        <is>
          <t>SÖDERHAMN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46248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57500-2023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45246</v>
      </c>
      <c r="E160" s="1" t="n">
        <v>46248</v>
      </c>
      <c r="F160" t="inlineStr">
        <is>
          <t>GÄVLEBORGS LÄN</t>
        </is>
      </c>
      <c r="G160" t="inlineStr">
        <is>
          <t>SÖDERHAMN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46248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46248</v>
      </c>
      <c r="F162" t="inlineStr">
        <is>
          <t>GÄVLEBORGS LÄN</t>
        </is>
      </c>
      <c r="G162" t="inlineStr">
        <is>
          <t>SÖDERHAMN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44665</v>
      </c>
      <c r="E163" s="1" t="n">
        <v>46248</v>
      </c>
      <c r="F163" t="inlineStr">
        <is>
          <t>GÄVLEBORGS LÄN</t>
        </is>
      </c>
      <c r="G163" t="inlineStr">
        <is>
          <t>SÖDERHAMN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46248</v>
      </c>
      <c r="F164" t="inlineStr">
        <is>
          <t>GÄVLEBORGS LÄN</t>
        </is>
      </c>
      <c r="G164" t="inlineStr">
        <is>
          <t>SÖDERHAMN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45545</v>
      </c>
      <c r="E165" s="1" t="n">
        <v>46248</v>
      </c>
      <c r="F165" t="inlineStr">
        <is>
          <t>GÄVLEBORGS LÄN</t>
        </is>
      </c>
      <c r="G165" t="inlineStr">
        <is>
          <t>SÖDERHAMN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54135-2024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45616</v>
      </c>
      <c r="E166" s="1" t="n">
        <v>46248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46248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46248</v>
      </c>
      <c r="F168" t="inlineStr">
        <is>
          <t>GÄVLEBORGS LÄN</t>
        </is>
      </c>
      <c r="G168" t="inlineStr">
        <is>
          <t>SÖDERHAMN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46248</v>
      </c>
      <c r="F169" t="inlineStr">
        <is>
          <t>GÄVLEBORGS LÄN</t>
        </is>
      </c>
      <c r="G169" t="inlineStr">
        <is>
          <t>SÖDERHAMN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45426</v>
      </c>
      <c r="E170" s="1" t="n">
        <v>46248</v>
      </c>
      <c r="F170" t="inlineStr">
        <is>
          <t>GÄVLEBORGS LÄN</t>
        </is>
      </c>
      <c r="G170" t="inlineStr">
        <is>
          <t>SÖDERHAMN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46248</v>
      </c>
      <c r="F171" t="inlineStr">
        <is>
          <t>GÄVLEBORGS LÄN</t>
        </is>
      </c>
      <c r="G171" t="inlineStr">
        <is>
          <t>SÖDERHAMN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46248</v>
      </c>
      <c r="F172" t="inlineStr">
        <is>
          <t>GÄVLEBORGS LÄN</t>
        </is>
      </c>
      <c r="G172" t="inlineStr">
        <is>
          <t>SÖDERHAMN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46248</v>
      </c>
      <c r="F173" t="inlineStr">
        <is>
          <t>GÄVLEBORGS LÄN</t>
        </is>
      </c>
      <c r="G173" t="inlineStr">
        <is>
          <t>SÖDERHAMN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46248</v>
      </c>
      <c r="F174" t="inlineStr">
        <is>
          <t>GÄVLEBORGS LÄN</t>
        </is>
      </c>
      <c r="G174" t="inlineStr">
        <is>
          <t>SÖDERHAMN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46248</v>
      </c>
      <c r="F175" t="inlineStr">
        <is>
          <t>GÄVLEBORGS LÄN</t>
        </is>
      </c>
      <c r="G175" t="inlineStr">
        <is>
          <t>SÖDERHAMN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46248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46248</v>
      </c>
      <c r="F177" t="inlineStr">
        <is>
          <t>GÄVLEBORGS LÄN</t>
        </is>
      </c>
      <c r="G177" t="inlineStr">
        <is>
          <t>SÖDERHAMN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46248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46248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46248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34752-2024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45526</v>
      </c>
      <c r="E181" s="1" t="n">
        <v>46248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44750</v>
      </c>
      <c r="E182" s="1" t="n">
        <v>46248</v>
      </c>
      <c r="F182" t="inlineStr">
        <is>
          <t>GÄVLEBORGS LÄN</t>
        </is>
      </c>
      <c r="G182" t="inlineStr">
        <is>
          <t>SÖDERHAMN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46248</v>
      </c>
      <c r="F183" t="inlineStr">
        <is>
          <t>GÄVLEBORGS LÄN</t>
        </is>
      </c>
      <c r="G183" t="inlineStr">
        <is>
          <t>SÖDERHAMN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46248</v>
      </c>
      <c r="F184" t="inlineStr">
        <is>
          <t>GÄVLEBORGS LÄN</t>
        </is>
      </c>
      <c r="G184" t="inlineStr">
        <is>
          <t>SÖDERHAMN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45425</v>
      </c>
      <c r="E185" s="1" t="n">
        <v>46248</v>
      </c>
      <c r="F185" t="inlineStr">
        <is>
          <t>GÄVLEBORGS LÄN</t>
        </is>
      </c>
      <c r="G185" t="inlineStr">
        <is>
          <t>SÖDERHAMN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46248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46248</v>
      </c>
      <c r="F187" t="inlineStr">
        <is>
          <t>GÄVLEBORGS LÄN</t>
        </is>
      </c>
      <c r="G187" t="inlineStr">
        <is>
          <t>SÖDERHAMN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45260</v>
      </c>
      <c r="E188" s="1" t="n">
        <v>46248</v>
      </c>
      <c r="F188" t="inlineStr">
        <is>
          <t>GÄVLEBORGS LÄN</t>
        </is>
      </c>
      <c r="G188" t="inlineStr">
        <is>
          <t>SÖDERHAMN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46248</v>
      </c>
      <c r="F189" t="inlineStr">
        <is>
          <t>GÄVLEBORGS LÄN</t>
        </is>
      </c>
      <c r="G189" t="inlineStr">
        <is>
          <t>SÖDERHAMN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46248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46248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46248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45574</v>
      </c>
      <c r="E193" s="1" t="n">
        <v>46248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46248</v>
      </c>
      <c r="F194" t="inlineStr">
        <is>
          <t>GÄVLEBORGS LÄN</t>
        </is>
      </c>
      <c r="G194" t="inlineStr">
        <is>
          <t>SÖDERHAMN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46248</v>
      </c>
      <c r="F195" t="inlineStr">
        <is>
          <t>GÄVLEBORGS LÄN</t>
        </is>
      </c>
      <c r="G195" t="inlineStr">
        <is>
          <t>SÖDERHAMN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52518-2024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45609</v>
      </c>
      <c r="E196" s="1" t="n">
        <v>46248</v>
      </c>
      <c r="F196" t="inlineStr">
        <is>
          <t>GÄVLEBORGS LÄN</t>
        </is>
      </c>
      <c r="G196" t="inlineStr">
        <is>
          <t>SÖDERHAMN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46248</v>
      </c>
      <c r="F197" t="inlineStr">
        <is>
          <t>GÄVLEBORGS LÄN</t>
        </is>
      </c>
      <c r="G197" t="inlineStr">
        <is>
          <t>SÖDERHAMN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45170</v>
      </c>
      <c r="E198" s="1" t="n">
        <v>46248</v>
      </c>
      <c r="F198" t="inlineStr">
        <is>
          <t>GÄVLEBORGS LÄN</t>
        </is>
      </c>
      <c r="G198" t="inlineStr">
        <is>
          <t>SÖDERHAMN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44564</v>
      </c>
      <c r="E199" s="1" t="n">
        <v>46248</v>
      </c>
      <c r="F199" t="inlineStr">
        <is>
          <t>GÄVLEBORGS LÄN</t>
        </is>
      </c>
      <c r="G199" t="inlineStr">
        <is>
          <t>SÖDERHAMN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45394</v>
      </c>
      <c r="E200" s="1" t="n">
        <v>46248</v>
      </c>
      <c r="F200" t="inlineStr">
        <is>
          <t>GÄVLEBORGS LÄN</t>
        </is>
      </c>
      <c r="G200" t="inlineStr">
        <is>
          <t>SÖDERHAMN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45327</v>
      </c>
      <c r="E201" s="1" t="n">
        <v>46248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45069</v>
      </c>
      <c r="E202" s="1" t="n">
        <v>46248</v>
      </c>
      <c r="F202" t="inlineStr">
        <is>
          <t>GÄVLEBORGS LÄN</t>
        </is>
      </c>
      <c r="G202" t="inlineStr">
        <is>
          <t>SÖDERHAMN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46248</v>
      </c>
      <c r="F203" t="inlineStr">
        <is>
          <t>GÄVLEBORGS LÄN</t>
        </is>
      </c>
      <c r="G203" t="inlineStr">
        <is>
          <t>SÖDERHAMN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44341-2023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45188</v>
      </c>
      <c r="E204" s="1" t="n">
        <v>46248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Kommuner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46248</v>
      </c>
      <c r="F205" t="inlineStr">
        <is>
          <t>GÄVLEBORGS LÄN</t>
        </is>
      </c>
      <c r="G205" t="inlineStr">
        <is>
          <t>SÖDERHAMN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45750</v>
      </c>
      <c r="E206" s="1" t="n">
        <v>46248</v>
      </c>
      <c r="F206" t="inlineStr">
        <is>
          <t>GÄVLEBORGS LÄN</t>
        </is>
      </c>
      <c r="G206" t="inlineStr">
        <is>
          <t>SÖDERHAMN</t>
        </is>
      </c>
      <c r="H206" t="inlineStr">
        <is>
          <t>Kommuner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45677</v>
      </c>
      <c r="E207" s="1" t="n">
        <v>46248</v>
      </c>
      <c r="F207" t="inlineStr">
        <is>
          <t>GÄVLEBORGS LÄN</t>
        </is>
      </c>
      <c r="G207" t="inlineStr">
        <is>
          <t>SÖDERHAMN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46248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46248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45461</v>
      </c>
      <c r="E210" s="1" t="n">
        <v>46248</v>
      </c>
      <c r="F210" t="inlineStr">
        <is>
          <t>GÄVLEBORGS LÄN</t>
        </is>
      </c>
      <c r="G210" t="inlineStr">
        <is>
          <t>SÖDERHAMN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46248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45670</v>
      </c>
      <c r="E212" s="1" t="n">
        <v>46248</v>
      </c>
      <c r="F212" t="inlineStr">
        <is>
          <t>GÄVLEBORGS LÄN</t>
        </is>
      </c>
      <c r="G212" t="inlineStr">
        <is>
          <t>SÖDERHAMN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46248</v>
      </c>
      <c r="F213" t="inlineStr">
        <is>
          <t>GÄVLEBORGS LÄN</t>
        </is>
      </c>
      <c r="G213" t="inlineStr">
        <is>
          <t>SÖDERHAMN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45108</v>
      </c>
      <c r="E214" s="1" t="n">
        <v>46248</v>
      </c>
      <c r="F214" t="inlineStr">
        <is>
          <t>GÄVLEBORGS LÄN</t>
        </is>
      </c>
      <c r="G214" t="inlineStr">
        <is>
          <t>SÖDERHAMN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45108</v>
      </c>
      <c r="E215" s="1" t="n">
        <v>46248</v>
      </c>
      <c r="F215" t="inlineStr">
        <is>
          <t>GÄVLEBORGS LÄN</t>
        </is>
      </c>
      <c r="G215" t="inlineStr">
        <is>
          <t>SÖDERHAMN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44651</v>
      </c>
      <c r="E216" s="1" t="n">
        <v>46248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46248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45331</v>
      </c>
      <c r="E218" s="1" t="n">
        <v>46248</v>
      </c>
      <c r="F218" t="inlineStr">
        <is>
          <t>GÄVLEBORGS LÄN</t>
        </is>
      </c>
      <c r="G218" t="inlineStr">
        <is>
          <t>SÖDERHAMN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46248</v>
      </c>
      <c r="F219" t="inlineStr">
        <is>
          <t>GÄVLEBORGS LÄN</t>
        </is>
      </c>
      <c r="G219" t="inlineStr">
        <is>
          <t>SÖDERHAMN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46248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46248</v>
      </c>
      <c r="F221" t="inlineStr">
        <is>
          <t>GÄVLEBORGS LÄN</t>
        </is>
      </c>
      <c r="G221" t="inlineStr">
        <is>
          <t>SÖDERHAMN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46248</v>
      </c>
      <c r="F222" t="inlineStr">
        <is>
          <t>GÄVLEBORGS LÄN</t>
        </is>
      </c>
      <c r="G222" t="inlineStr">
        <is>
          <t>SÖDERHAMN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63431-2021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46248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45560</v>
      </c>
      <c r="E224" s="1" t="n">
        <v>46248</v>
      </c>
      <c r="F224" t="inlineStr">
        <is>
          <t>GÄVLEBORGS LÄN</t>
        </is>
      </c>
      <c r="G224" t="inlineStr">
        <is>
          <t>SÖDERHAMN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46248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13805-2022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44649</v>
      </c>
      <c r="E226" s="1" t="n">
        <v>46248</v>
      </c>
      <c r="F226" t="inlineStr">
        <is>
          <t>GÄVLEBORGS LÄN</t>
        </is>
      </c>
      <c r="G226" t="inlineStr">
        <is>
          <t>SÖDERHAMN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46248</v>
      </c>
      <c r="F227" t="inlineStr">
        <is>
          <t>GÄVLEBORGS LÄN</t>
        </is>
      </c>
      <c r="G227" t="inlineStr">
        <is>
          <t>SÖDERHAMN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44460</v>
      </c>
      <c r="E228" s="1" t="n">
        <v>46248</v>
      </c>
      <c r="F228" t="inlineStr">
        <is>
          <t>GÄVLEBORGS LÄN</t>
        </is>
      </c>
      <c r="G228" t="inlineStr">
        <is>
          <t>SÖDERHAMN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46248</v>
      </c>
      <c r="F229" t="inlineStr">
        <is>
          <t>GÄVLEBORGS LÄN</t>
        </is>
      </c>
      <c r="G229" t="inlineStr">
        <is>
          <t>SÖDERHAMN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45373</v>
      </c>
      <c r="E230" s="1" t="n">
        <v>46248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46248</v>
      </c>
      <c r="F231" t="inlineStr">
        <is>
          <t>GÄVLEBORGS LÄN</t>
        </is>
      </c>
      <c r="G231" t="inlineStr">
        <is>
          <t>SÖDERHAMN</t>
        </is>
      </c>
      <c r="H231" t="inlineStr">
        <is>
          <t>Kommuner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11075-2023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44992</v>
      </c>
      <c r="E232" s="1" t="n">
        <v>46248</v>
      </c>
      <c r="F232" t="inlineStr">
        <is>
          <t>GÄVLEBORGS LÄN</t>
        </is>
      </c>
      <c r="G232" t="inlineStr">
        <is>
          <t>SÖDERHAMN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46248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56933-2024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45628</v>
      </c>
      <c r="E234" s="1" t="n">
        <v>46248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53503-2023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45230</v>
      </c>
      <c r="E235" s="1" t="n">
        <v>46248</v>
      </c>
      <c r="F235" t="inlineStr">
        <is>
          <t>GÄVLEBORGS LÄN</t>
        </is>
      </c>
      <c r="G235" t="inlineStr">
        <is>
          <t>SÖDERHAMN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46248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38355-2022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44812</v>
      </c>
      <c r="E237" s="1" t="n">
        <v>46248</v>
      </c>
      <c r="F237" t="inlineStr">
        <is>
          <t>GÄVLEBORGS LÄN</t>
        </is>
      </c>
      <c r="G237" t="inlineStr">
        <is>
          <t>SÖDERHAMN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44760</v>
      </c>
      <c r="E238" s="1" t="n">
        <v>46248</v>
      </c>
      <c r="F238" t="inlineStr">
        <is>
          <t>GÄVLEBORGS LÄN</t>
        </is>
      </c>
      <c r="G238" t="inlineStr">
        <is>
          <t>SÖDERHAMN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45622</v>
      </c>
      <c r="E239" s="1" t="n">
        <v>46248</v>
      </c>
      <c r="F239" t="inlineStr">
        <is>
          <t>GÄVLEBORGS LÄN</t>
        </is>
      </c>
      <c r="G239" t="inlineStr">
        <is>
          <t>SÖDERHAMN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46248</v>
      </c>
      <c r="F240" t="inlineStr">
        <is>
          <t>GÄVLEBORGS LÄN</t>
        </is>
      </c>
      <c r="G240" t="inlineStr">
        <is>
          <t>SÖDERHAMN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46248</v>
      </c>
      <c r="F241" t="inlineStr">
        <is>
          <t>GÄVLEBORGS LÄN</t>
        </is>
      </c>
      <c r="G241" t="inlineStr">
        <is>
          <t>SÖDERHAMN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46248</v>
      </c>
      <c r="F242" t="inlineStr">
        <is>
          <t>GÄVLEBORGS LÄN</t>
        </is>
      </c>
      <c r="G242" t="inlineStr">
        <is>
          <t>SÖDERHAMN</t>
        </is>
      </c>
      <c r="H242" t="inlineStr">
        <is>
          <t>Kommuner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46248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24766-2023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45084</v>
      </c>
      <c r="E244" s="1" t="n">
        <v>46248</v>
      </c>
      <c r="F244" t="inlineStr">
        <is>
          <t>GÄVLEBORGS LÄN</t>
        </is>
      </c>
      <c r="G244" t="inlineStr">
        <is>
          <t>SÖDERHAMN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46248</v>
      </c>
      <c r="F245" t="inlineStr">
        <is>
          <t>GÄVLEBORGS LÄN</t>
        </is>
      </c>
      <c r="G245" t="inlineStr">
        <is>
          <t>SÖDERHAMN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45764</v>
      </c>
      <c r="E246" s="1" t="n">
        <v>46248</v>
      </c>
      <c r="F246" t="inlineStr">
        <is>
          <t>GÄVLEBORGS LÄN</t>
        </is>
      </c>
      <c r="G246" t="inlineStr">
        <is>
          <t>SÖDERHAMN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46248</v>
      </c>
      <c r="F247" t="inlineStr">
        <is>
          <t>GÄVLEBORGS LÄN</t>
        </is>
      </c>
      <c r="G247" t="inlineStr">
        <is>
          <t>SÖDERHAMN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23230-2024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46248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46248</v>
      </c>
      <c r="F249" t="inlineStr">
        <is>
          <t>GÄVLEBORGS LÄN</t>
        </is>
      </c>
      <c r="G249" t="inlineStr">
        <is>
          <t>SÖDERHAMN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71645-2021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44543</v>
      </c>
      <c r="E250" s="1" t="n">
        <v>46248</v>
      </c>
      <c r="F250" t="inlineStr">
        <is>
          <t>GÄVLEBORGS LÄN</t>
        </is>
      </c>
      <c r="G250" t="inlineStr">
        <is>
          <t>SÖDERHAMN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46248</v>
      </c>
      <c r="F251" t="inlineStr">
        <is>
          <t>GÄVLEBORGS LÄN</t>
        </is>
      </c>
      <c r="G251" t="inlineStr">
        <is>
          <t>SÖDERHAMN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41221-2022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44826</v>
      </c>
      <c r="E252" s="1" t="n">
        <v>46248</v>
      </c>
      <c r="F252" t="inlineStr">
        <is>
          <t>GÄVLEBORGS LÄN</t>
        </is>
      </c>
      <c r="G252" t="inlineStr">
        <is>
          <t>SÖDERHAMN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45762</v>
      </c>
      <c r="E253" s="1" t="n">
        <v>46248</v>
      </c>
      <c r="F253" t="inlineStr">
        <is>
          <t>GÄVLEBORGS LÄN</t>
        </is>
      </c>
      <c r="G253" t="inlineStr">
        <is>
          <t>SÖDERHAMN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46248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46248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44582</v>
      </c>
      <c r="E256" s="1" t="n">
        <v>46248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46248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45747</v>
      </c>
      <c r="E258" s="1" t="n">
        <v>46248</v>
      </c>
      <c r="F258" t="inlineStr">
        <is>
          <t>GÄVLEBORGS LÄN</t>
        </is>
      </c>
      <c r="G258" t="inlineStr">
        <is>
          <t>SÖDERHAMN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46248</v>
      </c>
      <c r="F259" t="inlineStr">
        <is>
          <t>GÄVLEBORGS LÄN</t>
        </is>
      </c>
      <c r="G259" t="inlineStr">
        <is>
          <t>SÖDERHAMN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46248</v>
      </c>
      <c r="F260" t="inlineStr">
        <is>
          <t>GÄVLEBORGS LÄN</t>
        </is>
      </c>
      <c r="G260" t="inlineStr">
        <is>
          <t>SÖDERHAMN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45799</v>
      </c>
      <c r="E261" s="1" t="n">
        <v>46248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46248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46248</v>
      </c>
      <c r="F263" t="inlineStr">
        <is>
          <t>GÄVLEBORGS LÄN</t>
        </is>
      </c>
      <c r="G263" t="inlineStr">
        <is>
          <t>SÖDERHAMN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46248</v>
      </c>
      <c r="F264" t="inlineStr">
        <is>
          <t>GÄVLEBORGS LÄN</t>
        </is>
      </c>
      <c r="G264" t="inlineStr">
        <is>
          <t>SÖDERHAMN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45722</v>
      </c>
      <c r="E265" s="1" t="n">
        <v>46248</v>
      </c>
      <c r="F265" t="inlineStr">
        <is>
          <t>GÄVLEBORGS LÄN</t>
        </is>
      </c>
      <c r="G265" t="inlineStr">
        <is>
          <t>SÖDERHAMN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4563-2023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44956</v>
      </c>
      <c r="E266" s="1" t="n">
        <v>46248</v>
      </c>
      <c r="F266" t="inlineStr">
        <is>
          <t>GÄVLEBORGS LÄN</t>
        </is>
      </c>
      <c r="G266" t="inlineStr">
        <is>
          <t>SÖDERHAMN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45428</v>
      </c>
      <c r="E267" s="1" t="n">
        <v>46248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45805</v>
      </c>
      <c r="E268" s="1" t="n">
        <v>46248</v>
      </c>
      <c r="F268" t="inlineStr">
        <is>
          <t>GÄVLEBORGS LÄN</t>
        </is>
      </c>
      <c r="G268" t="inlineStr">
        <is>
          <t>SÖDERHAMN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46248</v>
      </c>
      <c r="F269" t="inlineStr">
        <is>
          <t>GÄVLEBORGS LÄN</t>
        </is>
      </c>
      <c r="G269" t="inlineStr">
        <is>
          <t>SÖDERHAMN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45477</v>
      </c>
      <c r="E270" s="1" t="n">
        <v>46248</v>
      </c>
      <c r="F270" t="inlineStr">
        <is>
          <t>GÄVLEBORGS LÄN</t>
        </is>
      </c>
      <c r="G270" t="inlineStr">
        <is>
          <t>SÖDERHAMN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45805</v>
      </c>
      <c r="E271" s="1" t="n">
        <v>46248</v>
      </c>
      <c r="F271" t="inlineStr">
        <is>
          <t>GÄVLEBORGS LÄN</t>
        </is>
      </c>
      <c r="G271" t="inlineStr">
        <is>
          <t>SÖDERHAMN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59476-2022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44907</v>
      </c>
      <c r="E272" s="1" t="n">
        <v>46248</v>
      </c>
      <c r="F272" t="inlineStr">
        <is>
          <t>GÄVLEBORGS LÄN</t>
        </is>
      </c>
      <c r="G272" t="inlineStr">
        <is>
          <t>SÖDERHAMN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46248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45272</v>
      </c>
      <c r="E274" s="1" t="n">
        <v>46248</v>
      </c>
      <c r="F274" t="inlineStr">
        <is>
          <t>GÄVLEBORGS LÄN</t>
        </is>
      </c>
      <c r="G274" t="inlineStr">
        <is>
          <t>SÖDERHAMN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45799</v>
      </c>
      <c r="E275" s="1" t="n">
        <v>46248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44881</v>
      </c>
      <c r="E276" s="1" t="n">
        <v>46248</v>
      </c>
      <c r="F276" t="inlineStr">
        <is>
          <t>GÄVLEBORGS LÄN</t>
        </is>
      </c>
      <c r="G276" t="inlineStr">
        <is>
          <t>SÖDERHAMN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54799-2022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44883</v>
      </c>
      <c r="E277" s="1" t="n">
        <v>46248</v>
      </c>
      <c r="F277" t="inlineStr">
        <is>
          <t>GÄVLEBORGS LÄN</t>
        </is>
      </c>
      <c r="G277" t="inlineStr">
        <is>
          <t>SÖDERHAMN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45810</v>
      </c>
      <c r="E278" s="1" t="n">
        <v>46248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46248</v>
      </c>
      <c r="F279" t="inlineStr">
        <is>
          <t>GÄVLEBORGS LÄN</t>
        </is>
      </c>
      <c r="G279" t="inlineStr">
        <is>
          <t>SÖDERHAMN</t>
        </is>
      </c>
      <c r="H279" t="inlineStr">
        <is>
          <t>Kommuner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46248</v>
      </c>
      <c r="F280" t="inlineStr">
        <is>
          <t>GÄVLEBORGS LÄN</t>
        </is>
      </c>
      <c r="G280" t="inlineStr">
        <is>
          <t>SÖDERHAMN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45108</v>
      </c>
      <c r="E281" s="1" t="n">
        <v>46248</v>
      </c>
      <c r="F281" t="inlineStr">
        <is>
          <t>GÄVLEBORGS LÄN</t>
        </is>
      </c>
      <c r="G281" t="inlineStr">
        <is>
          <t>SÖDERHAMN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46248</v>
      </c>
      <c r="F282" t="inlineStr">
        <is>
          <t>GÄVLEBORGS LÄN</t>
        </is>
      </c>
      <c r="G282" t="inlineStr">
        <is>
          <t>SÖDERHAMN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45476</v>
      </c>
      <c r="E283" s="1" t="n">
        <v>46248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49786-2024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45597</v>
      </c>
      <c r="E284" s="1" t="n">
        <v>46248</v>
      </c>
      <c r="F284" t="inlineStr">
        <is>
          <t>GÄVLEBORGS LÄN</t>
        </is>
      </c>
      <c r="G284" t="inlineStr">
        <is>
          <t>SÖDERHAMN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46248</v>
      </c>
      <c r="F285" t="inlineStr">
        <is>
          <t>GÄVLEBORGS LÄN</t>
        </is>
      </c>
      <c r="G285" t="inlineStr">
        <is>
          <t>SÖDERHAMN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40577-2022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44823</v>
      </c>
      <c r="E286" s="1" t="n">
        <v>46248</v>
      </c>
      <c r="F286" t="inlineStr">
        <is>
          <t>GÄVLEBORGS LÄN</t>
        </is>
      </c>
      <c r="G286" t="inlineStr">
        <is>
          <t>SÖDERHAMN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46248</v>
      </c>
      <c r="F287" t="inlineStr">
        <is>
          <t>GÄVLEBORGS LÄN</t>
        </is>
      </c>
      <c r="G287" t="inlineStr">
        <is>
          <t>SÖDERHAMN</t>
        </is>
      </c>
      <c r="H287" t="inlineStr">
        <is>
          <t>Kommuner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46248</v>
      </c>
      <c r="F288" t="inlineStr">
        <is>
          <t>GÄVLEBORGS LÄN</t>
        </is>
      </c>
      <c r="G288" t="inlineStr">
        <is>
          <t>SÖDERHAMN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46248</v>
      </c>
      <c r="F289" t="inlineStr">
        <is>
          <t>GÄVLEBORGS LÄN</t>
        </is>
      </c>
      <c r="G289" t="inlineStr">
        <is>
          <t>SÖDERHAMN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45770</v>
      </c>
      <c r="E290" s="1" t="n">
        <v>46248</v>
      </c>
      <c r="F290" t="inlineStr">
        <is>
          <t>GÄVLEBORGS LÄN</t>
        </is>
      </c>
      <c r="G290" t="inlineStr">
        <is>
          <t>SÖDERHAMN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45821</v>
      </c>
      <c r="E291" s="1" t="n">
        <v>46248</v>
      </c>
      <c r="F291" t="inlineStr">
        <is>
          <t>GÄVLEBORGS LÄN</t>
        </is>
      </c>
      <c r="G291" t="inlineStr">
        <is>
          <t>SÖDERHAMN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46248</v>
      </c>
      <c r="F292" t="inlineStr">
        <is>
          <t>GÄVLEBORGS LÄN</t>
        </is>
      </c>
      <c r="G292" t="inlineStr">
        <is>
          <t>SÖDERHAMN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46248</v>
      </c>
      <c r="F293" t="inlineStr">
        <is>
          <t>GÄVLEBORGS LÄN</t>
        </is>
      </c>
      <c r="G293" t="inlineStr">
        <is>
          <t>SÖDERHAMN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45108</v>
      </c>
      <c r="E294" s="1" t="n">
        <v>46248</v>
      </c>
      <c r="F294" t="inlineStr">
        <is>
          <t>GÄVLEBORGS LÄN</t>
        </is>
      </c>
      <c r="G294" t="inlineStr">
        <is>
          <t>SÖDERHAMN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46248</v>
      </c>
      <c r="F295" t="inlineStr">
        <is>
          <t>GÄVLEBORGS LÄN</t>
        </is>
      </c>
      <c r="G295" t="inlineStr">
        <is>
          <t>SÖDERHAMN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46248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45771</v>
      </c>
      <c r="E297" s="1" t="n">
        <v>46248</v>
      </c>
      <c r="F297" t="inlineStr">
        <is>
          <t>GÄVLEBORGS LÄN</t>
        </is>
      </c>
      <c r="G297" t="inlineStr">
        <is>
          <t>SÖDERHAMN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46248</v>
      </c>
      <c r="F298" t="inlineStr">
        <is>
          <t>GÄVLEBORGS LÄN</t>
        </is>
      </c>
      <c r="G298" t="inlineStr">
        <is>
          <t>SÖDERHAMN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46248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45825</v>
      </c>
      <c r="E300" s="1" t="n">
        <v>46248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45590</v>
      </c>
      <c r="E301" s="1" t="n">
        <v>46248</v>
      </c>
      <c r="F301" t="inlineStr">
        <is>
          <t>GÄVLEBORGS LÄN</t>
        </is>
      </c>
      <c r="G301" t="inlineStr">
        <is>
          <t>SÖDERHAMN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50268-2024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46248</v>
      </c>
      <c r="F302" t="inlineStr">
        <is>
          <t>GÄVLEBORGS LÄN</t>
        </is>
      </c>
      <c r="G302" t="inlineStr">
        <is>
          <t>SÖDERHAMN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46248</v>
      </c>
      <c r="F303" t="inlineStr">
        <is>
          <t>GÄVLEBORGS LÄN</t>
        </is>
      </c>
      <c r="G303" t="inlineStr">
        <is>
          <t>SÖDERHAMN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4497-2024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45327</v>
      </c>
      <c r="E304" s="1" t="n">
        <v>46248</v>
      </c>
      <c r="F304" t="inlineStr">
        <is>
          <t>GÄVLEBORGS LÄN</t>
        </is>
      </c>
      <c r="G304" t="inlineStr">
        <is>
          <t>SÖDERHAMN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46248</v>
      </c>
      <c r="F305" t="inlineStr">
        <is>
          <t>GÄVLEBORGS LÄN</t>
        </is>
      </c>
      <c r="G305" t="inlineStr">
        <is>
          <t>SÖDERHAMN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46248</v>
      </c>
      <c r="F306" t="inlineStr">
        <is>
          <t>GÄVLEBORGS LÄN</t>
        </is>
      </c>
      <c r="G306" t="inlineStr">
        <is>
          <t>SÖDERHAMN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46248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46248</v>
      </c>
      <c r="F308" t="inlineStr">
        <is>
          <t>GÄVLEBORGS LÄN</t>
        </is>
      </c>
      <c r="G308" t="inlineStr">
        <is>
          <t>SÖDERHAMN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46248</v>
      </c>
      <c r="F309" t="inlineStr">
        <is>
          <t>GÄVLEBORGS LÄN</t>
        </is>
      </c>
      <c r="G309" t="inlineStr">
        <is>
          <t>SÖDERHAMN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46248</v>
      </c>
      <c r="F310" t="inlineStr">
        <is>
          <t>GÄVLEBORGS LÄN</t>
        </is>
      </c>
      <c r="G310" t="inlineStr">
        <is>
          <t>SÖDERHAMN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46248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46248</v>
      </c>
      <c r="F312" t="inlineStr">
        <is>
          <t>GÄVLEBORGS LÄN</t>
        </is>
      </c>
      <c r="G312" t="inlineStr">
        <is>
          <t>SÖDERHAMN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46248</v>
      </c>
      <c r="F313" t="inlineStr">
        <is>
          <t>GÄVLEBORGS LÄN</t>
        </is>
      </c>
      <c r="G313" t="inlineStr">
        <is>
          <t>SÖDERHAMN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45896</v>
      </c>
      <c r="E314" s="1" t="n">
        <v>46248</v>
      </c>
      <c r="F314" t="inlineStr">
        <is>
          <t>GÄVLEBORGS LÄN</t>
        </is>
      </c>
      <c r="G314" t="inlineStr">
        <is>
          <t>SÖDERHAMN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46248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46248</v>
      </c>
      <c r="F316" t="inlineStr">
        <is>
          <t>GÄVLEBORGS LÄN</t>
        </is>
      </c>
      <c r="G316" t="inlineStr">
        <is>
          <t>SÖDERHAMN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46248</v>
      </c>
      <c r="F317" t="inlineStr">
        <is>
          <t>GÄVLEBORGS LÄN</t>
        </is>
      </c>
      <c r="G317" t="inlineStr">
        <is>
          <t>SÖDERHAMN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45436</v>
      </c>
      <c r="E318" s="1" t="n">
        <v>46248</v>
      </c>
      <c r="F318" t="inlineStr">
        <is>
          <t>GÄVLEBORGS LÄN</t>
        </is>
      </c>
      <c r="G318" t="inlineStr">
        <is>
          <t>SÖDERHAMN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46248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46248</v>
      </c>
      <c r="F320" t="inlineStr">
        <is>
          <t>GÄVLEBORGS LÄN</t>
        </is>
      </c>
      <c r="G320" t="inlineStr">
        <is>
          <t>SÖDERHAMN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46248</v>
      </c>
      <c r="F321" t="inlineStr">
        <is>
          <t>GÄVLEBORGS LÄN</t>
        </is>
      </c>
      <c r="G321" t="inlineStr">
        <is>
          <t>SÖDERHAMN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46024</v>
      </c>
      <c r="E322" s="1" t="n">
        <v>46248</v>
      </c>
      <c r="F322" t="inlineStr">
        <is>
          <t>GÄVLEBORGS LÄN</t>
        </is>
      </c>
      <c r="G322" t="inlineStr">
        <is>
          <t>SÖDERHAMN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46248</v>
      </c>
      <c r="F323" t="inlineStr">
        <is>
          <t>GÄVLEBORGS LÄN</t>
        </is>
      </c>
      <c r="G323" t="inlineStr">
        <is>
          <t>SÖDERHAMN</t>
        </is>
      </c>
      <c r="I323" t="n">
        <v>14.2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46248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45848</v>
      </c>
      <c r="E325" s="1" t="n">
        <v>46248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46248</v>
      </c>
      <c r="F326" t="inlineStr">
        <is>
          <t>GÄVLEBORGS LÄN</t>
        </is>
      </c>
      <c r="G326" t="inlineStr">
        <is>
          <t>SÖDERHAMN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45899</v>
      </c>
      <c r="E327" s="1" t="n">
        <v>46248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46108</v>
      </c>
      <c r="E328" s="1" t="n">
        <v>46248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46248</v>
      </c>
      <c r="F329" t="inlineStr">
        <is>
          <t>GÄVLEBORGS LÄN</t>
        </is>
      </c>
      <c r="G329" t="inlineStr">
        <is>
          <t>SÖDERHAMN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46248</v>
      </c>
      <c r="F330" t="inlineStr">
        <is>
          <t>GÄVLEBORGS LÄN</t>
        </is>
      </c>
      <c r="G330" t="inlineStr">
        <is>
          <t>SÖDERHAMN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46248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46248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46248</v>
      </c>
      <c r="F333" t="inlineStr">
        <is>
          <t>GÄVLEBORGS LÄN</t>
        </is>
      </c>
      <c r="G333" t="inlineStr">
        <is>
          <t>SÖDERHAMN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46248</v>
      </c>
      <c r="F334" t="inlineStr">
        <is>
          <t>GÄVLEBORGS LÄN</t>
        </is>
      </c>
      <c r="G334" t="inlineStr">
        <is>
          <t>SÖDERHAMN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45594</v>
      </c>
      <c r="E335" s="1" t="n">
        <v>46248</v>
      </c>
      <c r="F335" t="inlineStr">
        <is>
          <t>GÄVLEBORGS LÄN</t>
        </is>
      </c>
      <c r="G335" t="inlineStr">
        <is>
          <t>SÖDERHAMN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35961-2025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45863</v>
      </c>
      <c r="E336" s="1" t="n">
        <v>46248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46248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45757</v>
      </c>
      <c r="E338" s="1" t="n">
        <v>46248</v>
      </c>
      <c r="F338" t="inlineStr">
        <is>
          <t>GÄVLEBORGS LÄN</t>
        </is>
      </c>
      <c r="G338" t="inlineStr">
        <is>
          <t>SÖDERHAMN</t>
        </is>
      </c>
      <c r="H338" t="inlineStr">
        <is>
          <t>Kommuner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46248</v>
      </c>
      <c r="F339" t="inlineStr">
        <is>
          <t>GÄVLEBORGS LÄN</t>
        </is>
      </c>
      <c r="G339" t="inlineStr">
        <is>
          <t>SÖDERHAMN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46248</v>
      </c>
      <c r="F340" t="inlineStr">
        <is>
          <t>GÄVLEBORGS LÄN</t>
        </is>
      </c>
      <c r="G340" t="inlineStr">
        <is>
          <t>SÖDERHAMN</t>
        </is>
      </c>
      <c r="H340" t="inlineStr">
        <is>
          <t>Kommuner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46142</v>
      </c>
      <c r="E341" s="1" t="n">
        <v>46248</v>
      </c>
      <c r="F341" t="inlineStr">
        <is>
          <t>GÄVLEBORGS LÄN</t>
        </is>
      </c>
      <c r="G341" t="inlineStr">
        <is>
          <t>SÖDERHAMN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46248</v>
      </c>
      <c r="F342" t="inlineStr">
        <is>
          <t>GÄVLEBORGS LÄN</t>
        </is>
      </c>
      <c r="G342" t="inlineStr">
        <is>
          <t>SÖDERHAMN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46248</v>
      </c>
      <c r="F343" t="inlineStr">
        <is>
          <t>GÄVLEBORGS LÄN</t>
        </is>
      </c>
      <c r="G343" t="inlineStr">
        <is>
          <t>SÖDERHAMN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46248</v>
      </c>
      <c r="F344" t="inlineStr">
        <is>
          <t>GÄVLEBORGS LÄN</t>
        </is>
      </c>
      <c r="G344" t="inlineStr">
        <is>
          <t>SÖDERHAMN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55765-2025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45972</v>
      </c>
      <c r="E345" s="1" t="n">
        <v>46248</v>
      </c>
      <c r="F345" t="inlineStr">
        <is>
          <t>GÄVLEBORGS LÄN</t>
        </is>
      </c>
      <c r="G345" t="inlineStr">
        <is>
          <t>SÖDERHAMN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46024</v>
      </c>
      <c r="E346" s="1" t="n">
        <v>46248</v>
      </c>
      <c r="F346" t="inlineStr">
        <is>
          <t>GÄVLEBORGS LÄN</t>
        </is>
      </c>
      <c r="G346" t="inlineStr">
        <is>
          <t>SÖDERHAMN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46248</v>
      </c>
      <c r="F347" t="inlineStr">
        <is>
          <t>GÄVLEBORGS LÄN</t>
        </is>
      </c>
      <c r="G347" t="inlineStr">
        <is>
          <t>SÖDERHAMN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46147</v>
      </c>
      <c r="E348" s="1" t="n">
        <v>46248</v>
      </c>
      <c r="F348" t="inlineStr">
        <is>
          <t>GÄVLEBORGS LÄN</t>
        </is>
      </c>
      <c r="G348" t="inlineStr">
        <is>
          <t>SÖDERHAMN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50283-2024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46248</v>
      </c>
      <c r="F349" t="inlineStr">
        <is>
          <t>GÄVLEBORGS LÄN</t>
        </is>
      </c>
      <c r="G349" t="inlineStr">
        <is>
          <t>SÖDERHAMN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46248</v>
      </c>
      <c r="F350" t="inlineStr">
        <is>
          <t>GÄVLEBORGS LÄN</t>
        </is>
      </c>
      <c r="G350" t="inlineStr">
        <is>
          <t>SÖDERHAMN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46147</v>
      </c>
      <c r="E351" s="1" t="n">
        <v>46248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46248</v>
      </c>
      <c r="F352" t="inlineStr">
        <is>
          <t>GÄVLEBORGS LÄN</t>
        </is>
      </c>
      <c r="G352" t="inlineStr">
        <is>
          <t>SÖDERHAMN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46248</v>
      </c>
      <c r="F353" t="inlineStr">
        <is>
          <t>GÄVLEBORGS LÄN</t>
        </is>
      </c>
      <c r="G353" t="inlineStr">
        <is>
          <t>SÖDERHAMN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46248</v>
      </c>
      <c r="F354" t="inlineStr">
        <is>
          <t>GÄVLEBORGS LÄN</t>
        </is>
      </c>
      <c r="G354" t="inlineStr">
        <is>
          <t>SÖDERHAMN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46248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46248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42501-2025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46248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21547-2026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46248</v>
      </c>
      <c r="F358" t="inlineStr">
        <is>
          <t>GÄVLEBORGS LÄN</t>
        </is>
      </c>
      <c r="G358" t="inlineStr">
        <is>
          <t>SÖDERHAMN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45879</v>
      </c>
      <c r="E359" s="1" t="n">
        <v>46248</v>
      </c>
      <c r="F359" t="inlineStr">
        <is>
          <t>GÄVLEBORGS LÄN</t>
        </is>
      </c>
      <c r="G359" t="inlineStr">
        <is>
          <t>SÖDERHAMN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21694-2026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46149</v>
      </c>
      <c r="E360" s="1" t="n">
        <v>46248</v>
      </c>
      <c r="F360" t="inlineStr">
        <is>
          <t>GÄVLEBORGS LÄN</t>
        </is>
      </c>
      <c r="G360" t="inlineStr">
        <is>
          <t>SÖDERHAMN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46248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46149</v>
      </c>
      <c r="E362" s="1" t="n">
        <v>46248</v>
      </c>
      <c r="F362" t="inlineStr">
        <is>
          <t>GÄVLEBORGS LÄN</t>
        </is>
      </c>
      <c r="G362" t="inlineStr">
        <is>
          <t>SÖDERHAMN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46087</v>
      </c>
      <c r="E363" s="1" t="n">
        <v>46248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45779</v>
      </c>
      <c r="E364" s="1" t="n">
        <v>46248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45879</v>
      </c>
      <c r="E365" s="1" t="n">
        <v>46248</v>
      </c>
      <c r="F365" t="inlineStr">
        <is>
          <t>GÄVLEBORGS LÄN</t>
        </is>
      </c>
      <c r="G365" t="inlineStr">
        <is>
          <t>SÖDERHAMN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46248</v>
      </c>
      <c r="F366" t="inlineStr">
        <is>
          <t>GÄVLEBORGS LÄN</t>
        </is>
      </c>
      <c r="G366" t="inlineStr">
        <is>
          <t>SÖDERHAMN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46248</v>
      </c>
      <c r="F367" t="inlineStr">
        <is>
          <t>GÄVLEBORGS LÄN</t>
        </is>
      </c>
      <c r="G367" t="inlineStr">
        <is>
          <t>SÖDERHAMN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46248</v>
      </c>
      <c r="F368" t="inlineStr">
        <is>
          <t>GÄVLEBORGS LÄN</t>
        </is>
      </c>
      <c r="G368" t="inlineStr">
        <is>
          <t>SÖDERHAMN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46248</v>
      </c>
      <c r="F369" t="inlineStr">
        <is>
          <t>GÄVLEBORGS LÄN</t>
        </is>
      </c>
      <c r="G369" t="inlineStr">
        <is>
          <t>SÖDERHAMN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45588</v>
      </c>
      <c r="E370" s="1" t="n">
        <v>46248</v>
      </c>
      <c r="F370" t="inlineStr">
        <is>
          <t>GÄVLEBORGS LÄN</t>
        </is>
      </c>
      <c r="G370" t="inlineStr">
        <is>
          <t>SÖDERHAMN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45149</v>
      </c>
      <c r="E371" s="1" t="n">
        <v>46248</v>
      </c>
      <c r="F371" t="inlineStr">
        <is>
          <t>GÄVLEBORGS LÄN</t>
        </is>
      </c>
      <c r="G371" t="inlineStr">
        <is>
          <t>SÖDERHAMN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45420</v>
      </c>
      <c r="E372" s="1" t="n">
        <v>46248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46248</v>
      </c>
      <c r="F373" t="inlineStr">
        <is>
          <t>GÄVLEBORGS LÄN</t>
        </is>
      </c>
      <c r="G373" t="inlineStr">
        <is>
          <t>SÖDERHAMN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46248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46248</v>
      </c>
      <c r="F375" t="inlineStr">
        <is>
          <t>GÄVLEBORGS LÄN</t>
        </is>
      </c>
      <c r="G375" t="inlineStr">
        <is>
          <t>SÖDERHAMN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46248</v>
      </c>
      <c r="F376" t="inlineStr">
        <is>
          <t>GÄVLEBORGS LÄN</t>
        </is>
      </c>
      <c r="G376" t="inlineStr">
        <is>
          <t>SÖDERHAMN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46157</v>
      </c>
      <c r="E377" s="1" t="n">
        <v>46248</v>
      </c>
      <c r="F377" t="inlineStr">
        <is>
          <t>GÄVLEBORGS LÄN</t>
        </is>
      </c>
      <c r="G377" t="inlineStr">
        <is>
          <t>SÖDERHAMN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46157</v>
      </c>
      <c r="E378" s="1" t="n">
        <v>46248</v>
      </c>
      <c r="F378" t="inlineStr">
        <is>
          <t>GÄVLEBORGS LÄN</t>
        </is>
      </c>
      <c r="G378" t="inlineStr">
        <is>
          <t>SÖDERHAMN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46157</v>
      </c>
      <c r="E379" s="1" t="n">
        <v>46248</v>
      </c>
      <c r="F379" t="inlineStr">
        <is>
          <t>GÄVLEBORGS LÄN</t>
        </is>
      </c>
      <c r="G379" t="inlineStr">
        <is>
          <t>SÖDERHAMN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46157</v>
      </c>
      <c r="E380" s="1" t="n">
        <v>46248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46157</v>
      </c>
      <c r="E381" s="1" t="n">
        <v>46248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46248</v>
      </c>
      <c r="F382" t="inlineStr">
        <is>
          <t>GÄVLEBORGS LÄN</t>
        </is>
      </c>
      <c r="G382" t="inlineStr">
        <is>
          <t>SÖDERHAMN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22726-2026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46157</v>
      </c>
      <c r="E383" s="1" t="n">
        <v>46248</v>
      </c>
      <c r="F383" t="inlineStr">
        <is>
          <t>GÄVLEBORGS LÄN</t>
        </is>
      </c>
      <c r="G383" t="inlineStr">
        <is>
          <t>SÖDERHAMN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46248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22727-2026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46157</v>
      </c>
      <c r="E385" s="1" t="n">
        <v>46248</v>
      </c>
      <c r="F385" t="inlineStr">
        <is>
          <t>GÄVLEBORGS LÄN</t>
        </is>
      </c>
      <c r="G385" t="inlineStr">
        <is>
          <t>SÖDERHAMN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45791</v>
      </c>
      <c r="E386" s="1" t="n">
        <v>46248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45791</v>
      </c>
      <c r="E387" s="1" t="n">
        <v>46248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13.5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45791</v>
      </c>
      <c r="E388" s="1" t="n">
        <v>46248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46248</v>
      </c>
      <c r="F389" t="inlineStr">
        <is>
          <t>GÄVLEBORGS LÄN</t>
        </is>
      </c>
      <c r="G389" t="inlineStr">
        <is>
          <t>SÖDERHAMN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46248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20166-2022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44698</v>
      </c>
      <c r="E391" s="1" t="n">
        <v>46248</v>
      </c>
      <c r="F391" t="inlineStr">
        <is>
          <t>GÄVLEBORGS LÄN</t>
        </is>
      </c>
      <c r="G391" t="inlineStr">
        <is>
          <t>SÖDERHAMN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45797</v>
      </c>
      <c r="E392" s="1" t="n">
        <v>46248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45527</v>
      </c>
      <c r="E393" s="1" t="n">
        <v>46248</v>
      </c>
      <c r="F393" t="inlineStr">
        <is>
          <t>GÄVLEBORGS LÄN</t>
        </is>
      </c>
      <c r="G393" t="inlineStr">
        <is>
          <t>SÖDERHAMN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45442</v>
      </c>
      <c r="E394" s="1" t="n">
        <v>46248</v>
      </c>
      <c r="F394" t="inlineStr">
        <is>
          <t>GÄVLEBORGS LÄN</t>
        </is>
      </c>
      <c r="G394" t="inlineStr">
        <is>
          <t>SÖDERHAMN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45891</v>
      </c>
      <c r="E395" s="1" t="n">
        <v>46248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46248</v>
      </c>
      <c r="F396" t="inlineStr">
        <is>
          <t>GÄVLEBORGS LÄN</t>
        </is>
      </c>
      <c r="G396" t="inlineStr">
        <is>
          <t>SÖDERHAMN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46248</v>
      </c>
      <c r="F397" t="inlineStr">
        <is>
          <t>GÄVLEBORGS LÄN</t>
        </is>
      </c>
      <c r="G397" t="inlineStr">
        <is>
          <t>SÖDERHAMN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45467</v>
      </c>
      <c r="E398" s="1" t="n">
        <v>46248</v>
      </c>
      <c r="F398" t="inlineStr">
        <is>
          <t>GÄVLEBORGS LÄN</t>
        </is>
      </c>
      <c r="G398" t="inlineStr">
        <is>
          <t>SÖDERHAMN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31676-2022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44776</v>
      </c>
      <c r="E399" s="1" t="n">
        <v>46248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46248</v>
      </c>
      <c r="F400" t="inlineStr">
        <is>
          <t>GÄVLEBORGS LÄN</t>
        </is>
      </c>
      <c r="G400" t="inlineStr">
        <is>
          <t>SÖDERHAMN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46248</v>
      </c>
      <c r="F401" t="inlineStr">
        <is>
          <t>GÄVLEBORGS LÄN</t>
        </is>
      </c>
      <c r="G401" t="inlineStr">
        <is>
          <t>SÖDERHAMN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45798</v>
      </c>
      <c r="E402" s="1" t="n">
        <v>46248</v>
      </c>
      <c r="F402" t="inlineStr">
        <is>
          <t>GÄVLEBORGS LÄN</t>
        </is>
      </c>
      <c r="G402" t="inlineStr">
        <is>
          <t>SÖDERHAMN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47057-2025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46248</v>
      </c>
      <c r="F403" t="inlineStr">
        <is>
          <t>GÄVLEBORGS LÄN</t>
        </is>
      </c>
      <c r="G403" t="inlineStr">
        <is>
          <t>SÖDERHAMN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45929</v>
      </c>
      <c r="E404" s="1" t="n">
        <v>46248</v>
      </c>
      <c r="F404" t="inlineStr">
        <is>
          <t>GÄVLEBORGS LÄN</t>
        </is>
      </c>
      <c r="G404" t="inlineStr">
        <is>
          <t>SÖDERHAMN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46207</v>
      </c>
      <c r="E405" s="1" t="n">
        <v>46248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46164</v>
      </c>
      <c r="E406" s="1" t="n">
        <v>46248</v>
      </c>
      <c r="F406" t="inlineStr">
        <is>
          <t>GÄVLEBORGS LÄN</t>
        </is>
      </c>
      <c r="G406" t="inlineStr">
        <is>
          <t>SÖDERHAMN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46165</v>
      </c>
      <c r="E407" s="1" t="n">
        <v>46248</v>
      </c>
      <c r="F407" t="inlineStr">
        <is>
          <t>GÄVLEBORGS LÄN</t>
        </is>
      </c>
      <c r="G407" t="inlineStr">
        <is>
          <t>SÖDERHAMN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46248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46248</v>
      </c>
      <c r="F409" t="inlineStr">
        <is>
          <t>GÄVLEBORGS LÄN</t>
        </is>
      </c>
      <c r="G409" t="inlineStr">
        <is>
          <t>SÖDERHAMN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46211</v>
      </c>
      <c r="E410" s="1" t="n">
        <v>46248</v>
      </c>
      <c r="F410" t="inlineStr">
        <is>
          <t>GÄVLEBORGS LÄN</t>
        </is>
      </c>
      <c r="G410" t="inlineStr">
        <is>
          <t>SÖDERHAMN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45936</v>
      </c>
      <c r="E411" s="1" t="n">
        <v>46248</v>
      </c>
      <c r="F411" t="inlineStr">
        <is>
          <t>GÄVLEBORGS LÄN</t>
        </is>
      </c>
      <c r="G411" t="inlineStr">
        <is>
          <t>SÖDERHAMN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46248</v>
      </c>
      <c r="F412" t="inlineStr">
        <is>
          <t>GÄVLEBORGS LÄN</t>
        </is>
      </c>
      <c r="G412" t="inlineStr">
        <is>
          <t>SÖDERHAMN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46248</v>
      </c>
      <c r="F413" t="inlineStr">
        <is>
          <t>GÄVLEBORGS LÄN</t>
        </is>
      </c>
      <c r="G413" t="inlineStr">
        <is>
          <t>SÖDERHAMN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46248</v>
      </c>
      <c r="F414" t="inlineStr">
        <is>
          <t>GÄVLEBORGS LÄN</t>
        </is>
      </c>
      <c r="G414" t="inlineStr">
        <is>
          <t>SÖDERHAMN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13664-2026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46248</v>
      </c>
      <c r="F415" t="inlineStr">
        <is>
          <t>GÄVLEBORGS LÄN</t>
        </is>
      </c>
      <c r="G415" t="inlineStr">
        <is>
          <t>SÖDERHAMN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46248</v>
      </c>
      <c r="F416" t="inlineStr">
        <is>
          <t>GÄVLEBORGS LÄN</t>
        </is>
      </c>
      <c r="G416" t="inlineStr">
        <is>
          <t>SÖDERHAMN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46248</v>
      </c>
      <c r="F417" t="inlineStr">
        <is>
          <t>GÄVLEBORGS LÄN</t>
        </is>
      </c>
      <c r="G417" t="inlineStr">
        <is>
          <t>SÖDERHAMN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46248</v>
      </c>
      <c r="F418" t="inlineStr">
        <is>
          <t>GÄVLEBORGS LÄN</t>
        </is>
      </c>
      <c r="G418" t="inlineStr">
        <is>
          <t>SÖDERHAMN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46248</v>
      </c>
      <c r="F419" t="inlineStr">
        <is>
          <t>GÄVLEBORGS LÄN</t>
        </is>
      </c>
      <c r="G419" t="inlineStr">
        <is>
          <t>SÖDERHAMN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46248</v>
      </c>
      <c r="F420" t="inlineStr">
        <is>
          <t>GÄVLEBORGS LÄN</t>
        </is>
      </c>
      <c r="G420" t="inlineStr">
        <is>
          <t>SÖDERHAMN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46248</v>
      </c>
      <c r="F421" t="inlineStr">
        <is>
          <t>GÄVLEBORGS LÄN</t>
        </is>
      </c>
      <c r="G421" t="inlineStr">
        <is>
          <t>SÖDERHAMN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24918-2026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46248</v>
      </c>
      <c r="F422" t="inlineStr">
        <is>
          <t>GÄVLEBORGS LÄN</t>
        </is>
      </c>
      <c r="G422" t="inlineStr">
        <is>
          <t>SÖDERHAMN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46248</v>
      </c>
      <c r="F423" t="inlineStr">
        <is>
          <t>GÄVLEBORGS LÄN</t>
        </is>
      </c>
      <c r="G423" t="inlineStr">
        <is>
          <t>SÖDERHAMN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46248</v>
      </c>
      <c r="F424" t="inlineStr">
        <is>
          <t>GÄVLEBORGS LÄN</t>
        </is>
      </c>
      <c r="G424" t="inlineStr">
        <is>
          <t>SÖDERHAMN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46248</v>
      </c>
      <c r="F425" t="inlineStr">
        <is>
          <t>GÄVLEBORGS LÄN</t>
        </is>
      </c>
      <c r="G425" t="inlineStr">
        <is>
          <t>SÖDERHAMN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46219</v>
      </c>
      <c r="E426" s="1" t="n">
        <v>46248</v>
      </c>
      <c r="F426" t="inlineStr">
        <is>
          <t>GÄVLEBORGS LÄN</t>
        </is>
      </c>
      <c r="G426" t="inlineStr">
        <is>
          <t>SÖDERHAMN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46219</v>
      </c>
      <c r="E427" s="1" t="n">
        <v>46248</v>
      </c>
      <c r="F427" t="inlineStr">
        <is>
          <t>GÄVLEBORGS LÄN</t>
        </is>
      </c>
      <c r="G427" t="inlineStr">
        <is>
          <t>SÖDERHAMN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46218</v>
      </c>
      <c r="E428" s="1" t="n">
        <v>46248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52913-2025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45957</v>
      </c>
      <c r="E429" s="1" t="n">
        <v>46248</v>
      </c>
      <c r="F429" t="inlineStr">
        <is>
          <t>GÄVLEBORGS LÄN</t>
        </is>
      </c>
      <c r="G429" t="inlineStr">
        <is>
          <t>SÖDERHAMN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52886-2025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45957</v>
      </c>
      <c r="E430" s="1" t="n">
        <v>46248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46219</v>
      </c>
      <c r="E431" s="1" t="n">
        <v>46248</v>
      </c>
      <c r="F431" t="inlineStr">
        <is>
          <t>GÄVLEBORGS LÄN</t>
        </is>
      </c>
      <c r="G431" t="inlineStr">
        <is>
          <t>SÖDERHAMN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46219</v>
      </c>
      <c r="E432" s="1" t="n">
        <v>46248</v>
      </c>
      <c r="F432" t="inlineStr">
        <is>
          <t>GÄVLEBORGS LÄN</t>
        </is>
      </c>
      <c r="G432" t="inlineStr">
        <is>
          <t>SÖDERHAMN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25200-2026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46248</v>
      </c>
      <c r="F433" t="inlineStr">
        <is>
          <t>GÄVLEBORGS LÄN</t>
        </is>
      </c>
      <c r="G433" t="inlineStr">
        <is>
          <t>SÖDERHAMN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46223</v>
      </c>
      <c r="E434" s="1" t="n">
        <v>46248</v>
      </c>
      <c r="F434" t="inlineStr">
        <is>
          <t>GÄVLEBORGS LÄN</t>
        </is>
      </c>
      <c r="G434" t="inlineStr">
        <is>
          <t>SÖDERHAMN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46248</v>
      </c>
      <c r="F435" t="inlineStr">
        <is>
          <t>GÄVLEBORGS LÄN</t>
        </is>
      </c>
      <c r="G435" t="inlineStr">
        <is>
          <t>SÖDERHAMN</t>
        </is>
      </c>
      <c r="I435" t="n">
        <v>20.9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53781-2025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45960</v>
      </c>
      <c r="E436" s="1" t="n">
        <v>46248</v>
      </c>
      <c r="F436" t="inlineStr">
        <is>
          <t>GÄVLEBORGS LÄN</t>
        </is>
      </c>
      <c r="G436" t="inlineStr">
        <is>
          <t>SÖDERHAMN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45960</v>
      </c>
      <c r="E437" s="1" t="n">
        <v>46248</v>
      </c>
      <c r="F437" t="inlineStr">
        <is>
          <t>GÄVLEBORGS LÄN</t>
        </is>
      </c>
      <c r="G437" t="inlineStr">
        <is>
          <t>SÖDERHAMN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46248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46248</v>
      </c>
      <c r="F439" t="inlineStr">
        <is>
          <t>GÄVLEBORGS LÄN</t>
        </is>
      </c>
      <c r="G439" t="inlineStr">
        <is>
          <t>SÖDERHAMN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45960</v>
      </c>
      <c r="E440" s="1" t="n">
        <v>46248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45960</v>
      </c>
      <c r="E441" s="1" t="n">
        <v>46248</v>
      </c>
      <c r="F441" t="inlineStr">
        <is>
          <t>GÄVLEBORGS LÄN</t>
        </is>
      </c>
      <c r="G441" t="inlineStr">
        <is>
          <t>SÖDERHAMN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46248</v>
      </c>
      <c r="F442" t="inlineStr">
        <is>
          <t>GÄVLEBORGS LÄN</t>
        </is>
      </c>
      <c r="G442" t="inlineStr">
        <is>
          <t>SÖDERHAMN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46248</v>
      </c>
      <c r="F443" t="inlineStr">
        <is>
          <t>GÄVLEBORGS LÄN</t>
        </is>
      </c>
      <c r="G443" t="inlineStr">
        <is>
          <t>SÖDERHAMN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46248</v>
      </c>
      <c r="F444" t="inlineStr">
        <is>
          <t>GÄVLEBORGS LÄN</t>
        </is>
      </c>
      <c r="G444" t="inlineStr">
        <is>
          <t>SÖDERHAMN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26042-2026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46177</v>
      </c>
      <c r="E445" s="1" t="n">
        <v>46248</v>
      </c>
      <c r="F445" t="inlineStr">
        <is>
          <t>GÄVLEBORGS LÄN</t>
        </is>
      </c>
      <c r="G445" t="inlineStr">
        <is>
          <t>SÖDERHAMN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45967</v>
      </c>
      <c r="E446" s="1" t="n">
        <v>46248</v>
      </c>
      <c r="F446" t="inlineStr">
        <is>
          <t>GÄVLEBORGS LÄN</t>
        </is>
      </c>
      <c r="G446" t="inlineStr">
        <is>
          <t>SÖDERHAMN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46248</v>
      </c>
      <c r="F447" t="inlineStr">
        <is>
          <t>GÄVLEBORGS LÄN</t>
        </is>
      </c>
      <c r="G447" t="inlineStr">
        <is>
          <t>SÖDERHAMN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46248</v>
      </c>
      <c r="F448" t="inlineStr">
        <is>
          <t>GÄVLEBORGS LÄN</t>
        </is>
      </c>
      <c r="G448" t="inlineStr">
        <is>
          <t>SÖDERHAMN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55058-2025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45967</v>
      </c>
      <c r="E449" s="1" t="n">
        <v>46248</v>
      </c>
      <c r="F449" t="inlineStr">
        <is>
          <t>GÄVLEBORGS LÄN</t>
        </is>
      </c>
      <c r="G449" t="inlineStr">
        <is>
          <t>SÖDERHAMN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54685-2025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46248</v>
      </c>
      <c r="F450" t="inlineStr">
        <is>
          <t>GÄVLEBORGS LÄN</t>
        </is>
      </c>
      <c r="G450" t="inlineStr">
        <is>
          <t>SÖDERHAMN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46248</v>
      </c>
      <c r="F451" t="inlineStr">
        <is>
          <t>GÄVLEBORGS LÄN</t>
        </is>
      </c>
      <c r="G451" t="inlineStr">
        <is>
          <t>SÖDERHAMN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46248</v>
      </c>
      <c r="F452" t="inlineStr">
        <is>
          <t>GÄVLEBORGS LÄN</t>
        </is>
      </c>
      <c r="G452" t="inlineStr">
        <is>
          <t>SÖDERHAMN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46248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55401-2025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46248</v>
      </c>
      <c r="F454" t="inlineStr">
        <is>
          <t>GÄVLEBORGS LÄN</t>
        </is>
      </c>
      <c r="G454" t="inlineStr">
        <is>
          <t>SÖDERHAMN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55711-2025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45972</v>
      </c>
      <c r="E455" s="1" t="n">
        <v>46248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55730-2025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45972</v>
      </c>
      <c r="E456" s="1" t="n">
        <v>46248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46248</v>
      </c>
      <c r="F457" t="inlineStr">
        <is>
          <t>GÄVLEBORGS LÄN</t>
        </is>
      </c>
      <c r="G457" t="inlineStr">
        <is>
          <t>SÖDERHAMN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46248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46248</v>
      </c>
      <c r="F459" t="inlineStr">
        <is>
          <t>GÄVLEBORGS LÄN</t>
        </is>
      </c>
      <c r="G459" t="inlineStr">
        <is>
          <t>SÖDERHAMN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46227</v>
      </c>
      <c r="E460" s="1" t="n">
        <v>46248</v>
      </c>
      <c r="F460" t="inlineStr">
        <is>
          <t>GÄVLEBORGS LÄN</t>
        </is>
      </c>
      <c r="G460" t="inlineStr">
        <is>
          <t>SÖDERHAMN</t>
        </is>
      </c>
      <c r="I460" t="n">
        <v>11.5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46248</v>
      </c>
      <c r="F461" t="inlineStr">
        <is>
          <t>GÄVLEBORGS LÄN</t>
        </is>
      </c>
      <c r="G461" t="inlineStr">
        <is>
          <t>SÖDERHAMN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46248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53918-2025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45961</v>
      </c>
      <c r="E463" s="1" t="n">
        <v>46248</v>
      </c>
      <c r="F463" t="inlineStr">
        <is>
          <t>GÄVLEBORGS LÄN</t>
        </is>
      </c>
      <c r="G463" t="inlineStr">
        <is>
          <t>SÖDERHAMN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46248</v>
      </c>
      <c r="F464" t="inlineStr">
        <is>
          <t>GÄVLEBORGS LÄN</t>
        </is>
      </c>
      <c r="G464" t="inlineStr">
        <is>
          <t>SÖDERHAMN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46248</v>
      </c>
      <c r="F465" t="inlineStr">
        <is>
          <t>GÄVLEBORGS LÄN</t>
        </is>
      </c>
      <c r="G465" t="inlineStr">
        <is>
          <t>SÖDERHAMN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46248</v>
      </c>
      <c r="F466" t="inlineStr">
        <is>
          <t>GÄVLEBORGS LÄN</t>
        </is>
      </c>
      <c r="G466" t="inlineStr">
        <is>
          <t>SÖDERHAMN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56946-2025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46248</v>
      </c>
      <c r="F467" t="inlineStr">
        <is>
          <t>GÄVLEBORGS LÄN</t>
        </is>
      </c>
      <c r="G467" t="inlineStr">
        <is>
          <t>SÖDERHAMN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58215-2025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46248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58047-2025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45982</v>
      </c>
      <c r="E469" s="1" t="n">
        <v>46248</v>
      </c>
      <c r="F469" t="inlineStr">
        <is>
          <t>GÄVLEBORGS LÄN</t>
        </is>
      </c>
      <c r="G469" t="inlineStr">
        <is>
          <t>SÖDERHAMN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45982</v>
      </c>
      <c r="E470" s="1" t="n">
        <v>46248</v>
      </c>
      <c r="F470" t="inlineStr">
        <is>
          <t>GÄVLEBORGS LÄN</t>
        </is>
      </c>
      <c r="G470" t="inlineStr">
        <is>
          <t>SÖDERHAMN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46248</v>
      </c>
      <c r="F471" t="inlineStr">
        <is>
          <t>GÄVLEBORGS LÄN</t>
        </is>
      </c>
      <c r="G471" t="inlineStr">
        <is>
          <t>SÖDERHAMN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46248</v>
      </c>
      <c r="F472" t="inlineStr">
        <is>
          <t>GÄVLEBORGS LÄN</t>
        </is>
      </c>
      <c r="G472" t="inlineStr">
        <is>
          <t>SÖDERHAMN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46122</v>
      </c>
      <c r="E473" s="1" t="n">
        <v>46248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46248</v>
      </c>
      <c r="F474" t="inlineStr">
        <is>
          <t>GÄVLEBORGS LÄN</t>
        </is>
      </c>
      <c r="G474" t="inlineStr">
        <is>
          <t>SÖDERHAMN</t>
        </is>
      </c>
      <c r="I474" t="n">
        <v>11.8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46237</v>
      </c>
      <c r="E475" s="1" t="n">
        <v>46248</v>
      </c>
      <c r="F475" t="inlineStr">
        <is>
          <t>GÄVLEBORGS LÄN</t>
        </is>
      </c>
      <c r="G475" t="inlineStr">
        <is>
          <t>SÖDERHAMN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46248</v>
      </c>
      <c r="F476" t="inlineStr">
        <is>
          <t>GÄVLEBORGS LÄN</t>
        </is>
      </c>
      <c r="G476" t="inlineStr">
        <is>
          <t>SÖDERHAMN</t>
        </is>
      </c>
      <c r="I476" t="n">
        <v>8.5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46248</v>
      </c>
      <c r="F477" t="inlineStr">
        <is>
          <t>GÄVLEBORGS LÄN</t>
        </is>
      </c>
      <c r="G477" t="inlineStr">
        <is>
          <t>SÖDERHAMN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46248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46248</v>
      </c>
      <c r="F479" t="inlineStr">
        <is>
          <t>GÄVLEBORGS LÄN</t>
        </is>
      </c>
      <c r="G479" t="inlineStr">
        <is>
          <t>SÖDERHAMN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46248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Kyrkan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46248</v>
      </c>
      <c r="F481" t="inlineStr">
        <is>
          <t>GÄVLEBORGS LÄN</t>
        </is>
      </c>
      <c r="G481" t="inlineStr">
        <is>
          <t>SÖDERHAMN</t>
        </is>
      </c>
      <c r="H481" t="inlineStr">
        <is>
          <t>Kyrkan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46248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Kyrkan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46248</v>
      </c>
      <c r="F483" t="inlineStr">
        <is>
          <t>GÄVLEBORGS LÄN</t>
        </is>
      </c>
      <c r="G483" t="inlineStr">
        <is>
          <t>SÖDERHAMN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46248</v>
      </c>
      <c r="F484" t="inlineStr">
        <is>
          <t>GÄVLEBORGS LÄN</t>
        </is>
      </c>
      <c r="G484" t="inlineStr">
        <is>
          <t>SÖDERHAMN</t>
        </is>
      </c>
      <c r="I484" t="n">
        <v>14.1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45999</v>
      </c>
      <c r="E485" s="1" t="n">
        <v>46248</v>
      </c>
      <c r="F485" t="inlineStr">
        <is>
          <t>GÄVLEBORGS LÄN</t>
        </is>
      </c>
      <c r="G485" t="inlineStr">
        <is>
          <t>SÖDERHAMN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46248</v>
      </c>
      <c r="F486" t="inlineStr">
        <is>
          <t>GÄVLEBORGS LÄN</t>
        </is>
      </c>
      <c r="G486" t="inlineStr">
        <is>
          <t>SÖDERHAMN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60937-2025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45999</v>
      </c>
      <c r="E487" s="1" t="n">
        <v>46248</v>
      </c>
      <c r="F487" t="inlineStr">
        <is>
          <t>GÄVLEBORGS LÄN</t>
        </is>
      </c>
      <c r="G487" t="inlineStr">
        <is>
          <t>SÖDERHAMN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46248</v>
      </c>
      <c r="F488" t="inlineStr">
        <is>
          <t>GÄVLEBORGS LÄN</t>
        </is>
      </c>
      <c r="G488" t="inlineStr">
        <is>
          <t>SÖDERHAMN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60935-2025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46248</v>
      </c>
      <c r="F489" t="inlineStr">
        <is>
          <t>GÄVLEBORGS LÄN</t>
        </is>
      </c>
      <c r="G489" t="inlineStr">
        <is>
          <t>SÖDERHAMN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46248</v>
      </c>
      <c r="F490" t="inlineStr">
        <is>
          <t>GÄVLEBORGS LÄN</t>
        </is>
      </c>
      <c r="G490" t="inlineStr">
        <is>
          <t>SÖDERHAMN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61416-2025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46001</v>
      </c>
      <c r="E491" s="1" t="n">
        <v>46248</v>
      </c>
      <c r="F491" t="inlineStr">
        <is>
          <t>GÄVLEBORGS LÄN</t>
        </is>
      </c>
      <c r="G491" t="inlineStr">
        <is>
          <t>SÖDERHAMN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46197</v>
      </c>
      <c r="E492" s="1" t="n">
        <v>46248</v>
      </c>
      <c r="F492" t="inlineStr">
        <is>
          <t>GÄVLEBORGS LÄN</t>
        </is>
      </c>
      <c r="G492" t="inlineStr">
        <is>
          <t>SÖDERHAMN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46248</v>
      </c>
      <c r="F493" t="inlineStr">
        <is>
          <t>GÄVLEBORGS LÄN</t>
        </is>
      </c>
      <c r="G493" t="inlineStr">
        <is>
          <t>SÖDERHAMN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46248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46248</v>
      </c>
      <c r="F495" t="inlineStr">
        <is>
          <t>GÄVLEBORGS LÄN</t>
        </is>
      </c>
      <c r="G495" t="inlineStr">
        <is>
          <t>SÖDERHAMN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45796</v>
      </c>
      <c r="E496" s="1" t="n">
        <v>46248</v>
      </c>
      <c r="F496" t="inlineStr">
        <is>
          <t>GÄVLEBORGS LÄN</t>
        </is>
      </c>
      <c r="G496" t="inlineStr">
        <is>
          <t>SÖDERHAMN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62616-2025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46248</v>
      </c>
      <c r="F497" t="inlineStr">
        <is>
          <t>GÄVLEBORGS LÄN</t>
        </is>
      </c>
      <c r="G497" t="inlineStr">
        <is>
          <t>SÖDERHAMN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46026</v>
      </c>
      <c r="E498" s="1" t="n">
        <v>46248</v>
      </c>
      <c r="F498" t="inlineStr">
        <is>
          <t>GÄVLEBORGS LÄN</t>
        </is>
      </c>
      <c r="G498" t="inlineStr">
        <is>
          <t>SÖDERHAMN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46248</v>
      </c>
      <c r="F499" t="inlineStr">
        <is>
          <t>GÄVLEBORGS LÄN</t>
        </is>
      </c>
      <c r="G499" t="inlineStr">
        <is>
          <t>SÖDERHAMN</t>
        </is>
      </c>
      <c r="I499" t="n">
        <v>12.9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46026</v>
      </c>
      <c r="E500" s="1" t="n">
        <v>46248</v>
      </c>
      <c r="F500" t="inlineStr">
        <is>
          <t>GÄVLEBORGS LÄN</t>
        </is>
      </c>
      <c r="G500" t="inlineStr">
        <is>
          <t>SÖDERHAMN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46248</v>
      </c>
      <c r="F501" t="inlineStr">
        <is>
          <t>GÄVLEBORGS LÄN</t>
        </is>
      </c>
      <c r="G501" t="inlineStr">
        <is>
          <t>SÖDERHAMN</t>
        </is>
      </c>
      <c r="I501" t="n">
        <v>13.8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46248</v>
      </c>
      <c r="F502" t="inlineStr">
        <is>
          <t>GÄVLEBORGS LÄN</t>
        </is>
      </c>
      <c r="G502" t="inlineStr">
        <is>
          <t>SÖDERHAMN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7979-2025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45707</v>
      </c>
      <c r="E503" s="1" t="n">
        <v>46248</v>
      </c>
      <c r="F503" t="inlineStr">
        <is>
          <t>GÄVLEBORGS LÄN</t>
        </is>
      </c>
      <c r="G503" t="inlineStr">
        <is>
          <t>SÖDERHAMN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46248</v>
      </c>
      <c r="F504" t="inlineStr">
        <is>
          <t>GÄVLEBORGS LÄN</t>
        </is>
      </c>
      <c r="G504" t="inlineStr">
        <is>
          <t>SÖDERHAMN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46034</v>
      </c>
      <c r="E505" s="1" t="n">
        <v>46248</v>
      </c>
      <c r="F505" t="inlineStr">
        <is>
          <t>GÄVLEBORGS LÄN</t>
        </is>
      </c>
      <c r="G505" t="inlineStr">
        <is>
          <t>SÖDERHAMN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46034</v>
      </c>
      <c r="E506" s="1" t="n">
        <v>46248</v>
      </c>
      <c r="F506" t="inlineStr">
        <is>
          <t>GÄVLEBORGS LÄN</t>
        </is>
      </c>
      <c r="G506" t="inlineStr">
        <is>
          <t>SÖDERHAMN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46035</v>
      </c>
      <c r="E507" s="1" t="n">
        <v>46248</v>
      </c>
      <c r="F507" t="inlineStr">
        <is>
          <t>GÄVLEBORGS LÄN</t>
        </is>
      </c>
      <c r="G507" t="inlineStr">
        <is>
          <t>SÖDERHAMN</t>
        </is>
      </c>
      <c r="I507" t="n">
        <v>12.5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46024</v>
      </c>
      <c r="E508" s="1" t="n">
        <v>46248</v>
      </c>
      <c r="F508" t="inlineStr">
        <is>
          <t>GÄVLEBORGS LÄN</t>
        </is>
      </c>
      <c r="G508" t="inlineStr">
        <is>
          <t>SÖDERHAMN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46248</v>
      </c>
      <c r="F509" t="inlineStr">
        <is>
          <t>GÄVLEBORGS LÄN</t>
        </is>
      </c>
      <c r="G509" t="inlineStr">
        <is>
          <t>SÖDERHAMN</t>
        </is>
      </c>
      <c r="I509" t="n">
        <v>9.699999999999999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46248</v>
      </c>
      <c r="F510" t="inlineStr">
        <is>
          <t>GÄVLEBORGS LÄN</t>
        </is>
      </c>
      <c r="G510" t="inlineStr">
        <is>
          <t>SÖDERHAMN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46024</v>
      </c>
      <c r="E511" s="1" t="n">
        <v>46248</v>
      </c>
      <c r="F511" t="inlineStr">
        <is>
          <t>GÄVLEBORGS LÄN</t>
        </is>
      </c>
      <c r="G511" t="inlineStr">
        <is>
          <t>SÖDERHAMN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46248</v>
      </c>
      <c r="F512" t="inlineStr">
        <is>
          <t>GÄVLEBORGS LÄN</t>
        </is>
      </c>
      <c r="G512" t="inlineStr">
        <is>
          <t>SÖDERHAMN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46024</v>
      </c>
      <c r="E513" s="1" t="n">
        <v>46248</v>
      </c>
      <c r="F513" t="inlineStr">
        <is>
          <t>GÄVLEBORGS LÄN</t>
        </is>
      </c>
      <c r="G513" t="inlineStr">
        <is>
          <t>SÖDERHAMN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46248</v>
      </c>
      <c r="F514" t="inlineStr">
        <is>
          <t>GÄVLEBORGS LÄN</t>
        </is>
      </c>
      <c r="G514" t="inlineStr">
        <is>
          <t>SÖDERHAMN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46248</v>
      </c>
      <c r="F515" t="inlineStr">
        <is>
          <t>GÄVLEBORGS LÄN</t>
        </is>
      </c>
      <c r="G515" t="inlineStr">
        <is>
          <t>SÖDERHAMN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46248</v>
      </c>
      <c r="F516" t="inlineStr">
        <is>
          <t>GÄVLEBORGS LÄN</t>
        </is>
      </c>
      <c r="G516" t="inlineStr">
        <is>
          <t>SÖDERHAMN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46037</v>
      </c>
      <c r="E517" s="1" t="n">
        <v>46248</v>
      </c>
      <c r="F517" t="inlineStr">
        <is>
          <t>GÄVLEBORGS LÄN</t>
        </is>
      </c>
      <c r="G517" t="inlineStr">
        <is>
          <t>SÖDERHAMN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46037</v>
      </c>
      <c r="E518" s="1" t="n">
        <v>46248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46248</v>
      </c>
      <c r="F519" t="inlineStr">
        <is>
          <t>GÄVLEBORGS LÄN</t>
        </is>
      </c>
      <c r="G519" t="inlineStr">
        <is>
          <t>SÖDERHAMN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46248</v>
      </c>
      <c r="F520" t="inlineStr">
        <is>
          <t>GÄVLEBORGS LÄN</t>
        </is>
      </c>
      <c r="G520" t="inlineStr">
        <is>
          <t>SÖDERHAMN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46248</v>
      </c>
      <c r="F521" t="inlineStr">
        <is>
          <t>GÄVLEBORGS LÄN</t>
        </is>
      </c>
      <c r="G521" t="inlineStr">
        <is>
          <t>SÖDERHAMN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46248</v>
      </c>
      <c r="F522" t="inlineStr">
        <is>
          <t>GÄVLEBORGS LÄN</t>
        </is>
      </c>
      <c r="G522" t="inlineStr">
        <is>
          <t>SÖDERHAMN</t>
        </is>
      </c>
      <c r="I522" t="n">
        <v>12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46248</v>
      </c>
      <c r="F523" t="inlineStr">
        <is>
          <t>GÄVLEBORGS LÄN</t>
        </is>
      </c>
      <c r="G523" t="inlineStr">
        <is>
          <t>SÖDERHAMN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46248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46248</v>
      </c>
      <c r="F525" t="inlineStr">
        <is>
          <t>GÄVLEBORGS LÄN</t>
        </is>
      </c>
      <c r="G525" t="inlineStr">
        <is>
          <t>SÖDERHAMN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46248</v>
      </c>
      <c r="F526" t="inlineStr">
        <is>
          <t>GÄVLEBORGS LÄN</t>
        </is>
      </c>
      <c r="G526" t="inlineStr">
        <is>
          <t>SÖDERHAMN</t>
        </is>
      </c>
      <c r="I526" t="n">
        <v>14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46248</v>
      </c>
      <c r="F527" t="inlineStr">
        <is>
          <t>GÄVLEBORGS LÄN</t>
        </is>
      </c>
      <c r="G527" t="inlineStr">
        <is>
          <t>SÖDERHAMN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46248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46248</v>
      </c>
      <c r="F529" t="inlineStr">
        <is>
          <t>GÄVLEBORGS LÄN</t>
        </is>
      </c>
      <c r="G529" t="inlineStr">
        <is>
          <t>SÖDERHAMN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46248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46248</v>
      </c>
      <c r="F531" t="inlineStr">
        <is>
          <t>GÄVLEBORGS LÄN</t>
        </is>
      </c>
      <c r="G531" t="inlineStr">
        <is>
          <t>SÖDERHAMN</t>
        </is>
      </c>
      <c r="H531" t="inlineStr">
        <is>
          <t>Övriga statliga verk och myndigheter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46248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46248</v>
      </c>
      <c r="F533" t="inlineStr">
        <is>
          <t>GÄVLEBORGS LÄN</t>
        </is>
      </c>
      <c r="G533" t="inlineStr">
        <is>
          <t>SÖDERHAMN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7605-2026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46062</v>
      </c>
      <c r="E534" s="1" t="n">
        <v>46248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46248</v>
      </c>
      <c r="F535" t="inlineStr">
        <is>
          <t>GÄVLEBORGS LÄN</t>
        </is>
      </c>
      <c r="G535" t="inlineStr">
        <is>
          <t>SÖDERHAMN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46248</v>
      </c>
      <c r="F536" t="inlineStr">
        <is>
          <t>GÄVLEBORGS LÄN</t>
        </is>
      </c>
      <c r="G536" t="inlineStr">
        <is>
          <t>SÖDERHAMN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46248</v>
      </c>
      <c r="F537" t="inlineStr">
        <is>
          <t>GÄVLEBORGS LÄN</t>
        </is>
      </c>
      <c r="G537" t="inlineStr">
        <is>
          <t>SÖDERHAMN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46248</v>
      </c>
      <c r="F538" t="inlineStr">
        <is>
          <t>GÄVLEBORGS LÄN</t>
        </is>
      </c>
      <c r="G538" t="inlineStr">
        <is>
          <t>SÖDERHAMN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46248</v>
      </c>
      <c r="F539" t="inlineStr">
        <is>
          <t>GÄVLEBORGS LÄN</t>
        </is>
      </c>
      <c r="G539" t="inlineStr">
        <is>
          <t>SÖDERHAMN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46248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46248</v>
      </c>
      <c r="F541" t="inlineStr">
        <is>
          <t>GÄVLEBORGS LÄN</t>
        </is>
      </c>
      <c r="G541" t="inlineStr">
        <is>
          <t>SÖDERHAMN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8651-2026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46248</v>
      </c>
      <c r="F542" t="inlineStr">
        <is>
          <t>GÄVLEBORGS LÄN</t>
        </is>
      </c>
      <c r="G542" t="inlineStr">
        <is>
          <t>SÖDERHAMN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46248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46248</v>
      </c>
      <c r="F544" t="inlineStr">
        <is>
          <t>GÄVLEBORGS LÄN</t>
        </is>
      </c>
      <c r="G544" t="inlineStr">
        <is>
          <t>SÖDERHAMN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46070</v>
      </c>
      <c r="E545" s="1" t="n">
        <v>46248</v>
      </c>
      <c r="F545" t="inlineStr">
        <is>
          <t>GÄVLEBORGS LÄN</t>
        </is>
      </c>
      <c r="G545" t="inlineStr">
        <is>
          <t>SÖDERHAMN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46248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46248</v>
      </c>
      <c r="F547" t="inlineStr">
        <is>
          <t>GÄVLEBORGS LÄN</t>
        </is>
      </c>
      <c r="G547" t="inlineStr">
        <is>
          <t>SÖDERHAMN</t>
        </is>
      </c>
      <c r="H547" t="inlineStr">
        <is>
          <t>Kyrkan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46248</v>
      </c>
      <c r="F548" t="inlineStr">
        <is>
          <t>GÄVLEBORGS LÄN</t>
        </is>
      </c>
      <c r="G548" t="inlineStr">
        <is>
          <t>SÖDERHAMN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46248</v>
      </c>
      <c r="F549" t="inlineStr">
        <is>
          <t>GÄVLEBORGS LÄN</t>
        </is>
      </c>
      <c r="G549" t="inlineStr">
        <is>
          <t>SÖDERHAMN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46248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46248</v>
      </c>
      <c r="F551" t="inlineStr">
        <is>
          <t>GÄVLEBORGS LÄN</t>
        </is>
      </c>
      <c r="G551" t="inlineStr">
        <is>
          <t>SÖDERHAMN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46248</v>
      </c>
      <c r="F552" t="inlineStr">
        <is>
          <t>GÄVLEBORGS LÄN</t>
        </is>
      </c>
      <c r="G552" t="inlineStr">
        <is>
          <t>SÖDERHAMN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11794-2026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46248</v>
      </c>
      <c r="F553" t="inlineStr">
        <is>
          <t>GÄVLEBORGS LÄN</t>
        </is>
      </c>
      <c r="G553" t="inlineStr">
        <is>
          <t>SÖDERHAMN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46248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46248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46087</v>
      </c>
      <c r="E556" s="1" t="n">
        <v>46248</v>
      </c>
      <c r="F556" t="inlineStr">
        <is>
          <t>GÄVLEBORGS LÄN</t>
        </is>
      </c>
      <c r="G556" t="inlineStr">
        <is>
          <t>SÖDERHAMN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46248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46248</v>
      </c>
      <c r="F558" t="inlineStr">
        <is>
          <t>GÄVLEBORGS LÄN</t>
        </is>
      </c>
      <c r="G558" t="inlineStr">
        <is>
          <t>SÖDERHAMN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46248</v>
      </c>
      <c r="F559" t="inlineStr">
        <is>
          <t>GÄVLEBORGS LÄN</t>
        </is>
      </c>
      <c r="G559" t="inlineStr">
        <is>
          <t>SÖDERHAMN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13974-2026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46248</v>
      </c>
      <c r="F560" t="inlineStr">
        <is>
          <t>GÄVLEBORGS LÄN</t>
        </is>
      </c>
      <c r="G560" t="inlineStr">
        <is>
          <t>SÖDERHAMN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46248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14129-2026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46248</v>
      </c>
      <c r="F562" t="inlineStr">
        <is>
          <t>GÄVLEBORGS LÄN</t>
        </is>
      </c>
      <c r="G562" t="inlineStr">
        <is>
          <t>SÖDERHAMN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46099</v>
      </c>
      <c r="E563" s="1" t="n">
        <v>46248</v>
      </c>
      <c r="F563" t="inlineStr">
        <is>
          <t>GÄVLEBORGS LÄN</t>
        </is>
      </c>
      <c r="G563" t="inlineStr">
        <is>
          <t>SÖDERHAMN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14061-2026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46248</v>
      </c>
      <c r="F564" t="inlineStr">
        <is>
          <t>GÄVLEBORGS LÄN</t>
        </is>
      </c>
      <c r="G564" t="inlineStr">
        <is>
          <t>SÖDERHAMN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46104</v>
      </c>
      <c r="E565" s="1" t="n">
        <v>46248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46248</v>
      </c>
      <c r="F566" t="inlineStr">
        <is>
          <t>GÄVLEBORGS LÄN</t>
        </is>
      </c>
      <c r="G566" t="inlineStr">
        <is>
          <t>SÖDERHAMN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46248</v>
      </c>
      <c r="F567" t="inlineStr">
        <is>
          <t>GÄVLEBORGS LÄN</t>
        </is>
      </c>
      <c r="G567" t="inlineStr">
        <is>
          <t>SÖDERHAMN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15958-2026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46108</v>
      </c>
      <c r="E568" s="1" t="n">
        <v>46248</v>
      </c>
      <c r="F568" t="inlineStr">
        <is>
          <t>GÄVLEBORGS LÄN</t>
        </is>
      </c>
      <c r="G568" t="inlineStr">
        <is>
          <t>SÖDERHAMN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17456-2025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45757</v>
      </c>
      <c r="E569" s="1" t="n">
        <v>46248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16178-2026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46248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8.1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46112</v>
      </c>
      <c r="E571" s="1" t="n">
        <v>46248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46112</v>
      </c>
      <c r="E572" s="1" t="n">
        <v>46248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46112</v>
      </c>
      <c r="E573" s="1" t="n">
        <v>46248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16908-2026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46113</v>
      </c>
      <c r="E574" s="1" t="n">
        <v>46248</v>
      </c>
      <c r="F574" t="inlineStr">
        <is>
          <t>GÄVLEBORGS LÄN</t>
        </is>
      </c>
      <c r="G574" t="inlineStr">
        <is>
          <t>SÖDERHAMN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17192-2026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46117</v>
      </c>
      <c r="E575" s="1" t="n">
        <v>46248</v>
      </c>
      <c r="F575" t="inlineStr">
        <is>
          <t>GÄVLEBORGS LÄN</t>
        </is>
      </c>
      <c r="G575" t="inlineStr">
        <is>
          <t>SÖDERHAMN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46117</v>
      </c>
      <c r="E576" s="1" t="n">
        <v>46248</v>
      </c>
      <c r="F576" t="inlineStr">
        <is>
          <t>GÄVLEBORGS LÄN</t>
        </is>
      </c>
      <c r="G576" t="inlineStr">
        <is>
          <t>SÖDERHAMN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17189-2026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46117</v>
      </c>
      <c r="E577" s="1" t="n">
        <v>46248</v>
      </c>
      <c r="F577" t="inlineStr">
        <is>
          <t>GÄVLEBORGS LÄN</t>
        </is>
      </c>
      <c r="G577" t="inlineStr">
        <is>
          <t>SÖDERHAMN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17191-2026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46117</v>
      </c>
      <c r="E578" s="1" t="n">
        <v>46248</v>
      </c>
      <c r="F578" t="inlineStr">
        <is>
          <t>GÄVLEBORGS LÄN</t>
        </is>
      </c>
      <c r="G578" t="inlineStr">
        <is>
          <t>SÖDERHAMN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46248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45398</v>
      </c>
      <c r="E580" s="1" t="n">
        <v>46248</v>
      </c>
      <c r="F580" t="inlineStr">
        <is>
          <t>GÄVLEBORGS LÄN</t>
        </is>
      </c>
      <c r="G580" t="inlineStr">
        <is>
          <t>SÖDERHAMN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59216-2021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44490</v>
      </c>
      <c r="E581" s="1" t="n">
        <v>46248</v>
      </c>
      <c r="F581" t="inlineStr">
        <is>
          <t>GÄVLEBORGS LÄN</t>
        </is>
      </c>
      <c r="G581" t="inlineStr">
        <is>
          <t>SÖDERHAMN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63632-2023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45275</v>
      </c>
      <c r="E582" s="1" t="n">
        <v>46248</v>
      </c>
      <c r="F582" t="inlineStr">
        <is>
          <t>GÄVLEBORGS LÄN</t>
        </is>
      </c>
      <c r="G582" t="inlineStr">
        <is>
          <t>SÖDERHAMN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46248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46248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46248</v>
      </c>
      <c r="F585" t="inlineStr">
        <is>
          <t>GÄVLEBORGS LÄN</t>
        </is>
      </c>
      <c r="G585" t="inlineStr">
        <is>
          <t>SÖDERHAMN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46248</v>
      </c>
      <c r="F586" t="inlineStr">
        <is>
          <t>GÄVLEBORGS LÄN</t>
        </is>
      </c>
      <c r="G586" t="inlineStr">
        <is>
          <t>SÖDERHAMN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46248</v>
      </c>
      <c r="F587" t="inlineStr">
        <is>
          <t>GÄVLEBORGS LÄN</t>
        </is>
      </c>
      <c r="G587" t="inlineStr">
        <is>
          <t>SÖDERHAMN</t>
        </is>
      </c>
      <c r="H587" t="inlineStr">
        <is>
          <t>Övriga statliga verk och myndigheter</t>
        </is>
      </c>
      <c r="I587" t="n">
        <v>7.8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19726-2026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46248</v>
      </c>
      <c r="F588" t="inlineStr">
        <is>
          <t>GÄVLEBORGS LÄN</t>
        </is>
      </c>
      <c r="G588" t="inlineStr">
        <is>
          <t>SÖDERHAMN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19725-2026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46135</v>
      </c>
      <c r="E589" s="1" t="n">
        <v>46248</v>
      </c>
      <c r="F589" t="inlineStr">
        <is>
          <t>GÄVLEBORGS LÄN</t>
        </is>
      </c>
      <c r="G589" t="inlineStr">
        <is>
          <t>SÖDERHAMN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19736-2026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46248</v>
      </c>
      <c r="F590" t="inlineStr">
        <is>
          <t>GÄVLEBORGS LÄN</t>
        </is>
      </c>
      <c r="G590" t="inlineStr">
        <is>
          <t>SÖDERHAMN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46248</v>
      </c>
      <c r="F591" t="inlineStr">
        <is>
          <t>GÄVLEBORGS LÄN</t>
        </is>
      </c>
      <c r="G591" t="inlineStr">
        <is>
          <t>SÖDERHAMN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46248</v>
      </c>
      <c r="F592" t="inlineStr">
        <is>
          <t>GÄVLEBORGS LÄN</t>
        </is>
      </c>
      <c r="G592" t="inlineStr">
        <is>
          <t>SÖDERHAMN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46248</v>
      </c>
      <c r="F593" t="inlineStr">
        <is>
          <t>GÄVLEBORGS LÄN</t>
        </is>
      </c>
      <c r="G593" t="inlineStr">
        <is>
          <t>SÖDERHAMN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46248</v>
      </c>
      <c r="F594" t="inlineStr">
        <is>
          <t>GÄVLEBORGS LÄN</t>
        </is>
      </c>
      <c r="G594" t="inlineStr">
        <is>
          <t>SÖDERHAMN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7629-2026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46248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12227-2026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46248</v>
      </c>
      <c r="F596" t="inlineStr">
        <is>
          <t>GÄVLEBORGS LÄN</t>
        </is>
      </c>
      <c r="G596" t="inlineStr">
        <is>
          <t>SÖDERHAMN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10876-2026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46248</v>
      </c>
      <c r="F597" t="inlineStr">
        <is>
          <t>GÄVLEBORGS LÄN</t>
        </is>
      </c>
      <c r="G597" t="inlineStr">
        <is>
          <t>SÖDERHAMN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46248</v>
      </c>
      <c r="F598" t="inlineStr">
        <is>
          <t>GÄVLEBORGS LÄN</t>
        </is>
      </c>
      <c r="G598" t="inlineStr">
        <is>
          <t>SÖDERHAMN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42409-2025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45905</v>
      </c>
      <c r="E599" s="1" t="n">
        <v>46248</v>
      </c>
      <c r="F599" t="inlineStr">
        <is>
          <t>GÄVLEBORGS LÄN</t>
        </is>
      </c>
      <c r="G599" t="inlineStr">
        <is>
          <t>SÖDERHAMN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46132</v>
      </c>
      <c r="E600" s="1" t="n">
        <v>46248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23189-2025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46248</v>
      </c>
      <c r="F601" t="inlineStr">
        <is>
          <t>GÄVLEBORGS LÄN</t>
        </is>
      </c>
      <c r="G601" t="inlineStr">
        <is>
          <t>SÖDERHAMN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46041</v>
      </c>
      <c r="E602" s="1" t="n">
        <v>46248</v>
      </c>
      <c r="F602" t="inlineStr">
        <is>
          <t>GÄVLEBORGS LÄN</t>
        </is>
      </c>
      <c r="G602" t="inlineStr">
        <is>
          <t>SÖDERHAMN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55383-2025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45971</v>
      </c>
      <c r="E603" s="1" t="n">
        <v>46248</v>
      </c>
      <c r="F603" t="inlineStr">
        <is>
          <t>GÄVLEBORGS LÄN</t>
        </is>
      </c>
      <c r="G603" t="inlineStr">
        <is>
          <t>SÖDERHAMN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46041</v>
      </c>
      <c r="E604" s="1" t="n">
        <v>46248</v>
      </c>
      <c r="F604" t="inlineStr">
        <is>
          <t>GÄVLEBORGS LÄN</t>
        </is>
      </c>
      <c r="G604" t="inlineStr">
        <is>
          <t>SÖDERHAMN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46248</v>
      </c>
      <c r="F605" t="inlineStr">
        <is>
          <t>GÄVLEBORGS LÄN</t>
        </is>
      </c>
      <c r="G605" t="inlineStr">
        <is>
          <t>SÖDERHAMN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46248</v>
      </c>
      <c r="F606" t="inlineStr">
        <is>
          <t>GÄVLEBORGS LÄN</t>
        </is>
      </c>
      <c r="G606" t="inlineStr">
        <is>
          <t>SÖDERHAMN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46050</v>
      </c>
      <c r="E607" s="1" t="n">
        <v>46248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15-2024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45293</v>
      </c>
      <c r="E608" s="1" t="n">
        <v>46248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17.7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46248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46248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46248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3155-2025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45973</v>
      </c>
      <c r="E612" s="1" t="n">
        <v>46248</v>
      </c>
      <c r="F612" t="inlineStr">
        <is>
          <t>GÄVLEBORGS LÄN</t>
        </is>
      </c>
      <c r="G612" t="inlineStr">
        <is>
          <t>SÖDERHAMN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2026-08-14T01:57:55Z</dcterms:created>
  <dcterms:modified xmlns:dcterms="http://purl.org/dc/terms/" xmlns:xsi="http://www.w3.org/2001/XMLSchema-instance" xsi:type="dcterms:W3CDTF">2026-08-14T01:57:56Z</dcterms:modified>
</cp:coreProperties>
</file>