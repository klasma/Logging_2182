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46302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46302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46302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46302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46302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46302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46302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46302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46302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46302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46302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46302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46302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46302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46302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46302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46302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46302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43682-2024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46302</v>
      </c>
      <c r="F30" t="inlineStr">
        <is>
          <t>GÄVLEBORGS LÄN</t>
        </is>
      </c>
      <c r="G30" t="inlineStr">
        <is>
          <t>SÖDERHAMN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HYPERLINK("https://klasma.github.io/Logging_2182/artfynd/A 43682-2024 artfynd.xlsx", "A 43682-2024")</f>
        <v/>
      </c>
      <c r="X30">
        <f>HYPERLINK("https://klasma.github.io/Logging_2182/kartor/A 43682-2024 karta.png", "A 43682-2024")</f>
        <v/>
      </c>
      <c r="Y30">
        <f>HYPERLINK("https://klasma.github.io/Logging_2182/kartor_geotiff/A 43682-2024 georefererad karta.tif", "A 43682-2024")</f>
        <v/>
      </c>
      <c r="AA30">
        <f>HYPERLINK("https://klasma.github.io/Logging_2182/klagomål/A 43682-2024 FSC-klagomål.docx", "A 43682-2024")</f>
        <v/>
      </c>
      <c r="AB30">
        <f>HYPERLINK("https://klasma.github.io/Logging_2182/klagomålsmail/A 43682-2024 FSC-klagomål mail.docx", "A 43682-2024")</f>
        <v/>
      </c>
      <c r="AC30">
        <f>HYPERLINK("https://klasma.github.io/Logging_2182/tillsyn/A 43682-2024 tillsynsbegäran.docx", "A 43682-2024")</f>
        <v/>
      </c>
      <c r="AD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46302</v>
      </c>
      <c r="F31" t="inlineStr">
        <is>
          <t>GÄVLEBORGS LÄN</t>
        </is>
      </c>
      <c r="G31" t="inlineStr">
        <is>
          <t>SÖDERHAMN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HYPERLINK("https://klasma.github.io/Logging_2182/artfynd/A 57441-2024 artfynd.xlsx", "A 57441-2024")</f>
        <v/>
      </c>
      <c r="X31">
        <f>HYPERLINK("https://klasma.github.io/Logging_2182/kartor/A 57441-2024 karta.png", "A 57441-2024")</f>
        <v/>
      </c>
      <c r="Y31">
        <f>HYPERLINK("https://klasma.github.io/Logging_2182/kartor_geotiff/A 57441-2024 georefererad karta.tif", "A 57441-2024")</f>
        <v/>
      </c>
      <c r="AA31">
        <f>HYPERLINK("https://klasma.github.io/Logging_2182/klagomål/A 57441-2024 FSC-klagomål.docx", "A 57441-2024")</f>
        <v/>
      </c>
      <c r="AB31">
        <f>HYPERLINK("https://klasma.github.io/Logging_2182/klagomålsmail/A 57441-2024 FSC-klagomål mail.docx", "A 57441-2024")</f>
        <v/>
      </c>
      <c r="AC31">
        <f>HYPERLINK("https://klasma.github.io/Logging_2182/tillsyn/A 57441-2024 tillsynsbegäran.docx", "A 57441-2024")</f>
        <v/>
      </c>
      <c r="AD31">
        <f>HYPERLINK("https://klasma.github.io/Logging_2182/tillsynsmail/A 57441-2024 tillsynsbegäran mail.docx", "A 57441-2024")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46302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29834-2025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45825</v>
      </c>
      <c r="E33" s="1" t="n">
        <v>46302</v>
      </c>
      <c r="F33" t="inlineStr">
        <is>
          <t>GÄVLEBORGS LÄN</t>
        </is>
      </c>
      <c r="G33" t="inlineStr">
        <is>
          <t>SÖDERHAMN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HYPERLINK("https://klasma.github.io/Logging_2182/artfynd/A 29834-2025 artfynd.xlsx", "A 29834-2025")</f>
        <v/>
      </c>
      <c r="X33">
        <f>HYPERLINK("https://klasma.github.io/Logging_2182/kartor/A 29834-2025 karta.png", "A 29834-2025")</f>
        <v/>
      </c>
      <c r="Y33">
        <f>HYPERLINK("https://klasma.github.io/Logging_2182/kartor_geotiff/A 29834-2025 georefererad karta.tif", "A 29834-2025")</f>
        <v/>
      </c>
      <c r="AA33">
        <f>HYPERLINK("https://klasma.github.io/Logging_2182/klagomål/A 29834-2025 FSC-klagomål.docx", "A 29834-2025")</f>
        <v/>
      </c>
      <c r="AB33">
        <f>HYPERLINK("https://klasma.github.io/Logging_2182/klagomålsmail/A 29834-2025 FSC-klagomål mail.docx", "A 29834-2025")</f>
        <v/>
      </c>
      <c r="AC33">
        <f>HYPERLINK("https://klasma.github.io/Logging_2182/tillsyn/A 29834-2025 tillsynsbegäran.docx", "A 29834-2025")</f>
        <v/>
      </c>
      <c r="AD33">
        <f>HYPERLINK("https://klasma.github.io/Logging_2182/tillsynsmail/A 29834-2025 tillsynsbegäran mail.docx", "A 29834-2025")</f>
        <v/>
      </c>
    </row>
    <row r="34" ht="15" customHeight="1">
      <c r="A34" t="inlineStr">
        <is>
          <t>A 41258-2022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44826</v>
      </c>
      <c r="E34" s="1" t="n">
        <v>46302</v>
      </c>
      <c r="F34" t="inlineStr">
        <is>
          <t>GÄVLEBORGS LÄN</t>
        </is>
      </c>
      <c r="G34" t="inlineStr">
        <is>
          <t>SÖDERHAMN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Rosenticka</t>
        </is>
      </c>
      <c r="W34">
        <f>HYPERLINK("https://klasma.github.io/Logging_2182/artfynd/A 41258-2022 artfynd.xlsx", "A 41258-2022")</f>
        <v/>
      </c>
      <c r="X34">
        <f>HYPERLINK("https://klasma.github.io/Logging_2182/kartor/A 41258-2022 karta.png", "A 41258-2022")</f>
        <v/>
      </c>
      <c r="Y34">
        <f>HYPERLINK("https://klasma.github.io/Logging_2182/kartor_geotiff/A 41258-2022 georefererad karta.tif", "A 41258-2022")</f>
        <v/>
      </c>
      <c r="AA34">
        <f>HYPERLINK("https://klasma.github.io/Logging_2182/klagomål/A 41258-2022 FSC-klagomål.docx", "A 41258-2022")</f>
        <v/>
      </c>
      <c r="AB34">
        <f>HYPERLINK("https://klasma.github.io/Logging_2182/klagomålsmail/A 41258-2022 FSC-klagomål mail.docx", "A 41258-2022")</f>
        <v/>
      </c>
      <c r="AC34">
        <f>HYPERLINK("https://klasma.github.io/Logging_2182/tillsyn/A 41258-2022 tillsynsbegäran.docx", "A 41258-2022")</f>
        <v/>
      </c>
      <c r="AD34">
        <f>HYPERLINK("https://klasma.github.io/Logging_2182/tillsynsmail/A 41258-2022 tillsynsbegäran mail.docx", "A 41258-2022")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46302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46302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38545-2025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46302</v>
      </c>
      <c r="F37" t="inlineStr">
        <is>
          <t>GÄVLEBORGS LÄN</t>
        </is>
      </c>
      <c r="G37" t="inlineStr">
        <is>
          <t>SÖDERHAMN</t>
        </is>
      </c>
      <c r="I37" t="n">
        <v>2.3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HYPERLINK("https://klasma.github.io/Logging_2182/artfynd/A 38545-2025 artfynd.xlsx", "A 38545-2025")</f>
        <v/>
      </c>
      <c r="X37">
        <f>HYPERLINK("https://klasma.github.io/Logging_2182/kartor/A 38545-2025 karta.png", "A 38545-2025")</f>
        <v/>
      </c>
      <c r="Y37">
        <f>HYPERLINK("https://klasma.github.io/Logging_2182/kartor_geotiff/A 38545-2025 georefererad karta.tif", "A 38545-2025")</f>
        <v/>
      </c>
      <c r="Z37">
        <f>HYPERLINK("https://klasma.github.io/Logging_2182/knärot/A 38545-2025 karta knärot.png", "A 38545-2025")</f>
        <v/>
      </c>
      <c r="AA37">
        <f>HYPERLINK("https://klasma.github.io/Logging_2182/klagomål/A 38545-2025 FSC-klagomål.docx", "A 38545-2025")</f>
        <v/>
      </c>
      <c r="AB37">
        <f>HYPERLINK("https://klasma.github.io/Logging_2182/klagomålsmail/A 38545-2025 FSC-klagomål mail.docx", "A 38545-2025")</f>
        <v/>
      </c>
      <c r="AC37">
        <f>HYPERLINK("https://klasma.github.io/Logging_2182/tillsyn/A 38545-2025 tillsynsbegäran.docx", "A 38545-2025")</f>
        <v/>
      </c>
      <c r="AD37">
        <f>HYPERLINK("https://klasma.github.io/Logging_2182/tillsynsmail/A 38545-2025 tillsynsbegäran mail.docx", "A 38545-2025")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46302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46302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46302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46302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21316-2024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46302</v>
      </c>
      <c r="F42" t="inlineStr">
        <is>
          <t>GÄVLEBORGS LÄN</t>
        </is>
      </c>
      <c r="G42" t="inlineStr">
        <is>
          <t>SÖDERHAMN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Brunfläckig pärlemorfjäril</t>
        </is>
      </c>
      <c r="W42">
        <f>HYPERLINK("https://klasma.github.io/Logging_2182/artfynd/A 21316-2024 artfynd.xlsx", "A 21316-2024")</f>
        <v/>
      </c>
      <c r="X42">
        <f>HYPERLINK("https://klasma.github.io/Logging_2182/kartor/A 21316-2024 karta.png", "A 21316-2024")</f>
        <v/>
      </c>
      <c r="Y42">
        <f>HYPERLINK("https://klasma.github.io/Logging_2182/kartor_geotiff/A 21316-2024 georefererad karta.tif", "A 21316-2024")</f>
        <v/>
      </c>
      <c r="AA42">
        <f>HYPERLINK("https://klasma.github.io/Logging_2182/klagomål/A 21316-2024 FSC-klagomål.docx", "A 21316-2024")</f>
        <v/>
      </c>
      <c r="AB42">
        <f>HYPERLINK("https://klasma.github.io/Logging_2182/klagomålsmail/A 21316-2024 FSC-klagomål mail.docx", "A 21316-2024")</f>
        <v/>
      </c>
      <c r="AC42">
        <f>HYPERLINK("https://klasma.github.io/Logging_2182/tillsyn/A 21316-2024 tillsynsbegäran.docx", "A 21316-2024")</f>
        <v/>
      </c>
      <c r="AD42">
        <f>HYPERLINK("https://klasma.github.io/Logging_2182/tillsynsmail/A 21316-2024 tillsynsbegäran mail.docx", "A 21316-2024")</f>
        <v/>
      </c>
    </row>
    <row r="43" ht="15" customHeight="1">
      <c r="A43" t="inlineStr">
        <is>
          <t>A 40097-2024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46302</v>
      </c>
      <c r="F43" t="inlineStr">
        <is>
          <t>GÄVLEBORGS LÄN</t>
        </is>
      </c>
      <c r="G43" t="inlineStr">
        <is>
          <t>SÖDERHAMN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40097-2024 artfynd.xlsx", "A 40097-2024")</f>
        <v/>
      </c>
      <c r="X43">
        <f>HYPERLINK("https://klasma.github.io/Logging_2182/kartor/A 40097-2024 karta.png", "A 40097-2024")</f>
        <v/>
      </c>
      <c r="Y43">
        <f>HYPERLINK("https://klasma.github.io/Logging_2182/kartor_geotiff/A 40097-2024 georefererad karta.tif", "A 40097-2024")</f>
        <v/>
      </c>
      <c r="AA43">
        <f>HYPERLINK("https://klasma.github.io/Logging_2182/klagomål/A 40097-2024 FSC-klagomål.docx", "A 40097-2024")</f>
        <v/>
      </c>
      <c r="AB43">
        <f>HYPERLINK("https://klasma.github.io/Logging_2182/klagomålsmail/A 40097-2024 FSC-klagomål mail.docx", "A 40097-2024")</f>
        <v/>
      </c>
      <c r="AC43">
        <f>HYPERLINK("https://klasma.github.io/Logging_2182/tillsyn/A 40097-2024 tillsynsbegäran.docx", "A 40097-2024")</f>
        <v/>
      </c>
      <c r="AD43">
        <f>HYPERLINK("https://klasma.github.io/Logging_2182/tillsynsmail/A 40097-2024 tillsynsbegäran mail.docx", "A 40097-2024")</f>
        <v/>
      </c>
    </row>
    <row r="44" ht="15" customHeight="1">
      <c r="A44" t="inlineStr">
        <is>
          <t>A 58261-2024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46302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58261-2024 artfynd.xlsx", "A 58261-2024")</f>
        <v/>
      </c>
      <c r="X44">
        <f>HYPERLINK("https://klasma.github.io/Logging_2182/kartor/A 58261-2024 karta.png", "A 58261-2024")</f>
        <v/>
      </c>
      <c r="Y44">
        <f>HYPERLINK("https://klasma.github.io/Logging_2182/kartor_geotiff/A 58261-2024 georefererad karta.tif", "A 58261-2024")</f>
        <v/>
      </c>
      <c r="AA44">
        <f>HYPERLINK("https://klasma.github.io/Logging_2182/klagomål/A 58261-2024 FSC-klagomål.docx", "A 58261-2024")</f>
        <v/>
      </c>
      <c r="AB44">
        <f>HYPERLINK("https://klasma.github.io/Logging_2182/klagomålsmail/A 58261-2024 FSC-klagomål mail.docx", "A 58261-2024")</f>
        <v/>
      </c>
      <c r="AC44">
        <f>HYPERLINK("https://klasma.github.io/Logging_2182/tillsyn/A 58261-2024 tillsynsbegäran.docx", "A 58261-2024")</f>
        <v/>
      </c>
      <c r="AD44">
        <f>HYPERLINK("https://klasma.github.io/Logging_2182/tillsynsmail/A 58261-2024 tillsynsbegäran mail.docx", "A 58261-2024")</f>
        <v/>
      </c>
    </row>
    <row r="45" ht="15" customHeight="1">
      <c r="A45" t="inlineStr">
        <is>
          <t>A 58077-2024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46302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Motaggsvamp</t>
        </is>
      </c>
      <c r="W45">
        <f>HYPERLINK("https://klasma.github.io/Logging_2182/artfynd/A 58077-2024 artfynd.xlsx", "A 58077-2024")</f>
        <v/>
      </c>
      <c r="X45">
        <f>HYPERLINK("https://klasma.github.io/Logging_2182/kartor/A 58077-2024 karta.png", "A 58077-2024")</f>
        <v/>
      </c>
      <c r="Y45">
        <f>HYPERLINK("https://klasma.github.io/Logging_2182/kartor_geotiff/A 58077-2024 georefererad karta.tif", "A 58077-2024")</f>
        <v/>
      </c>
      <c r="AA45">
        <f>HYPERLINK("https://klasma.github.io/Logging_2182/klagomål/A 58077-2024 FSC-klagomål.docx", "A 58077-2024")</f>
        <v/>
      </c>
      <c r="AB45">
        <f>HYPERLINK("https://klasma.github.io/Logging_2182/klagomålsmail/A 58077-2024 FSC-klagomål mail.docx", "A 58077-2024")</f>
        <v/>
      </c>
      <c r="AC45">
        <f>HYPERLINK("https://klasma.github.io/Logging_2182/tillsyn/A 58077-2024 tillsynsbegäran.docx", "A 58077-2024")</f>
        <v/>
      </c>
      <c r="AD45">
        <f>HYPERLINK("https://klasma.github.io/Logging_2182/tillsynsmail/A 58077-2024 tillsynsbegäran mail.docx", "A 58077-2024")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46302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6060-2026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46302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Barkticka</t>
        </is>
      </c>
      <c r="W47">
        <f>HYPERLINK("https://klasma.github.io/Logging_2182/artfynd/A 6060-2026 artfynd.xlsx", "A 6060-2026")</f>
        <v/>
      </c>
      <c r="X47">
        <f>HYPERLINK("https://klasma.github.io/Logging_2182/kartor/A 6060-2026 karta.png", "A 6060-2026")</f>
        <v/>
      </c>
      <c r="Y47">
        <f>HYPERLINK("https://klasma.github.io/Logging_2182/kartor_geotiff/A 6060-2026 georefererad karta.tif", "A 6060-2026")</f>
        <v/>
      </c>
      <c r="AA47">
        <f>HYPERLINK("https://klasma.github.io/Logging_2182/klagomål/A 6060-2026 FSC-klagomål.docx", "A 6060-2026")</f>
        <v/>
      </c>
      <c r="AB47">
        <f>HYPERLINK("https://klasma.github.io/Logging_2182/klagomålsmail/A 6060-2026 FSC-klagomål mail.docx", "A 6060-2026")</f>
        <v/>
      </c>
      <c r="AC47">
        <f>HYPERLINK("https://klasma.github.io/Logging_2182/tillsyn/A 6060-2026 tillsynsbegäran.docx", "A 6060-2026")</f>
        <v/>
      </c>
      <c r="AD47">
        <f>HYPERLINK("https://klasma.github.io/Logging_2182/tillsynsmail/A 6060-2026 tillsynsbegäran mail.docx", "A 6060-2026")</f>
        <v/>
      </c>
    </row>
    <row r="48" ht="15" customHeight="1">
      <c r="A48" t="inlineStr">
        <is>
          <t>A 11791-2026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46302</v>
      </c>
      <c r="F48" t="inlineStr">
        <is>
          <t>GÄVLEBORGS LÄN</t>
        </is>
      </c>
      <c r="G48" t="inlineStr">
        <is>
          <t>SÖDERHAMN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HYPERLINK("https://klasma.github.io/Logging_2182/artfynd/A 11791-2026 artfynd.xlsx", "A 11791-2026")</f>
        <v/>
      </c>
      <c r="X48">
        <f>HYPERLINK("https://klasma.github.io/Logging_2182/kartor/A 11791-2026 karta.png", "A 11791-2026")</f>
        <v/>
      </c>
      <c r="Y48">
        <f>HYPERLINK("https://klasma.github.io/Logging_2182/kartor_geotiff/A 11791-2026 georefererad karta.tif", "A 11791-2026")</f>
        <v/>
      </c>
      <c r="AA48">
        <f>HYPERLINK("https://klasma.github.io/Logging_2182/klagomål/A 11791-2026 FSC-klagomål.docx", "A 11791-2026")</f>
        <v/>
      </c>
      <c r="AB48">
        <f>HYPERLINK("https://klasma.github.io/Logging_2182/klagomålsmail/A 11791-2026 FSC-klagomål mail.docx", "A 11791-2026")</f>
        <v/>
      </c>
      <c r="AC48">
        <f>HYPERLINK("https://klasma.github.io/Logging_2182/tillsyn/A 11791-2026 tillsynsbegäran.docx", "A 11791-2026")</f>
        <v/>
      </c>
      <c r="AD48">
        <f>HYPERLINK("https://klasma.github.io/Logging_2182/tillsynsmail/A 11791-2026 tillsynsbegäran mail.docx", "A 11791-2026")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46302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46302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46302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46302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46302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46302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46302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46302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46302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46302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46302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46302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46302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46302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46302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46302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46302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46302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46302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46302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46302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46302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46302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46302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46302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46302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46302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46302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46302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46302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46302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46302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46302</v>
      </c>
      <c r="F81" t="inlineStr">
        <is>
          <t>GÄVLEBORGS LÄN</t>
        </is>
      </c>
      <c r="G81" t="inlineStr">
        <is>
          <t>SÖDERHAMN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46302</v>
      </c>
      <c r="F82" t="inlineStr">
        <is>
          <t>GÄVLEBORGS LÄN</t>
        </is>
      </c>
      <c r="G82" t="inlineStr">
        <is>
          <t>SÖDERHAMN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45267</v>
      </c>
      <c r="E83" s="1" t="n">
        <v>46302</v>
      </c>
      <c r="F83" t="inlineStr">
        <is>
          <t>GÄVLEBORGS LÄN</t>
        </is>
      </c>
      <c r="G83" t="inlineStr">
        <is>
          <t>SÖDERHAMN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46302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46302</v>
      </c>
      <c r="F85" t="inlineStr">
        <is>
          <t>GÄVLEBORGS LÄN</t>
        </is>
      </c>
      <c r="G85" t="inlineStr">
        <is>
          <t>SÖDERHAMN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46302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46302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46302</v>
      </c>
      <c r="F88" t="inlineStr">
        <is>
          <t>GÄVLEBORGS LÄN</t>
        </is>
      </c>
      <c r="G88" t="inlineStr">
        <is>
          <t>SÖDERHAMN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46302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59048-2024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46302</v>
      </c>
      <c r="F90" t="inlineStr">
        <is>
          <t>GÄVLEBORGS LÄN</t>
        </is>
      </c>
      <c r="G90" t="inlineStr">
        <is>
          <t>SÖDERHAMN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58544-2023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45251</v>
      </c>
      <c r="E91" s="1" t="n">
        <v>46302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45471</v>
      </c>
      <c r="E92" s="1" t="n">
        <v>46302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46302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46302</v>
      </c>
      <c r="F94" t="inlineStr">
        <is>
          <t>GÄVLEBORGS LÄN</t>
        </is>
      </c>
      <c r="G94" t="inlineStr">
        <is>
          <t>SÖDERHAMN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46302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46302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46302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46302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46302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46302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46302</v>
      </c>
      <c r="F101" t="inlineStr">
        <is>
          <t>GÄVLEBORGS LÄN</t>
        </is>
      </c>
      <c r="G101" t="inlineStr">
        <is>
          <t>SÖDERHAMN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45750</v>
      </c>
      <c r="E102" s="1" t="n">
        <v>46302</v>
      </c>
      <c r="F102" t="inlineStr">
        <is>
          <t>GÄVLEBORGS LÄN</t>
        </is>
      </c>
      <c r="G102" t="inlineStr">
        <is>
          <t>SÖDERHAMN</t>
        </is>
      </c>
      <c r="H102" t="inlineStr">
        <is>
          <t>Kommuner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45595</v>
      </c>
      <c r="E103" s="1" t="n">
        <v>46302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46302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46302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46302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44665</v>
      </c>
      <c r="E107" s="1" t="n">
        <v>46302</v>
      </c>
      <c r="F107" t="inlineStr">
        <is>
          <t>GÄVLEBORGS LÄN</t>
        </is>
      </c>
      <c r="G107" t="inlineStr">
        <is>
          <t>SÖDERHAMN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46026</v>
      </c>
      <c r="E108" s="1" t="n">
        <v>46302</v>
      </c>
      <c r="F108" t="inlineStr">
        <is>
          <t>GÄVLEBORGS LÄN</t>
        </is>
      </c>
      <c r="G108" t="inlineStr">
        <is>
          <t>SÖDERHAMN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46302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46302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46302</v>
      </c>
      <c r="F111" t="inlineStr">
        <is>
          <t>GÄVLEBORGS LÄN</t>
        </is>
      </c>
      <c r="G111" t="inlineStr">
        <is>
          <t>SÖDERHAMN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46302</v>
      </c>
      <c r="F112" t="inlineStr">
        <is>
          <t>GÄVLEBORGS LÄN</t>
        </is>
      </c>
      <c r="G112" t="inlineStr">
        <is>
          <t>SÖDERHAMN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46302</v>
      </c>
      <c r="F113" t="inlineStr">
        <is>
          <t>GÄVLEBORGS LÄN</t>
        </is>
      </c>
      <c r="G113" t="inlineStr">
        <is>
          <t>SÖDERHAMN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46302</v>
      </c>
      <c r="F114" t="inlineStr">
        <is>
          <t>GÄVLEBORGS LÄN</t>
        </is>
      </c>
      <c r="G114" t="inlineStr">
        <is>
          <t>SÖDERHAMN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46302</v>
      </c>
      <c r="F115" t="inlineStr">
        <is>
          <t>GÄVLEBORGS LÄN</t>
        </is>
      </c>
      <c r="G115" t="inlineStr">
        <is>
          <t>SÖDERHAMN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46302</v>
      </c>
      <c r="F116" t="inlineStr">
        <is>
          <t>GÄVLEBORGS LÄN</t>
        </is>
      </c>
      <c r="G116" t="inlineStr">
        <is>
          <t>SÖDERHAMN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46302</v>
      </c>
      <c r="F117" t="inlineStr">
        <is>
          <t>GÄVLEBORGS LÄN</t>
        </is>
      </c>
      <c r="G117" t="inlineStr">
        <is>
          <t>SÖDERHAMN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46302</v>
      </c>
      <c r="F118" t="inlineStr">
        <is>
          <t>GÄVLEBORGS LÄN</t>
        </is>
      </c>
      <c r="G118" t="inlineStr">
        <is>
          <t>SÖDERHAMN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46302</v>
      </c>
      <c r="F119" t="inlineStr">
        <is>
          <t>GÄVLEBORGS LÄN</t>
        </is>
      </c>
      <c r="G119" t="inlineStr">
        <is>
          <t>SÖDERHAMN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46302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46302</v>
      </c>
      <c r="F121" t="inlineStr">
        <is>
          <t>GÄVLEBORGS LÄN</t>
        </is>
      </c>
      <c r="G121" t="inlineStr">
        <is>
          <t>SÖDERHAMN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46024</v>
      </c>
      <c r="E122" s="1" t="n">
        <v>46302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46302</v>
      </c>
      <c r="F123" t="inlineStr">
        <is>
          <t>GÄVLEBORGS LÄN</t>
        </is>
      </c>
      <c r="G123" t="inlineStr">
        <is>
          <t>SÖDERHAMN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46302</v>
      </c>
      <c r="F124" t="inlineStr">
        <is>
          <t>GÄVLEBORGS LÄN</t>
        </is>
      </c>
      <c r="G124" t="inlineStr">
        <is>
          <t>SÖDERHAMN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46024</v>
      </c>
      <c r="E125" s="1" t="n">
        <v>46302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46302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46302</v>
      </c>
      <c r="F127" t="inlineStr">
        <is>
          <t>GÄVLEBORGS LÄN</t>
        </is>
      </c>
      <c r="G127" t="inlineStr">
        <is>
          <t>SÖDERHAMN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46302</v>
      </c>
      <c r="F128" t="inlineStr">
        <is>
          <t>GÄVLEBORGS LÄN</t>
        </is>
      </c>
      <c r="G128" t="inlineStr">
        <is>
          <t>SÖDERHAMN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46302</v>
      </c>
      <c r="F129" t="inlineStr">
        <is>
          <t>GÄVLEBORGS LÄN</t>
        </is>
      </c>
      <c r="G129" t="inlineStr">
        <is>
          <t>SÖDERHAMN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46302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46302</v>
      </c>
      <c r="F131" t="inlineStr">
        <is>
          <t>GÄVLEBORGS LÄN</t>
        </is>
      </c>
      <c r="G131" t="inlineStr">
        <is>
          <t>SÖDERHAMN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46302</v>
      </c>
      <c r="F132" t="inlineStr">
        <is>
          <t>GÄVLEBORGS LÄN</t>
        </is>
      </c>
      <c r="G132" t="inlineStr">
        <is>
          <t>SÖDERHAMN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46302</v>
      </c>
      <c r="F133" t="inlineStr">
        <is>
          <t>GÄVLEBORGS LÄN</t>
        </is>
      </c>
      <c r="G133" t="inlineStr">
        <is>
          <t>SÖDERHAMN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46302</v>
      </c>
      <c r="F134" t="inlineStr">
        <is>
          <t>GÄVLEBORGS LÄN</t>
        </is>
      </c>
      <c r="G134" t="inlineStr">
        <is>
          <t>SÖDERHAMN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46302</v>
      </c>
      <c r="F135" t="inlineStr">
        <is>
          <t>GÄVLEBORGS LÄN</t>
        </is>
      </c>
      <c r="G135" t="inlineStr">
        <is>
          <t>SÖDERHAMN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44795</v>
      </c>
      <c r="E136" s="1" t="n">
        <v>46302</v>
      </c>
      <c r="F136" t="inlineStr">
        <is>
          <t>GÄVLEBORGS LÄN</t>
        </is>
      </c>
      <c r="G136" t="inlineStr">
        <is>
          <t>SÖDERHAMN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46302</v>
      </c>
      <c r="F137" t="inlineStr">
        <is>
          <t>GÄVLEBORGS LÄN</t>
        </is>
      </c>
      <c r="G137" t="inlineStr">
        <is>
          <t>SÖDERHAMN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18505-2024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46302</v>
      </c>
      <c r="F138" t="inlineStr">
        <is>
          <t>GÄVLEBORGS LÄN</t>
        </is>
      </c>
      <c r="G138" t="inlineStr">
        <is>
          <t>SÖDERHAMN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46302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46302</v>
      </c>
      <c r="F140" t="inlineStr">
        <is>
          <t>GÄVLEBORGS LÄN</t>
        </is>
      </c>
      <c r="G140" t="inlineStr">
        <is>
          <t>SÖDERHAMN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46043</v>
      </c>
      <c r="E141" s="1" t="n">
        <v>46302</v>
      </c>
      <c r="F141" t="inlineStr">
        <is>
          <t>GÄVLEBORGS LÄN</t>
        </is>
      </c>
      <c r="G141" t="inlineStr">
        <is>
          <t>SÖDERHAMN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54799-2022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44883</v>
      </c>
      <c r="E142" s="1" t="n">
        <v>46302</v>
      </c>
      <c r="F142" t="inlineStr">
        <is>
          <t>GÄVLEBORGS LÄN</t>
        </is>
      </c>
      <c r="G142" t="inlineStr">
        <is>
          <t>SÖDERHAMN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46302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46302</v>
      </c>
      <c r="F144" t="inlineStr">
        <is>
          <t>GÄVLEBORGS LÄN</t>
        </is>
      </c>
      <c r="G144" t="inlineStr">
        <is>
          <t>SÖDERHAMN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46302</v>
      </c>
      <c r="F145" t="inlineStr">
        <is>
          <t>GÄVLEBORGS LÄN</t>
        </is>
      </c>
      <c r="G145" t="inlineStr">
        <is>
          <t>SÖDERHAMN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46302</v>
      </c>
      <c r="F146" t="inlineStr">
        <is>
          <t>GÄVLEBORGS LÄN</t>
        </is>
      </c>
      <c r="G146" t="inlineStr">
        <is>
          <t>SÖDERHAMN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46302</v>
      </c>
      <c r="F147" t="inlineStr">
        <is>
          <t>GÄVLEBORGS LÄN</t>
        </is>
      </c>
      <c r="G147" t="inlineStr">
        <is>
          <t>SÖDERHAMN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46302</v>
      </c>
      <c r="F148" t="inlineStr">
        <is>
          <t>GÄVLEBORGS LÄN</t>
        </is>
      </c>
      <c r="G148" t="inlineStr">
        <is>
          <t>SÖDERHAMN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46302</v>
      </c>
      <c r="F149" t="inlineStr">
        <is>
          <t>GÄVLEBORGS LÄN</t>
        </is>
      </c>
      <c r="G149" t="inlineStr">
        <is>
          <t>SÖDERHAMN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46302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46302</v>
      </c>
      <c r="F151" t="inlineStr">
        <is>
          <t>GÄVLEBORGS LÄN</t>
        </is>
      </c>
      <c r="G151" t="inlineStr">
        <is>
          <t>SÖDERHAMN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46302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44703-2024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45574</v>
      </c>
      <c r="E153" s="1" t="n">
        <v>46302</v>
      </c>
      <c r="F153" t="inlineStr">
        <is>
          <t>GÄVLEBORGS LÄN</t>
        </is>
      </c>
      <c r="G153" t="inlineStr">
        <is>
          <t>SÖDERHAMN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46302</v>
      </c>
      <c r="F154" t="inlineStr">
        <is>
          <t>GÄVLEBORGS LÄN</t>
        </is>
      </c>
      <c r="G154" t="inlineStr">
        <is>
          <t>SÖDERHAMN</t>
        </is>
      </c>
      <c r="I154" t="n">
        <v>14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46302</v>
      </c>
      <c r="F155" t="inlineStr">
        <is>
          <t>GÄVLEBORGS LÄN</t>
        </is>
      </c>
      <c r="G155" t="inlineStr">
        <is>
          <t>SÖDERHAMN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46302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46055</v>
      </c>
      <c r="E157" s="1" t="n">
        <v>46302</v>
      </c>
      <c r="F157" t="inlineStr">
        <is>
          <t>GÄVLEBORGS LÄN</t>
        </is>
      </c>
      <c r="G157" t="inlineStr">
        <is>
          <t>SÖDERHAMN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46302</v>
      </c>
      <c r="F158" t="inlineStr">
        <is>
          <t>GÄVLEBORGS LÄN</t>
        </is>
      </c>
      <c r="G158" t="inlineStr">
        <is>
          <t>SÖDERHAMN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46302</v>
      </c>
      <c r="F159" t="inlineStr">
        <is>
          <t>GÄVLEBORGS LÄN</t>
        </is>
      </c>
      <c r="G159" t="inlineStr">
        <is>
          <t>SÖDERHAMN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46302</v>
      </c>
      <c r="F160" t="inlineStr">
        <is>
          <t>GÄVLEBORGS LÄN</t>
        </is>
      </c>
      <c r="G160" t="inlineStr">
        <is>
          <t>SÖDERHAMN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46302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46302</v>
      </c>
      <c r="F162" t="inlineStr">
        <is>
          <t>GÄVLEBORGS LÄN</t>
        </is>
      </c>
      <c r="G162" t="inlineStr">
        <is>
          <t>SÖDERHAMN</t>
        </is>
      </c>
      <c r="H162" t="inlineStr">
        <is>
          <t>Övriga statliga verk och myndigheter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46302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46302</v>
      </c>
      <c r="F164" t="inlineStr">
        <is>
          <t>GÄVLEBORGS LÄN</t>
        </is>
      </c>
      <c r="G164" t="inlineStr">
        <is>
          <t>SÖDERHAMN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46063</v>
      </c>
      <c r="E165" s="1" t="n">
        <v>46302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46302</v>
      </c>
      <c r="F166" t="inlineStr">
        <is>
          <t>GÄVLEBORGS LÄN</t>
        </is>
      </c>
      <c r="G166" t="inlineStr">
        <is>
          <t>SÖDERHAMN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46302</v>
      </c>
      <c r="F167" t="inlineStr">
        <is>
          <t>GÄVLEBORGS LÄN</t>
        </is>
      </c>
      <c r="G167" t="inlineStr">
        <is>
          <t>SÖDERHAMN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46302</v>
      </c>
      <c r="F168" t="inlineStr">
        <is>
          <t>GÄVLEBORGS LÄN</t>
        </is>
      </c>
      <c r="G168" t="inlineStr">
        <is>
          <t>SÖDERHAMN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46302</v>
      </c>
      <c r="F169" t="inlineStr">
        <is>
          <t>GÄVLEBORGS LÄN</t>
        </is>
      </c>
      <c r="G169" t="inlineStr">
        <is>
          <t>SÖDERHAMN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46063</v>
      </c>
      <c r="E170" s="1" t="n">
        <v>46302</v>
      </c>
      <c r="F170" t="inlineStr">
        <is>
          <t>GÄVLEBORGS LÄN</t>
        </is>
      </c>
      <c r="G170" t="inlineStr">
        <is>
          <t>SÖDERHAMN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46302</v>
      </c>
      <c r="F171" t="inlineStr">
        <is>
          <t>GÄVLEBORGS LÄN</t>
        </is>
      </c>
      <c r="G171" t="inlineStr">
        <is>
          <t>SÖDERHAMN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45069</v>
      </c>
      <c r="E172" s="1" t="n">
        <v>46302</v>
      </c>
      <c r="F172" t="inlineStr">
        <is>
          <t>GÄVLEBORGS LÄN</t>
        </is>
      </c>
      <c r="G172" t="inlineStr">
        <is>
          <t>SÖDERHAMN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46302</v>
      </c>
      <c r="F173" t="inlineStr">
        <is>
          <t>GÄVLEBORGS LÄN</t>
        </is>
      </c>
      <c r="G173" t="inlineStr">
        <is>
          <t>SÖDERHAMN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46302</v>
      </c>
      <c r="F174" t="inlineStr">
        <is>
          <t>GÄVLEBORGS LÄN</t>
        </is>
      </c>
      <c r="G174" t="inlineStr">
        <is>
          <t>SÖDERHAMN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46302</v>
      </c>
      <c r="F175" t="inlineStr">
        <is>
          <t>GÄVLEBORGS LÄN</t>
        </is>
      </c>
      <c r="G175" t="inlineStr">
        <is>
          <t>SÖDERHAMN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46302</v>
      </c>
      <c r="F176" t="inlineStr">
        <is>
          <t>GÄVLEBORGS LÄN</t>
        </is>
      </c>
      <c r="G176" t="inlineStr">
        <is>
          <t>SÖDERHAMN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46302</v>
      </c>
      <c r="F177" t="inlineStr">
        <is>
          <t>GÄVLEBORGS LÄN</t>
        </is>
      </c>
      <c r="G177" t="inlineStr">
        <is>
          <t>SÖDERHAMN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46302</v>
      </c>
      <c r="F178" t="inlineStr">
        <is>
          <t>GÄVLEBORGS LÄN</t>
        </is>
      </c>
      <c r="G178" t="inlineStr">
        <is>
          <t>SÖDERHAMN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46302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46302</v>
      </c>
      <c r="F180" t="inlineStr">
        <is>
          <t>GÄVLEBORGS LÄN</t>
        </is>
      </c>
      <c r="G180" t="inlineStr">
        <is>
          <t>SÖDERHAMN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46302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46302</v>
      </c>
      <c r="F182" t="inlineStr">
        <is>
          <t>GÄVLEBORGS LÄN</t>
        </is>
      </c>
      <c r="G182" t="inlineStr">
        <is>
          <t>SÖDERHAMN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46302</v>
      </c>
      <c r="F183" t="inlineStr">
        <is>
          <t>GÄVLEBORGS LÄN</t>
        </is>
      </c>
      <c r="G183" t="inlineStr">
        <is>
          <t>SÖDERHAMN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46302</v>
      </c>
      <c r="F184" t="inlineStr">
        <is>
          <t>GÄVLEBORGS LÄN</t>
        </is>
      </c>
      <c r="G184" t="inlineStr">
        <is>
          <t>SÖDERHAMN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46302</v>
      </c>
      <c r="F185" t="inlineStr">
        <is>
          <t>GÄVLEBORGS LÄN</t>
        </is>
      </c>
      <c r="G185" t="inlineStr">
        <is>
          <t>SÖDERHAMN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46302</v>
      </c>
      <c r="F186" t="inlineStr">
        <is>
          <t>GÄVLEBORGS LÄN</t>
        </is>
      </c>
      <c r="G186" t="inlineStr">
        <is>
          <t>SÖDERHAMN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46302</v>
      </c>
      <c r="F187" t="inlineStr">
        <is>
          <t>GÄVLEBORGS LÄN</t>
        </is>
      </c>
      <c r="G187" t="inlineStr">
        <is>
          <t>SÖDERHAMN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46302</v>
      </c>
      <c r="F188" t="inlineStr">
        <is>
          <t>GÄVLEBORGS LÄN</t>
        </is>
      </c>
      <c r="G188" t="inlineStr">
        <is>
          <t>SÖDERHAMN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46302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46302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46302</v>
      </c>
      <c r="F191" t="inlineStr">
        <is>
          <t>GÄVLEBORGS LÄN</t>
        </is>
      </c>
      <c r="G191" t="inlineStr">
        <is>
          <t>SÖDERHAMN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46302</v>
      </c>
      <c r="F192" t="inlineStr">
        <is>
          <t>GÄVLEBORGS LÄN</t>
        </is>
      </c>
      <c r="G192" t="inlineStr">
        <is>
          <t>SÖDERHAMN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46302</v>
      </c>
      <c r="F193" t="inlineStr">
        <is>
          <t>GÄVLEBORGS LÄN</t>
        </is>
      </c>
      <c r="G193" t="inlineStr">
        <is>
          <t>SÖDERHAMN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46302</v>
      </c>
      <c r="F194" t="inlineStr">
        <is>
          <t>GÄVLEBORGS LÄN</t>
        </is>
      </c>
      <c r="G194" t="inlineStr">
        <is>
          <t>SÖDERHAMN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45670</v>
      </c>
      <c r="E195" s="1" t="n">
        <v>46302</v>
      </c>
      <c r="F195" t="inlineStr">
        <is>
          <t>GÄVLEBORGS LÄN</t>
        </is>
      </c>
      <c r="G195" t="inlineStr">
        <is>
          <t>SÖDERHAMN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46302</v>
      </c>
      <c r="F196" t="inlineStr">
        <is>
          <t>GÄVLEBORGS LÄN</t>
        </is>
      </c>
      <c r="G196" t="inlineStr">
        <is>
          <t>SÖDERHAMN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46302</v>
      </c>
      <c r="F197" t="inlineStr">
        <is>
          <t>GÄVLEBORGS LÄN</t>
        </is>
      </c>
      <c r="G197" t="inlineStr">
        <is>
          <t>SÖDERHAMN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46302</v>
      </c>
      <c r="F198" t="inlineStr">
        <is>
          <t>GÄVLEBORGS LÄN</t>
        </is>
      </c>
      <c r="G198" t="inlineStr">
        <is>
          <t>SÖDERHAMN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46302</v>
      </c>
      <c r="F199" t="inlineStr">
        <is>
          <t>GÄVLEBORGS LÄN</t>
        </is>
      </c>
      <c r="G199" t="inlineStr">
        <is>
          <t>SÖDERHAMN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46302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46302</v>
      </c>
      <c r="F201" t="inlineStr">
        <is>
          <t>GÄVLEBORGS LÄN</t>
        </is>
      </c>
      <c r="G201" t="inlineStr">
        <is>
          <t>SÖDERHAMN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45108</v>
      </c>
      <c r="E202" s="1" t="n">
        <v>46302</v>
      </c>
      <c r="F202" t="inlineStr">
        <is>
          <t>GÄVLEBORGS LÄN</t>
        </is>
      </c>
      <c r="G202" t="inlineStr">
        <is>
          <t>SÖDERHAMN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45108</v>
      </c>
      <c r="E203" s="1" t="n">
        <v>46302</v>
      </c>
      <c r="F203" t="inlineStr">
        <is>
          <t>GÄVLEBORGS LÄN</t>
        </is>
      </c>
      <c r="G203" t="inlineStr">
        <is>
          <t>SÖDERHAMN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46302</v>
      </c>
      <c r="F204" t="inlineStr">
        <is>
          <t>GÄVLEBORGS LÄN</t>
        </is>
      </c>
      <c r="G204" t="inlineStr">
        <is>
          <t>SÖDERHAMN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45331</v>
      </c>
      <c r="E205" s="1" t="n">
        <v>46302</v>
      </c>
      <c r="F205" t="inlineStr">
        <is>
          <t>GÄVLEBORGS LÄN</t>
        </is>
      </c>
      <c r="G205" t="inlineStr">
        <is>
          <t>SÖDERHAMN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46302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46302</v>
      </c>
      <c r="F207" t="inlineStr">
        <is>
          <t>GÄVLEBORGS LÄN</t>
        </is>
      </c>
      <c r="G207" t="inlineStr">
        <is>
          <t>SÖDERHAMN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46302</v>
      </c>
      <c r="F208" t="inlineStr">
        <is>
          <t>GÄVLEBORGS LÄN</t>
        </is>
      </c>
      <c r="G208" t="inlineStr">
        <is>
          <t>SÖDERHAMN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46087</v>
      </c>
      <c r="E209" s="1" t="n">
        <v>46302</v>
      </c>
      <c r="F209" t="inlineStr">
        <is>
          <t>GÄVLEBORGS LÄN</t>
        </is>
      </c>
      <c r="G209" t="inlineStr">
        <is>
          <t>SÖDERHAMN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46302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46302</v>
      </c>
      <c r="F211" t="inlineStr">
        <is>
          <t>GÄVLEBORGS LÄN</t>
        </is>
      </c>
      <c r="G211" t="inlineStr">
        <is>
          <t>SÖDERHAMN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46302</v>
      </c>
      <c r="F212" t="inlineStr">
        <is>
          <t>GÄVLEBORGS LÄN</t>
        </is>
      </c>
      <c r="G212" t="inlineStr">
        <is>
          <t>SÖDERHAMN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46302</v>
      </c>
      <c r="F213" t="inlineStr">
        <is>
          <t>GÄVLEBORGS LÄN</t>
        </is>
      </c>
      <c r="G213" t="inlineStr">
        <is>
          <t>SÖDERHAMN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46302</v>
      </c>
      <c r="F214" t="inlineStr">
        <is>
          <t>GÄVLEBORGS LÄN</t>
        </is>
      </c>
      <c r="G214" t="inlineStr">
        <is>
          <t>SÖDERHAMN</t>
        </is>
      </c>
      <c r="H214" t="inlineStr">
        <is>
          <t>Kommuner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46302</v>
      </c>
      <c r="F215" t="inlineStr">
        <is>
          <t>GÄVLEBORGS LÄN</t>
        </is>
      </c>
      <c r="G215" t="inlineStr">
        <is>
          <t>SÖDERHAMN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46302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46302</v>
      </c>
      <c r="F217" t="inlineStr">
        <is>
          <t>GÄVLEBORGS LÄN</t>
        </is>
      </c>
      <c r="G217" t="inlineStr">
        <is>
          <t>SÖDERHAMN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46302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46302</v>
      </c>
      <c r="F219" t="inlineStr">
        <is>
          <t>GÄVLEBORGS LÄN</t>
        </is>
      </c>
      <c r="G219" t="inlineStr">
        <is>
          <t>SÖDERHAMN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46302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46302</v>
      </c>
      <c r="F221" t="inlineStr">
        <is>
          <t>GÄVLEBORGS LÄN</t>
        </is>
      </c>
      <c r="G221" t="inlineStr">
        <is>
          <t>SÖDERHAMN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38355-2022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44812</v>
      </c>
      <c r="E222" s="1" t="n">
        <v>46302</v>
      </c>
      <c r="F222" t="inlineStr">
        <is>
          <t>GÄVLEBORGS LÄN</t>
        </is>
      </c>
      <c r="G222" t="inlineStr">
        <is>
          <t>SÖDERHAMN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46302</v>
      </c>
      <c r="F223" t="inlineStr">
        <is>
          <t>GÄVLEBORGS LÄN</t>
        </is>
      </c>
      <c r="G223" t="inlineStr">
        <is>
          <t>SÖDERHAMN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46302</v>
      </c>
      <c r="F224" t="inlineStr">
        <is>
          <t>GÄVLEBORGS LÄN</t>
        </is>
      </c>
      <c r="G224" t="inlineStr">
        <is>
          <t>SÖDERHAMN</t>
        </is>
      </c>
      <c r="H224" t="inlineStr">
        <is>
          <t>Kommuner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46302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46099</v>
      </c>
      <c r="E226" s="1" t="n">
        <v>46302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24766-2023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45084</v>
      </c>
      <c r="E227" s="1" t="n">
        <v>46302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46302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46104</v>
      </c>
      <c r="E229" s="1" t="n">
        <v>46302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46302</v>
      </c>
      <c r="F230" t="inlineStr">
        <is>
          <t>GÄVLEBORGS LÄN</t>
        </is>
      </c>
      <c r="G230" t="inlineStr">
        <is>
          <t>SÖDERHAMN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46302</v>
      </c>
      <c r="F231" t="inlineStr">
        <is>
          <t>GÄVLEBORGS LÄN</t>
        </is>
      </c>
      <c r="G231" t="inlineStr">
        <is>
          <t>SÖDERHAMN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46302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44543</v>
      </c>
      <c r="E233" s="1" t="n">
        <v>46302</v>
      </c>
      <c r="F233" t="inlineStr">
        <is>
          <t>GÄVLEBORGS LÄN</t>
        </is>
      </c>
      <c r="G233" t="inlineStr">
        <is>
          <t>SÖDERHAMN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46302</v>
      </c>
      <c r="F234" t="inlineStr">
        <is>
          <t>GÄVLEBORGS LÄN</t>
        </is>
      </c>
      <c r="G234" t="inlineStr">
        <is>
          <t>SÖDERHAMN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46302</v>
      </c>
      <c r="F235" t="inlineStr">
        <is>
          <t>GÄVLEBORGS LÄN</t>
        </is>
      </c>
      <c r="G235" t="inlineStr">
        <is>
          <t>SÖDERHAMN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41221-2022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44826</v>
      </c>
      <c r="E236" s="1" t="n">
        <v>46302</v>
      </c>
      <c r="F236" t="inlineStr">
        <is>
          <t>GÄVLEBORGS LÄN</t>
        </is>
      </c>
      <c r="G236" t="inlineStr">
        <is>
          <t>SÖDERHAMN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46302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46302</v>
      </c>
      <c r="F238" t="inlineStr">
        <is>
          <t>GÄVLEBORGS LÄN</t>
        </is>
      </c>
      <c r="G238" t="inlineStr">
        <is>
          <t>SÖDERHAMN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46302</v>
      </c>
      <c r="F239" t="inlineStr">
        <is>
          <t>GÄVLEBORGS LÄN</t>
        </is>
      </c>
      <c r="G239" t="inlineStr">
        <is>
          <t>SÖDERHAMN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46302</v>
      </c>
      <c r="F240" t="inlineStr">
        <is>
          <t>GÄVLEBORGS LÄN</t>
        </is>
      </c>
      <c r="G240" t="inlineStr">
        <is>
          <t>SÖDERHAMN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46302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46302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46302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46112</v>
      </c>
      <c r="E244" s="1" t="n">
        <v>46302</v>
      </c>
      <c r="F244" t="inlineStr">
        <is>
          <t>GÄVLEBORGS LÄN</t>
        </is>
      </c>
      <c r="G244" t="inlineStr">
        <is>
          <t>SÖDERHAMN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46302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45863</v>
      </c>
      <c r="E246" s="1" t="n">
        <v>46302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46302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36186-2025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46302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46302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46302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46302</v>
      </c>
      <c r="F251" t="inlineStr">
        <is>
          <t>GÄVLEBORGS LÄN</t>
        </is>
      </c>
      <c r="G251" t="inlineStr">
        <is>
          <t>SÖDERHAMN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46302</v>
      </c>
      <c r="F252" t="inlineStr">
        <is>
          <t>GÄVLEBORGS LÄN</t>
        </is>
      </c>
      <c r="G252" t="inlineStr">
        <is>
          <t>SÖDERHAMN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46117</v>
      </c>
      <c r="E253" s="1" t="n">
        <v>46302</v>
      </c>
      <c r="F253" t="inlineStr">
        <is>
          <t>GÄVLEBORGS LÄN</t>
        </is>
      </c>
      <c r="G253" t="inlineStr">
        <is>
          <t>SÖDERHAMN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46117</v>
      </c>
      <c r="E254" s="1" t="n">
        <v>46302</v>
      </c>
      <c r="F254" t="inlineStr">
        <is>
          <t>GÄVLEBORGS LÄN</t>
        </is>
      </c>
      <c r="G254" t="inlineStr">
        <is>
          <t>SÖDERHAMN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46117</v>
      </c>
      <c r="E255" s="1" t="n">
        <v>46302</v>
      </c>
      <c r="F255" t="inlineStr">
        <is>
          <t>GÄVLEBORGS LÄN</t>
        </is>
      </c>
      <c r="G255" t="inlineStr">
        <is>
          <t>SÖDERHAMN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46117</v>
      </c>
      <c r="E256" s="1" t="n">
        <v>46302</v>
      </c>
      <c r="F256" t="inlineStr">
        <is>
          <t>GÄVLEBORGS LÄN</t>
        </is>
      </c>
      <c r="G256" t="inlineStr">
        <is>
          <t>SÖDERHAMN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46302</v>
      </c>
      <c r="F257" t="inlineStr">
        <is>
          <t>GÄVLEBORGS LÄN</t>
        </is>
      </c>
      <c r="G257" t="inlineStr">
        <is>
          <t>SÖDERHAMN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46302</v>
      </c>
      <c r="F258" t="inlineStr">
        <is>
          <t>GÄVLEBORGS LÄN</t>
        </is>
      </c>
      <c r="G258" t="inlineStr">
        <is>
          <t>SÖDERHAMN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46302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46302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46302</v>
      </c>
      <c r="F261" t="inlineStr">
        <is>
          <t>GÄVLEBORGS LÄN</t>
        </is>
      </c>
      <c r="G261" t="inlineStr">
        <is>
          <t>SÖDERHAMN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46302</v>
      </c>
      <c r="F262" t="inlineStr">
        <is>
          <t>GÄVLEBORGS LÄN</t>
        </is>
      </c>
      <c r="G262" t="inlineStr">
        <is>
          <t>SÖDERHAMN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46302</v>
      </c>
      <c r="F263" t="inlineStr">
        <is>
          <t>GÄVLEBORGS LÄN</t>
        </is>
      </c>
      <c r="G263" t="inlineStr">
        <is>
          <t>SÖDERHAMN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44757</v>
      </c>
      <c r="E264" s="1" t="n">
        <v>46302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45879</v>
      </c>
      <c r="E265" s="1" t="n">
        <v>46302</v>
      </c>
      <c r="F265" t="inlineStr">
        <is>
          <t>GÄVLEBORGS LÄN</t>
        </is>
      </c>
      <c r="G265" t="inlineStr">
        <is>
          <t>SÖDERHAMN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45879</v>
      </c>
      <c r="E266" s="1" t="n">
        <v>46302</v>
      </c>
      <c r="F266" t="inlineStr">
        <is>
          <t>GÄVLEBORGS LÄN</t>
        </is>
      </c>
      <c r="G266" t="inlineStr">
        <is>
          <t>SÖDERHAMN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46302</v>
      </c>
      <c r="F267" t="inlineStr">
        <is>
          <t>GÄVLEBORGS LÄN</t>
        </is>
      </c>
      <c r="G267" t="inlineStr">
        <is>
          <t>SÖDERHAMN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46302</v>
      </c>
      <c r="F268" t="inlineStr">
        <is>
          <t>GÄVLEBORGS LÄN</t>
        </is>
      </c>
      <c r="G268" t="inlineStr">
        <is>
          <t>SÖDERHAMN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46302</v>
      </c>
      <c r="F269" t="inlineStr">
        <is>
          <t>GÄVLEBORGS LÄN</t>
        </is>
      </c>
      <c r="G269" t="inlineStr">
        <is>
          <t>SÖDERHAMN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46302</v>
      </c>
      <c r="F270" t="inlineStr">
        <is>
          <t>GÄVLEBORGS LÄN</t>
        </is>
      </c>
      <c r="G270" t="inlineStr">
        <is>
          <t>SÖDERHAMN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46302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46302</v>
      </c>
      <c r="F272" t="inlineStr">
        <is>
          <t>GÄVLEBORGS LÄN</t>
        </is>
      </c>
      <c r="G272" t="inlineStr">
        <is>
          <t>SÖDERHAMN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46302</v>
      </c>
      <c r="F273" t="inlineStr">
        <is>
          <t>GÄVLEBORGS LÄN</t>
        </is>
      </c>
      <c r="G273" t="inlineStr">
        <is>
          <t>SÖDERHAMN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46302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46302</v>
      </c>
      <c r="F275" t="inlineStr">
        <is>
          <t>GÄVLEBORGS LÄN</t>
        </is>
      </c>
      <c r="G275" t="inlineStr">
        <is>
          <t>SÖDERHAMN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46302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46302</v>
      </c>
      <c r="F277" t="inlineStr">
        <is>
          <t>GÄVLEBORGS LÄN</t>
        </is>
      </c>
      <c r="G277" t="inlineStr">
        <is>
          <t>SÖDERHAMN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46302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46302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46302</v>
      </c>
      <c r="F280" t="inlineStr">
        <is>
          <t>GÄVLEBORGS LÄN</t>
        </is>
      </c>
      <c r="G280" t="inlineStr">
        <is>
          <t>SÖDERHAMN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46302</v>
      </c>
      <c r="F281" t="inlineStr">
        <is>
          <t>GÄVLEBORGS LÄN</t>
        </is>
      </c>
      <c r="G281" t="inlineStr">
        <is>
          <t>SÖDERHAMN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46302</v>
      </c>
      <c r="F282" t="inlineStr">
        <is>
          <t>GÄVLEBORGS LÄN</t>
        </is>
      </c>
      <c r="G282" t="inlineStr">
        <is>
          <t>SÖDERHAMN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6792-2024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45342</v>
      </c>
      <c r="E283" s="1" t="n">
        <v>46302</v>
      </c>
      <c r="F283" t="inlineStr">
        <is>
          <t>GÄVLEBORGS LÄN</t>
        </is>
      </c>
      <c r="G283" t="inlineStr">
        <is>
          <t>SÖDERHAMN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46302</v>
      </c>
      <c r="F284" t="inlineStr">
        <is>
          <t>GÄVLEBORGS LÄN</t>
        </is>
      </c>
      <c r="G284" t="inlineStr">
        <is>
          <t>SÖDERHAMN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48102-2022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44856</v>
      </c>
      <c r="E285" s="1" t="n">
        <v>46302</v>
      </c>
      <c r="F285" t="inlineStr">
        <is>
          <t>GÄVLEBORGS LÄN</t>
        </is>
      </c>
      <c r="G285" t="inlineStr">
        <is>
          <t>SÖDERHAMN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46302</v>
      </c>
      <c r="F286" t="inlineStr">
        <is>
          <t>GÄVLEBORGS LÄN</t>
        </is>
      </c>
      <c r="G286" t="inlineStr">
        <is>
          <t>SÖDERHAMN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46302</v>
      </c>
      <c r="F287" t="inlineStr">
        <is>
          <t>GÄVLEBORGS LÄN</t>
        </is>
      </c>
      <c r="G287" t="inlineStr">
        <is>
          <t>SÖDERHAMN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55711-2025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45972</v>
      </c>
      <c r="E288" s="1" t="n">
        <v>46302</v>
      </c>
      <c r="F288" t="inlineStr">
        <is>
          <t>GÄVLEBORGS LÄN</t>
        </is>
      </c>
      <c r="G288" t="inlineStr">
        <is>
          <t>SÖDERHAMN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55730-2025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45972</v>
      </c>
      <c r="E289" s="1" t="n">
        <v>46302</v>
      </c>
      <c r="F289" t="inlineStr">
        <is>
          <t>GÄVLEBORGS LÄN</t>
        </is>
      </c>
      <c r="G289" t="inlineStr">
        <is>
          <t>SÖDERHAMN</t>
        </is>
      </c>
      <c r="H289" t="inlineStr">
        <is>
          <t>Bergvik skog väst AB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45698</v>
      </c>
      <c r="E290" s="1" t="n">
        <v>46302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46302</v>
      </c>
      <c r="F291" t="inlineStr">
        <is>
          <t>GÄVLEBORGS LÄN</t>
        </is>
      </c>
      <c r="G291" t="inlineStr">
        <is>
          <t>SÖDERHAMN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46302</v>
      </c>
      <c r="F292" t="inlineStr">
        <is>
          <t>GÄVLEBORGS LÄN</t>
        </is>
      </c>
      <c r="G292" t="inlineStr">
        <is>
          <t>SÖDERHAMN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46302</v>
      </c>
      <c r="F293" t="inlineStr">
        <is>
          <t>GÄVLEBORGS LÄN</t>
        </is>
      </c>
      <c r="G293" t="inlineStr">
        <is>
          <t>SÖDERHAMN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46302</v>
      </c>
      <c r="F294" t="inlineStr">
        <is>
          <t>GÄVLEBORGS LÄN</t>
        </is>
      </c>
      <c r="G294" t="inlineStr">
        <is>
          <t>SÖDERHAMN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46302</v>
      </c>
      <c r="F295" t="inlineStr">
        <is>
          <t>GÄVLEBORGS LÄN</t>
        </is>
      </c>
      <c r="G295" t="inlineStr">
        <is>
          <t>SÖDERHAMN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24933-2024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45461</v>
      </c>
      <c r="E296" s="1" t="n">
        <v>46302</v>
      </c>
      <c r="F296" t="inlineStr">
        <is>
          <t>GÄVLEBORGS LÄN</t>
        </is>
      </c>
      <c r="G296" t="inlineStr">
        <is>
          <t>SÖDERHAMN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46302</v>
      </c>
      <c r="F297" t="inlineStr">
        <is>
          <t>GÄVLEBORGS LÄN</t>
        </is>
      </c>
      <c r="G297" t="inlineStr">
        <is>
          <t>SÖDERHAMN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46302</v>
      </c>
      <c r="F298" t="inlineStr">
        <is>
          <t>GÄVLEBORGS LÄN</t>
        </is>
      </c>
      <c r="G298" t="inlineStr">
        <is>
          <t>SÖDERHAMN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46302</v>
      </c>
      <c r="F299" t="inlineStr">
        <is>
          <t>GÄVLEBORGS LÄN</t>
        </is>
      </c>
      <c r="G299" t="inlineStr">
        <is>
          <t>SÖDERHAMN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46302</v>
      </c>
      <c r="F300" t="inlineStr">
        <is>
          <t>GÄVLEBORGS LÄN</t>
        </is>
      </c>
      <c r="G300" t="inlineStr">
        <is>
          <t>SÖDERHAMN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46302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46302</v>
      </c>
      <c r="F302" t="inlineStr">
        <is>
          <t>GÄVLEBORGS LÄN</t>
        </is>
      </c>
      <c r="G302" t="inlineStr">
        <is>
          <t>SÖDERHAMN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46302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53918-2025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46302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46302</v>
      </c>
      <c r="F305" t="inlineStr">
        <is>
          <t>GÄVLEBORGS LÄN</t>
        </is>
      </c>
      <c r="G305" t="inlineStr">
        <is>
          <t>SÖDERHAMN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46302</v>
      </c>
      <c r="F306" t="inlineStr">
        <is>
          <t>GÄVLEBORGS LÄN</t>
        </is>
      </c>
      <c r="G306" t="inlineStr">
        <is>
          <t>SÖDERHAMN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46302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46302</v>
      </c>
      <c r="F308" t="inlineStr">
        <is>
          <t>GÄVLEBORGS LÄN</t>
        </is>
      </c>
      <c r="G308" t="inlineStr">
        <is>
          <t>SÖDERHAMN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46302</v>
      </c>
      <c r="F309" t="inlineStr">
        <is>
          <t>GÄVLEBORGS LÄN</t>
        </is>
      </c>
      <c r="G309" t="inlineStr">
        <is>
          <t>SÖDERHAMN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45632</v>
      </c>
      <c r="E310" s="1" t="n">
        <v>46302</v>
      </c>
      <c r="F310" t="inlineStr">
        <is>
          <t>GÄVLEBORGS LÄN</t>
        </is>
      </c>
      <c r="G310" t="inlineStr">
        <is>
          <t>SÖDERHAMN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45632</v>
      </c>
      <c r="E311" s="1" t="n">
        <v>46302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45632</v>
      </c>
      <c r="E312" s="1" t="n">
        <v>46302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45296</v>
      </c>
      <c r="E313" s="1" t="n">
        <v>46302</v>
      </c>
      <c r="F313" t="inlineStr">
        <is>
          <t>GÄVLEBORGS LÄN</t>
        </is>
      </c>
      <c r="G313" t="inlineStr">
        <is>
          <t>SÖDERHAMN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46302</v>
      </c>
      <c r="F314" t="inlineStr">
        <is>
          <t>GÄVLEBORGS LÄN</t>
        </is>
      </c>
      <c r="G314" t="inlineStr">
        <is>
          <t>SÖDERHAMN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46302</v>
      </c>
      <c r="F315" t="inlineStr">
        <is>
          <t>GÄVLEBORGS LÄN</t>
        </is>
      </c>
      <c r="G315" t="inlineStr">
        <is>
          <t>SÖDERHAMN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45982</v>
      </c>
      <c r="E316" s="1" t="n">
        <v>46302</v>
      </c>
      <c r="F316" t="inlineStr">
        <is>
          <t>GÄVLEBORGS LÄN</t>
        </is>
      </c>
      <c r="G316" t="inlineStr">
        <is>
          <t>SÖDERHAMN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46302</v>
      </c>
      <c r="F317" t="inlineStr">
        <is>
          <t>GÄVLEBORGS LÄN</t>
        </is>
      </c>
      <c r="G317" t="inlineStr">
        <is>
          <t>SÖDERHAMN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46302</v>
      </c>
      <c r="F318" t="inlineStr">
        <is>
          <t>GÄVLEBORGS LÄN</t>
        </is>
      </c>
      <c r="G318" t="inlineStr">
        <is>
          <t>SÖDERHAMN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46302</v>
      </c>
      <c r="F319" t="inlineStr">
        <is>
          <t>GÄVLEBORGS LÄN</t>
        </is>
      </c>
      <c r="G319" t="inlineStr">
        <is>
          <t>SÖDERHAMN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46302</v>
      </c>
      <c r="F320" t="inlineStr">
        <is>
          <t>GÄVLEBORGS LÄN</t>
        </is>
      </c>
      <c r="G320" t="inlineStr">
        <is>
          <t>SÖDERHAMN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46302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46302</v>
      </c>
      <c r="F322" t="inlineStr">
        <is>
          <t>GÄVLEBORGS LÄN</t>
        </is>
      </c>
      <c r="G322" t="inlineStr">
        <is>
          <t>SÖDERHAMN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46302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46036</v>
      </c>
      <c r="E324" s="1" t="n">
        <v>46302</v>
      </c>
      <c r="F324" t="inlineStr">
        <is>
          <t>GÄVLEBORGS LÄN</t>
        </is>
      </c>
      <c r="G324" t="inlineStr">
        <is>
          <t>SÖDERHAMN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46302</v>
      </c>
      <c r="F325" t="inlineStr">
        <is>
          <t>GÄVLEBORGS LÄN</t>
        </is>
      </c>
      <c r="G325" t="inlineStr">
        <is>
          <t>SÖDERHAMN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46302</v>
      </c>
      <c r="F326" t="inlineStr">
        <is>
          <t>GÄVLEBORGS LÄN</t>
        </is>
      </c>
      <c r="G326" t="inlineStr">
        <is>
          <t>SÖDERHAMN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46302</v>
      </c>
      <c r="F327" t="inlineStr">
        <is>
          <t>GÄVLEBORGS LÄN</t>
        </is>
      </c>
      <c r="G327" t="inlineStr">
        <is>
          <t>SÖDERHAMN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46302</v>
      </c>
      <c r="F328" t="inlineStr">
        <is>
          <t>GÄVLEBORGS LÄN</t>
        </is>
      </c>
      <c r="G328" t="inlineStr">
        <is>
          <t>SÖDERHAMN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46302</v>
      </c>
      <c r="F329" t="inlineStr">
        <is>
          <t>GÄVLEBORGS LÄN</t>
        </is>
      </c>
      <c r="G329" t="inlineStr">
        <is>
          <t>SÖDERHAMN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46302</v>
      </c>
      <c r="F330" t="inlineStr">
        <is>
          <t>GÄVLEBORGS LÄN</t>
        </is>
      </c>
      <c r="G330" t="inlineStr">
        <is>
          <t>SÖDERHAMN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46302</v>
      </c>
      <c r="F331" t="inlineStr">
        <is>
          <t>GÄVLEBORGS LÄN</t>
        </is>
      </c>
      <c r="G331" t="inlineStr">
        <is>
          <t>SÖDERHAMN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46302</v>
      </c>
      <c r="F332" t="inlineStr">
        <is>
          <t>GÄVLEBORGS LÄN</t>
        </is>
      </c>
      <c r="G332" t="inlineStr">
        <is>
          <t>SÖDERHAMN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58281-2024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46302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46302</v>
      </c>
      <c r="F334" t="inlineStr">
        <is>
          <t>GÄVLEBORGS LÄN</t>
        </is>
      </c>
      <c r="G334" t="inlineStr">
        <is>
          <t>SÖDERHAMN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45985</v>
      </c>
      <c r="E335" s="1" t="n">
        <v>46302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11823-2026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46302</v>
      </c>
      <c r="F336" t="inlineStr">
        <is>
          <t>GÄVLEBORGS LÄN</t>
        </is>
      </c>
      <c r="G336" t="inlineStr">
        <is>
          <t>SÖDERHAMN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46302</v>
      </c>
      <c r="F337" t="inlineStr">
        <is>
          <t>GÄVLEBORGS LÄN</t>
        </is>
      </c>
      <c r="G337" t="inlineStr">
        <is>
          <t>SÖDERHAMN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46302</v>
      </c>
      <c r="F338" t="inlineStr">
        <is>
          <t>GÄVLEBORGS LÄN</t>
        </is>
      </c>
      <c r="G338" t="inlineStr">
        <is>
          <t>SÖDERHAMN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46302</v>
      </c>
      <c r="F339" t="inlineStr">
        <is>
          <t>GÄVLEBORGS LÄN</t>
        </is>
      </c>
      <c r="G339" t="inlineStr">
        <is>
          <t>SÖDERHAMN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46302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46302</v>
      </c>
      <c r="F341" t="inlineStr">
        <is>
          <t>GÄVLEBORGS LÄN</t>
        </is>
      </c>
      <c r="G341" t="inlineStr">
        <is>
          <t>SÖDERHAMN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46302</v>
      </c>
      <c r="F342" t="inlineStr">
        <is>
          <t>GÄVLEBORGS LÄN</t>
        </is>
      </c>
      <c r="G342" t="inlineStr">
        <is>
          <t>SÖDERHAMN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61416-2025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46001</v>
      </c>
      <c r="E343" s="1" t="n">
        <v>46302</v>
      </c>
      <c r="F343" t="inlineStr">
        <is>
          <t>GÄVLEBORGS LÄN</t>
        </is>
      </c>
      <c r="G343" t="inlineStr">
        <is>
          <t>SÖDERHAMN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46302</v>
      </c>
      <c r="F344" t="inlineStr">
        <is>
          <t>GÄVLEBORGS LÄN</t>
        </is>
      </c>
      <c r="G344" t="inlineStr">
        <is>
          <t>SÖDERHAMN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46302</v>
      </c>
      <c r="F345" t="inlineStr">
        <is>
          <t>GÄVLEBORGS LÄN</t>
        </is>
      </c>
      <c r="G345" t="inlineStr">
        <is>
          <t>SÖDERHAMN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46302</v>
      </c>
      <c r="F346" t="inlineStr">
        <is>
          <t>GÄVLEBORGS LÄN</t>
        </is>
      </c>
      <c r="G346" t="inlineStr">
        <is>
          <t>SÖDERHAMN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46302</v>
      </c>
      <c r="F347" t="inlineStr">
        <is>
          <t>GÄVLEBORGS LÄN</t>
        </is>
      </c>
      <c r="G347" t="inlineStr">
        <is>
          <t>SÖDERHAMN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46302</v>
      </c>
      <c r="F348" t="inlineStr">
        <is>
          <t>GÄVLEBORGS LÄN</t>
        </is>
      </c>
      <c r="G348" t="inlineStr">
        <is>
          <t>SÖDERHAMN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46097</v>
      </c>
      <c r="E349" s="1" t="n">
        <v>46302</v>
      </c>
      <c r="F349" t="inlineStr">
        <is>
          <t>GÄVLEBORGS LÄN</t>
        </is>
      </c>
      <c r="G349" t="inlineStr">
        <is>
          <t>SÖDERHAMN</t>
        </is>
      </c>
      <c r="I349" t="n">
        <v>14.2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46302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46008</v>
      </c>
      <c r="E351" s="1" t="n">
        <v>46302</v>
      </c>
      <c r="F351" t="inlineStr">
        <is>
          <t>GÄVLEBORGS LÄN</t>
        </is>
      </c>
      <c r="G351" t="inlineStr">
        <is>
          <t>SÖDERHAMN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46302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46302</v>
      </c>
      <c r="F353" t="inlineStr">
        <is>
          <t>GÄVLEBORGS LÄN</t>
        </is>
      </c>
      <c r="G353" t="inlineStr">
        <is>
          <t>SÖDERHAMN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46302</v>
      </c>
      <c r="F354" t="inlineStr">
        <is>
          <t>GÄVLEBORGS LÄN</t>
        </is>
      </c>
      <c r="G354" t="inlineStr">
        <is>
          <t>SÖDERHAMN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46302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46026</v>
      </c>
      <c r="E356" s="1" t="n">
        <v>46302</v>
      </c>
      <c r="F356" t="inlineStr">
        <is>
          <t>GÄVLEBORGS LÄN</t>
        </is>
      </c>
      <c r="G356" t="inlineStr">
        <is>
          <t>SÖDERHAMN</t>
        </is>
      </c>
      <c r="I356" t="n">
        <v>12.9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45757</v>
      </c>
      <c r="E357" s="1" t="n">
        <v>46302</v>
      </c>
      <c r="F357" t="inlineStr">
        <is>
          <t>GÄVLEBORGS LÄN</t>
        </is>
      </c>
      <c r="G357" t="inlineStr">
        <is>
          <t>SÖDERHAMN</t>
        </is>
      </c>
      <c r="H357" t="inlineStr">
        <is>
          <t>Kommuner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46302</v>
      </c>
      <c r="F358" t="inlineStr">
        <is>
          <t>GÄVLEBORGS LÄN</t>
        </is>
      </c>
      <c r="G358" t="inlineStr">
        <is>
          <t>SÖDERHAMN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46302</v>
      </c>
      <c r="F359" t="inlineStr">
        <is>
          <t>GÄVLEBORGS LÄN</t>
        </is>
      </c>
      <c r="G359" t="inlineStr">
        <is>
          <t>SÖDERHAMN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46302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55765-2025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45972</v>
      </c>
      <c r="E361" s="1" t="n">
        <v>46302</v>
      </c>
      <c r="F361" t="inlineStr">
        <is>
          <t>GÄVLEBORGS LÄN</t>
        </is>
      </c>
      <c r="G361" t="inlineStr">
        <is>
          <t>SÖDERHAMN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46302</v>
      </c>
      <c r="F362" t="inlineStr">
        <is>
          <t>GÄVLEBORGS LÄN</t>
        </is>
      </c>
      <c r="G362" t="inlineStr">
        <is>
          <t>SÖDERHAMN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39207-2024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46302</v>
      </c>
      <c r="F363" t="inlineStr">
        <is>
          <t>GÄVLEBORGS LÄN</t>
        </is>
      </c>
      <c r="G363" t="inlineStr">
        <is>
          <t>SÖDERHAMN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46147</v>
      </c>
      <c r="E364" s="1" t="n">
        <v>46302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46302</v>
      </c>
      <c r="F365" t="inlineStr">
        <is>
          <t>GÄVLEBORGS LÄN</t>
        </is>
      </c>
      <c r="G365" t="inlineStr">
        <is>
          <t>SÖDERHAMN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46302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46149</v>
      </c>
      <c r="E367" s="1" t="n">
        <v>46302</v>
      </c>
      <c r="F367" t="inlineStr">
        <is>
          <t>GÄVLEBORGS LÄN</t>
        </is>
      </c>
      <c r="G367" t="inlineStr">
        <is>
          <t>SÖDERHAMN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46302</v>
      </c>
      <c r="F368" t="inlineStr">
        <is>
          <t>GÄVLEBORGS LÄN</t>
        </is>
      </c>
      <c r="G368" t="inlineStr">
        <is>
          <t>SÖDERHAMN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46302</v>
      </c>
      <c r="F369" t="inlineStr">
        <is>
          <t>GÄVLEBORGS LÄN</t>
        </is>
      </c>
      <c r="G369" t="inlineStr">
        <is>
          <t>SÖDERHAMN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46302</v>
      </c>
      <c r="F370" t="inlineStr">
        <is>
          <t>GÄVLEBORGS LÄN</t>
        </is>
      </c>
      <c r="G370" t="inlineStr">
        <is>
          <t>SÖDERHAMN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46302</v>
      </c>
      <c r="F371" t="inlineStr">
        <is>
          <t>GÄVLEBORGS LÄN</t>
        </is>
      </c>
      <c r="G371" t="inlineStr">
        <is>
          <t>SÖDERHAMN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46302</v>
      </c>
      <c r="F372" t="inlineStr">
        <is>
          <t>GÄVLEBORGS LÄN</t>
        </is>
      </c>
      <c r="G372" t="inlineStr">
        <is>
          <t>SÖDERHAMN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46150</v>
      </c>
      <c r="E373" s="1" t="n">
        <v>46302</v>
      </c>
      <c r="F373" t="inlineStr">
        <is>
          <t>GÄVLEBORGS LÄN</t>
        </is>
      </c>
      <c r="G373" t="inlineStr">
        <is>
          <t>SÖDERHAMN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46302</v>
      </c>
      <c r="F374" t="inlineStr">
        <is>
          <t>GÄVLEBORGS LÄN</t>
        </is>
      </c>
      <c r="G374" t="inlineStr">
        <is>
          <t>SÖDERHAMN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46302</v>
      </c>
      <c r="F375" t="inlineStr">
        <is>
          <t>GÄVLEBORGS LÄN</t>
        </is>
      </c>
      <c r="G375" t="inlineStr">
        <is>
          <t>SÖDERHAMN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46302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46157</v>
      </c>
      <c r="E377" s="1" t="n">
        <v>46302</v>
      </c>
      <c r="F377" t="inlineStr">
        <is>
          <t>GÄVLEBORGS LÄN</t>
        </is>
      </c>
      <c r="G377" t="inlineStr">
        <is>
          <t>SÖDERHAMN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46157</v>
      </c>
      <c r="E378" s="1" t="n">
        <v>46302</v>
      </c>
      <c r="F378" t="inlineStr">
        <is>
          <t>GÄVLEBORGS LÄN</t>
        </is>
      </c>
      <c r="G378" t="inlineStr">
        <is>
          <t>SÖDERHAMN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46157</v>
      </c>
      <c r="E379" s="1" t="n">
        <v>46302</v>
      </c>
      <c r="F379" t="inlineStr">
        <is>
          <t>GÄVLEBORGS LÄN</t>
        </is>
      </c>
      <c r="G379" t="inlineStr">
        <is>
          <t>SÖDERHAMN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46157</v>
      </c>
      <c r="E380" s="1" t="n">
        <v>46302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46157</v>
      </c>
      <c r="E381" s="1" t="n">
        <v>46302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22726-2026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46157</v>
      </c>
      <c r="E382" s="1" t="n">
        <v>46302</v>
      </c>
      <c r="F382" t="inlineStr">
        <is>
          <t>GÄVLEBORGS LÄN</t>
        </is>
      </c>
      <c r="G382" t="inlineStr">
        <is>
          <t>SÖDERHAMN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46302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46157</v>
      </c>
      <c r="E384" s="1" t="n">
        <v>46302</v>
      </c>
      <c r="F384" t="inlineStr">
        <is>
          <t>GÄVLEBORGS LÄN</t>
        </is>
      </c>
      <c r="G384" t="inlineStr">
        <is>
          <t>SÖDERHAMN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46302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46302</v>
      </c>
      <c r="F386" t="inlineStr">
        <is>
          <t>GÄVLEBORGS LÄN</t>
        </is>
      </c>
      <c r="G386" t="inlineStr">
        <is>
          <t>SÖDERHAMN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46302</v>
      </c>
      <c r="F387" t="inlineStr">
        <is>
          <t>GÄVLEBORGS LÄN</t>
        </is>
      </c>
      <c r="G387" t="inlineStr">
        <is>
          <t>SÖDERHAMN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46302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46302</v>
      </c>
      <c r="F389" t="inlineStr">
        <is>
          <t>GÄVLEBORGS LÄN</t>
        </is>
      </c>
      <c r="G389" t="inlineStr">
        <is>
          <t>SÖDERHAMN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46302</v>
      </c>
      <c r="F390" t="inlineStr">
        <is>
          <t>GÄVLEBORGS LÄN</t>
        </is>
      </c>
      <c r="G390" t="inlineStr">
        <is>
          <t>SÖDERHAMN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46165</v>
      </c>
      <c r="E391" s="1" t="n">
        <v>46302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46302</v>
      </c>
      <c r="F392" t="inlineStr">
        <is>
          <t>GÄVLEBORGS LÄN</t>
        </is>
      </c>
      <c r="G392" t="inlineStr">
        <is>
          <t>SÖDERHAMN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46302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46302</v>
      </c>
      <c r="F394" t="inlineStr">
        <is>
          <t>GÄVLEBORGS LÄN</t>
        </is>
      </c>
      <c r="G394" t="inlineStr">
        <is>
          <t>SÖDERHAMN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46302</v>
      </c>
      <c r="F395" t="inlineStr">
        <is>
          <t>GÄVLEBORGS LÄN</t>
        </is>
      </c>
      <c r="G395" t="inlineStr">
        <is>
          <t>SÖDERHAMN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46302</v>
      </c>
      <c r="F396" t="inlineStr">
        <is>
          <t>GÄVLEBORGS LÄN</t>
        </is>
      </c>
      <c r="G396" t="inlineStr">
        <is>
          <t>SÖDERHAMN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15646-2022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44662</v>
      </c>
      <c r="E397" s="1" t="n">
        <v>46302</v>
      </c>
      <c r="F397" t="inlineStr">
        <is>
          <t>GÄVLEBORGS LÄN</t>
        </is>
      </c>
      <c r="G397" t="inlineStr">
        <is>
          <t>SÖDERHAMN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46302</v>
      </c>
      <c r="F398" t="inlineStr">
        <is>
          <t>GÄVLEBORGS LÄN</t>
        </is>
      </c>
      <c r="G398" t="inlineStr">
        <is>
          <t>SÖDERHAMN</t>
        </is>
      </c>
      <c r="I398" t="n">
        <v>11.2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45183</v>
      </c>
      <c r="E399" s="1" t="n">
        <v>46302</v>
      </c>
      <c r="F399" t="inlineStr">
        <is>
          <t>GÄVLEBORGS LÄN</t>
        </is>
      </c>
      <c r="G399" t="inlineStr">
        <is>
          <t>SÖDERHAMN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45342</v>
      </c>
      <c r="E400" s="1" t="n">
        <v>46302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46302</v>
      </c>
      <c r="F401" t="inlineStr">
        <is>
          <t>GÄVLEBORGS LÄN</t>
        </is>
      </c>
      <c r="G401" t="inlineStr">
        <is>
          <t>SÖDERHAMN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46302</v>
      </c>
      <c r="F402" t="inlineStr">
        <is>
          <t>GÄVLEBORGS LÄN</t>
        </is>
      </c>
      <c r="G402" t="inlineStr">
        <is>
          <t>SÖDERHAMN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46302</v>
      </c>
      <c r="F403" t="inlineStr">
        <is>
          <t>GÄVLEBORGS LÄN</t>
        </is>
      </c>
      <c r="G403" t="inlineStr">
        <is>
          <t>SÖDERHAMN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46302</v>
      </c>
      <c r="F404" t="inlineStr">
        <is>
          <t>GÄVLEBORGS LÄN</t>
        </is>
      </c>
      <c r="G404" t="inlineStr">
        <is>
          <t>SÖDERHAMN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46302</v>
      </c>
      <c r="F405" t="inlineStr">
        <is>
          <t>GÄVLEBORGS LÄN</t>
        </is>
      </c>
      <c r="G405" t="inlineStr">
        <is>
          <t>SÖDERHAMN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46302</v>
      </c>
      <c r="F406" t="inlineStr">
        <is>
          <t>GÄVLEBORGS LÄN</t>
        </is>
      </c>
      <c r="G406" t="inlineStr">
        <is>
          <t>SÖDERHAMN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46302</v>
      </c>
      <c r="F407" t="inlineStr">
        <is>
          <t>GÄVLEBORGS LÄN</t>
        </is>
      </c>
      <c r="G407" t="inlineStr">
        <is>
          <t>SÖDERHAMN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46302</v>
      </c>
      <c r="F408" t="inlineStr">
        <is>
          <t>GÄVLEBORGS LÄN</t>
        </is>
      </c>
      <c r="G408" t="inlineStr">
        <is>
          <t>SÖDERHAMN</t>
        </is>
      </c>
      <c r="I408" t="n">
        <v>20.9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46302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46302</v>
      </c>
      <c r="F410" t="inlineStr">
        <is>
          <t>GÄVLEBORGS LÄN</t>
        </is>
      </c>
      <c r="G410" t="inlineStr">
        <is>
          <t>SÖDERHAMN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61680-2023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46302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46302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49306-2023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46302</v>
      </c>
      <c r="F413" t="inlineStr">
        <is>
          <t>GÄVLEBORGS LÄN</t>
        </is>
      </c>
      <c r="G413" t="inlineStr">
        <is>
          <t>SÖDERHAMN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46302</v>
      </c>
      <c r="F414" t="inlineStr">
        <is>
          <t>GÄVLEBORGS LÄN</t>
        </is>
      </c>
      <c r="G414" t="inlineStr">
        <is>
          <t>SÖDERHAMN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45279</v>
      </c>
      <c r="E415" s="1" t="n">
        <v>46302</v>
      </c>
      <c r="F415" t="inlineStr">
        <is>
          <t>GÄVLEBORGS LÄN</t>
        </is>
      </c>
      <c r="G415" t="inlineStr">
        <is>
          <t>SÖDERHAMN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45580</v>
      </c>
      <c r="E416" s="1" t="n">
        <v>46302</v>
      </c>
      <c r="F416" t="inlineStr">
        <is>
          <t>GÄVLEBORGS LÄN</t>
        </is>
      </c>
      <c r="G416" t="inlineStr">
        <is>
          <t>SÖDERHAMN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45597</v>
      </c>
      <c r="E417" s="1" t="n">
        <v>46302</v>
      </c>
      <c r="F417" t="inlineStr">
        <is>
          <t>GÄVLEBORGS LÄN</t>
        </is>
      </c>
      <c r="G417" t="inlineStr">
        <is>
          <t>SÖDERHAMN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46302</v>
      </c>
      <c r="F418" t="inlineStr">
        <is>
          <t>GÄVLEBORGS LÄN</t>
        </is>
      </c>
      <c r="G418" t="inlineStr">
        <is>
          <t>SÖDERHAMN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46185</v>
      </c>
      <c r="E419" s="1" t="n">
        <v>46302</v>
      </c>
      <c r="F419" t="inlineStr">
        <is>
          <t>GÄVLEBORGS LÄN</t>
        </is>
      </c>
      <c r="G419" t="inlineStr">
        <is>
          <t>SÖDERHAMN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45040</v>
      </c>
      <c r="E420" s="1" t="n">
        <v>46302</v>
      </c>
      <c r="F420" t="inlineStr">
        <is>
          <t>GÄVLEBORGS LÄN</t>
        </is>
      </c>
      <c r="G420" t="inlineStr">
        <is>
          <t>SÖDERHAMN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45254</v>
      </c>
      <c r="E421" s="1" t="n">
        <v>46302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44837</v>
      </c>
      <c r="E422" s="1" t="n">
        <v>46302</v>
      </c>
      <c r="F422" t="inlineStr">
        <is>
          <t>GÄVLEBORGS LÄN</t>
        </is>
      </c>
      <c r="G422" t="inlineStr">
        <is>
          <t>SÖDERHAMN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45562</v>
      </c>
      <c r="E423" s="1" t="n">
        <v>46302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45393</v>
      </c>
      <c r="E424" s="1" t="n">
        <v>46302</v>
      </c>
      <c r="F424" t="inlineStr">
        <is>
          <t>GÄVLEBORGS LÄN</t>
        </is>
      </c>
      <c r="G424" t="inlineStr">
        <is>
          <t>SÖDERHAMN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46302</v>
      </c>
      <c r="F425" t="inlineStr">
        <is>
          <t>GÄVLEBORGS LÄN</t>
        </is>
      </c>
      <c r="G425" t="inlineStr">
        <is>
          <t>SÖDERHAMN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45093</v>
      </c>
      <c r="E426" s="1" t="n">
        <v>46302</v>
      </c>
      <c r="F426" t="inlineStr">
        <is>
          <t>GÄVLEBORGS LÄN</t>
        </is>
      </c>
      <c r="G426" t="inlineStr">
        <is>
          <t>SÖDERHAMN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45677</v>
      </c>
      <c r="E427" s="1" t="n">
        <v>46302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46302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45545</v>
      </c>
      <c r="E429" s="1" t="n">
        <v>46302</v>
      </c>
      <c r="F429" t="inlineStr">
        <is>
          <t>GÄVLEBORGS LÄN</t>
        </is>
      </c>
      <c r="G429" t="inlineStr">
        <is>
          <t>SÖDERHAMN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46302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46302</v>
      </c>
      <c r="F431" t="inlineStr">
        <is>
          <t>GÄVLEBORGS LÄN</t>
        </is>
      </c>
      <c r="G431" t="inlineStr">
        <is>
          <t>SÖDERHAMN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46302</v>
      </c>
      <c r="F432" t="inlineStr">
        <is>
          <t>GÄVLEBORGS LÄN</t>
        </is>
      </c>
      <c r="G432" t="inlineStr">
        <is>
          <t>SÖDERHAMN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45398</v>
      </c>
      <c r="E433" s="1" t="n">
        <v>46302</v>
      </c>
      <c r="F433" t="inlineStr">
        <is>
          <t>GÄVLEBORGS LÄN</t>
        </is>
      </c>
      <c r="G433" t="inlineStr">
        <is>
          <t>SÖDERHAMN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46302</v>
      </c>
      <c r="F434" t="inlineStr">
        <is>
          <t>GÄVLEBORGS LÄN</t>
        </is>
      </c>
      <c r="G434" t="inlineStr">
        <is>
          <t>SÖDERHAMN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45597</v>
      </c>
      <c r="E435" s="1" t="n">
        <v>46302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46302</v>
      </c>
      <c r="F436" t="inlineStr">
        <is>
          <t>GÄVLEBORGS LÄN</t>
        </is>
      </c>
      <c r="G436" t="inlineStr">
        <is>
          <t>SÖDERHAMN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46302</v>
      </c>
      <c r="F437" t="inlineStr">
        <is>
          <t>GÄVLEBORGS LÄN</t>
        </is>
      </c>
      <c r="G437" t="inlineStr">
        <is>
          <t>SÖDERHAMN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45761</v>
      </c>
      <c r="E438" s="1" t="n">
        <v>46302</v>
      </c>
      <c r="F438" t="inlineStr">
        <is>
          <t>GÄVLEBORGS LÄN</t>
        </is>
      </c>
      <c r="G438" t="inlineStr">
        <is>
          <t>SÖDERHAMN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45615</v>
      </c>
      <c r="E439" s="1" t="n">
        <v>46302</v>
      </c>
      <c r="F439" t="inlineStr">
        <is>
          <t>GÄVLEBORGS LÄN</t>
        </is>
      </c>
      <c r="G439" t="inlineStr">
        <is>
          <t>SÖDERHAMN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46302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45748</v>
      </c>
      <c r="E441" s="1" t="n">
        <v>46302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45670</v>
      </c>
      <c r="E442" s="1" t="n">
        <v>46302</v>
      </c>
      <c r="F442" t="inlineStr">
        <is>
          <t>GÄVLEBORGS LÄN</t>
        </is>
      </c>
      <c r="G442" t="inlineStr">
        <is>
          <t>SÖDERHAMN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34752-2024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45526</v>
      </c>
      <c r="E443" s="1" t="n">
        <v>46302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45597</v>
      </c>
      <c r="E444" s="1" t="n">
        <v>46302</v>
      </c>
      <c r="F444" t="inlineStr">
        <is>
          <t>GÄVLEBORGS LÄN</t>
        </is>
      </c>
      <c r="G444" t="inlineStr">
        <is>
          <t>SÖDERHAMN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44938</v>
      </c>
      <c r="E445" s="1" t="n">
        <v>46302</v>
      </c>
      <c r="F445" t="inlineStr">
        <is>
          <t>GÄVLEBORGS LÄN</t>
        </is>
      </c>
      <c r="G445" t="inlineStr">
        <is>
          <t>SÖDERHAMN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46302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45600</v>
      </c>
      <c r="E447" s="1" t="n">
        <v>46302</v>
      </c>
      <c r="F447" t="inlineStr">
        <is>
          <t>GÄVLEBORGS LÄN</t>
        </is>
      </c>
      <c r="G447" t="inlineStr">
        <is>
          <t>SÖDERHAMN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46207</v>
      </c>
      <c r="E448" s="1" t="n">
        <v>46302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45548</v>
      </c>
      <c r="E449" s="1" t="n">
        <v>46302</v>
      </c>
      <c r="F449" t="inlineStr">
        <is>
          <t>GÄVLEBORGS LÄN</t>
        </is>
      </c>
      <c r="G449" t="inlineStr">
        <is>
          <t>SÖDERHAMN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46302</v>
      </c>
      <c r="F450" t="inlineStr">
        <is>
          <t>GÄVLEBORGS LÄN</t>
        </is>
      </c>
      <c r="G450" t="inlineStr">
        <is>
          <t>SÖDERHAMN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40745-2023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45170</v>
      </c>
      <c r="E451" s="1" t="n">
        <v>46302</v>
      </c>
      <c r="F451" t="inlineStr">
        <is>
          <t>GÄVLEBORGS LÄN</t>
        </is>
      </c>
      <c r="G451" t="inlineStr">
        <is>
          <t>SÖDERHAMN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45394</v>
      </c>
      <c r="E452" s="1" t="n">
        <v>46302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4557-2024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45327</v>
      </c>
      <c r="E453" s="1" t="n">
        <v>46302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45750</v>
      </c>
      <c r="E454" s="1" t="n">
        <v>46302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46302</v>
      </c>
      <c r="F455" t="inlineStr">
        <is>
          <t>GÄVLEBORGS LÄN</t>
        </is>
      </c>
      <c r="G455" t="inlineStr">
        <is>
          <t>SÖDERHAMN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30871-2026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46302</v>
      </c>
      <c r="F456" t="inlineStr">
        <is>
          <t>GÄVLEBORGS LÄN</t>
        </is>
      </c>
      <c r="G456" t="inlineStr">
        <is>
          <t>SÖDERHAMN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46302</v>
      </c>
      <c r="F457" t="inlineStr">
        <is>
          <t>GÄVLEBORGS LÄN</t>
        </is>
      </c>
      <c r="G457" t="inlineStr">
        <is>
          <t>SÖDERHAMN</t>
        </is>
      </c>
      <c r="H457" t="inlineStr">
        <is>
          <t>Kyrkan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46302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Kyrkan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46211</v>
      </c>
      <c r="E459" s="1" t="n">
        <v>46302</v>
      </c>
      <c r="F459" t="inlineStr">
        <is>
          <t>GÄVLEBORGS LÄN</t>
        </is>
      </c>
      <c r="G459" t="inlineStr">
        <is>
          <t>SÖDERHAMN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46302</v>
      </c>
      <c r="F460" t="inlineStr">
        <is>
          <t>GÄVLEBORGS LÄN</t>
        </is>
      </c>
      <c r="G460" t="inlineStr">
        <is>
          <t>SÖDERHAMN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45461</v>
      </c>
      <c r="E461" s="1" t="n">
        <v>46302</v>
      </c>
      <c r="F461" t="inlineStr">
        <is>
          <t>GÄVLEBORGS LÄN</t>
        </is>
      </c>
      <c r="G461" t="inlineStr">
        <is>
          <t>SÖDERHAMN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45799</v>
      </c>
      <c r="E462" s="1" t="n">
        <v>46302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46302</v>
      </c>
      <c r="F463" t="inlineStr">
        <is>
          <t>GÄVLEBORGS LÄN</t>
        </is>
      </c>
      <c r="G463" t="inlineStr">
        <is>
          <t>SÖDERHAMN</t>
        </is>
      </c>
      <c r="H463" t="inlineStr">
        <is>
          <t>Övriga statliga verk och myndigheter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35167-2026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46260</v>
      </c>
      <c r="E464" s="1" t="n">
        <v>46302</v>
      </c>
      <c r="F464" t="inlineStr">
        <is>
          <t>GÄVLEBORGS LÄN</t>
        </is>
      </c>
      <c r="G464" t="inlineStr">
        <is>
          <t>SÖDERHAMN</t>
        </is>
      </c>
      <c r="H464" t="inlineStr">
        <is>
          <t>Övriga statliga verk och myndigheter</t>
        </is>
      </c>
      <c r="I464" t="n">
        <v>14.9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45527</v>
      </c>
      <c r="E465" s="1" t="n">
        <v>46302</v>
      </c>
      <c r="F465" t="inlineStr">
        <is>
          <t>GÄVLEBORGS LÄN</t>
        </is>
      </c>
      <c r="G465" t="inlineStr">
        <is>
          <t>SÖDERHAMN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46218</v>
      </c>
      <c r="E466" s="1" t="n">
        <v>46302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44651</v>
      </c>
      <c r="E467" s="1" t="n">
        <v>46302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46219</v>
      </c>
      <c r="E468" s="1" t="n">
        <v>46302</v>
      </c>
      <c r="F468" t="inlineStr">
        <is>
          <t>GÄVLEBORGS LÄN</t>
        </is>
      </c>
      <c r="G468" t="inlineStr">
        <is>
          <t>SÖDERHAMN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46302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63431-2021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44508</v>
      </c>
      <c r="E470" s="1" t="n">
        <v>46302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13805-2022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44649</v>
      </c>
      <c r="E471" s="1" t="n">
        <v>46302</v>
      </c>
      <c r="F471" t="inlineStr">
        <is>
          <t>GÄVLEBORGS LÄN</t>
        </is>
      </c>
      <c r="G471" t="inlineStr">
        <is>
          <t>SÖDERHAMN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46302</v>
      </c>
      <c r="F472" t="inlineStr">
        <is>
          <t>GÄVLEBORGS LÄN</t>
        </is>
      </c>
      <c r="G472" t="inlineStr">
        <is>
          <t>SÖDERHAMN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46219</v>
      </c>
      <c r="E473" s="1" t="n">
        <v>46302</v>
      </c>
      <c r="F473" t="inlineStr">
        <is>
          <t>GÄVLEBORGS LÄN</t>
        </is>
      </c>
      <c r="G473" t="inlineStr">
        <is>
          <t>SÖDERHAMN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45373</v>
      </c>
      <c r="E474" s="1" t="n">
        <v>46302</v>
      </c>
      <c r="F474" t="inlineStr">
        <is>
          <t>GÄVLEBORGS LÄN</t>
        </is>
      </c>
      <c r="G474" t="inlineStr">
        <is>
          <t>SÖDERHAMN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46302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56933-2024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45628</v>
      </c>
      <c r="E476" s="1" t="n">
        <v>46302</v>
      </c>
      <c r="F476" t="inlineStr">
        <is>
          <t>GÄVLEBORGS LÄN</t>
        </is>
      </c>
      <c r="G476" t="inlineStr">
        <is>
          <t>SÖDERHAMN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46302</v>
      </c>
      <c r="F477" t="inlineStr">
        <is>
          <t>GÄVLEBORGS LÄN</t>
        </is>
      </c>
      <c r="G477" t="inlineStr">
        <is>
          <t>SÖDERHAMN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46219</v>
      </c>
      <c r="E478" s="1" t="n">
        <v>46302</v>
      </c>
      <c r="F478" t="inlineStr">
        <is>
          <t>GÄVLEBORGS LÄN</t>
        </is>
      </c>
      <c r="G478" t="inlineStr">
        <is>
          <t>SÖDERHAMN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46302</v>
      </c>
      <c r="F479" t="inlineStr">
        <is>
          <t>GÄVLEBORGS LÄN</t>
        </is>
      </c>
      <c r="G479" t="inlineStr">
        <is>
          <t>SÖDERHAMN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55715-2024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45622</v>
      </c>
      <c r="E480" s="1" t="n">
        <v>46302</v>
      </c>
      <c r="F480" t="inlineStr">
        <is>
          <t>GÄVLEBORGS LÄN</t>
        </is>
      </c>
      <c r="G480" t="inlineStr">
        <is>
          <t>SÖDERHAMN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46302</v>
      </c>
      <c r="F481" t="inlineStr">
        <is>
          <t>GÄVLEBORGS LÄN</t>
        </is>
      </c>
      <c r="G481" t="inlineStr">
        <is>
          <t>SÖDERHAMN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46302</v>
      </c>
      <c r="F482" t="inlineStr">
        <is>
          <t>GÄVLEBORGS LÄN</t>
        </is>
      </c>
      <c r="G482" t="inlineStr">
        <is>
          <t>SÖDERHAMN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50842-2024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45602</v>
      </c>
      <c r="E483" s="1" t="n">
        <v>46302</v>
      </c>
      <c r="F483" t="inlineStr">
        <is>
          <t>GÄVLEBORGS LÄN</t>
        </is>
      </c>
      <c r="G483" t="inlineStr">
        <is>
          <t>SÖDERHAMN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46302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15499-2025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45747</v>
      </c>
      <c r="E485" s="1" t="n">
        <v>46302</v>
      </c>
      <c r="F485" t="inlineStr">
        <is>
          <t>GÄVLEBORGS LÄN</t>
        </is>
      </c>
      <c r="G485" t="inlineStr">
        <is>
          <t>SÖDERHAMN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46302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47288-2023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46302</v>
      </c>
      <c r="F487" t="inlineStr">
        <is>
          <t>GÄVLEBORGS LÄN</t>
        </is>
      </c>
      <c r="G487" t="inlineStr">
        <is>
          <t>SÖDERHAMN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51553-2024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46302</v>
      </c>
      <c r="F488" t="inlineStr">
        <is>
          <t>GÄVLEBORGS LÄN</t>
        </is>
      </c>
      <c r="G488" t="inlineStr">
        <is>
          <t>SÖDERHAMN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46302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46302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Kommuner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45467</v>
      </c>
      <c r="E491" s="1" t="n">
        <v>46302</v>
      </c>
      <c r="F491" t="inlineStr">
        <is>
          <t>GÄVLEBORGS LÄN</t>
        </is>
      </c>
      <c r="G491" t="inlineStr">
        <is>
          <t>SÖDERHAMN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16106-2023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45027</v>
      </c>
      <c r="E492" s="1" t="n">
        <v>46302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46268</v>
      </c>
      <c r="E493" s="1" t="n">
        <v>46302</v>
      </c>
      <c r="F493" t="inlineStr">
        <is>
          <t>GÄVLEBORGS LÄN</t>
        </is>
      </c>
      <c r="G493" t="inlineStr">
        <is>
          <t>SÖDERHAMN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44681-2024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45574</v>
      </c>
      <c r="E494" s="1" t="n">
        <v>46302</v>
      </c>
      <c r="F494" t="inlineStr">
        <is>
          <t>GÄVLEBORGS LÄN</t>
        </is>
      </c>
      <c r="G494" t="inlineStr">
        <is>
          <t>SÖDERHAMN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20286-2023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45056</v>
      </c>
      <c r="E495" s="1" t="n">
        <v>46302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55240-2024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45621</v>
      </c>
      <c r="E496" s="1" t="n">
        <v>46302</v>
      </c>
      <c r="F496" t="inlineStr">
        <is>
          <t>GÄVLEBORGS LÄN</t>
        </is>
      </c>
      <c r="G496" t="inlineStr">
        <is>
          <t>SÖDERHAMN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46302</v>
      </c>
      <c r="F497" t="inlineStr">
        <is>
          <t>GÄVLEBORGS LÄN</t>
        </is>
      </c>
      <c r="G497" t="inlineStr">
        <is>
          <t>SÖDERHAMN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44963</v>
      </c>
      <c r="E498" s="1" t="n">
        <v>46302</v>
      </c>
      <c r="F498" t="inlineStr">
        <is>
          <t>GÄVLEBORGS LÄN</t>
        </is>
      </c>
      <c r="G498" t="inlineStr">
        <is>
          <t>SÖDERHAMN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46272</v>
      </c>
      <c r="E499" s="1" t="n">
        <v>46302</v>
      </c>
      <c r="F499" t="inlineStr">
        <is>
          <t>GÄVLEBORGS LÄN</t>
        </is>
      </c>
      <c r="G499" t="inlineStr">
        <is>
          <t>SÖDERHAMN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45750</v>
      </c>
      <c r="E500" s="1" t="n">
        <v>46302</v>
      </c>
      <c r="F500" t="inlineStr">
        <is>
          <t>GÄVLEBORGS LÄN</t>
        </is>
      </c>
      <c r="G500" t="inlineStr">
        <is>
          <t>SÖDERHAMN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45750</v>
      </c>
      <c r="E501" s="1" t="n">
        <v>46302</v>
      </c>
      <c r="F501" t="inlineStr">
        <is>
          <t>GÄVLEBORGS LÄN</t>
        </is>
      </c>
      <c r="G501" t="inlineStr">
        <is>
          <t>SÖDERHAMN</t>
        </is>
      </c>
      <c r="H501" t="inlineStr">
        <is>
          <t>Kommuner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44957</v>
      </c>
      <c r="E502" s="1" t="n">
        <v>46302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46227</v>
      </c>
      <c r="E503" s="1" t="n">
        <v>46302</v>
      </c>
      <c r="F503" t="inlineStr">
        <is>
          <t>GÄVLEBORGS LÄN</t>
        </is>
      </c>
      <c r="G503" t="inlineStr">
        <is>
          <t>SÖDERHAMN</t>
        </is>
      </c>
      <c r="I503" t="n">
        <v>11.5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46302</v>
      </c>
      <c r="F504" t="inlineStr">
        <is>
          <t>GÄVLEBORGS LÄN</t>
        </is>
      </c>
      <c r="G504" t="inlineStr">
        <is>
          <t>SÖDERHAMN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46302</v>
      </c>
      <c r="F505" t="inlineStr">
        <is>
          <t>GÄVLEBORGS LÄN</t>
        </is>
      </c>
      <c r="G505" t="inlineStr">
        <is>
          <t>SÖDERHAMN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57753-2023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46302</v>
      </c>
      <c r="F506" t="inlineStr">
        <is>
          <t>GÄVLEBORGS LÄN</t>
        </is>
      </c>
      <c r="G506" t="inlineStr">
        <is>
          <t>SÖDERHAMN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72644-2021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44546</v>
      </c>
      <c r="E507" s="1" t="n">
        <v>46302</v>
      </c>
      <c r="F507" t="inlineStr">
        <is>
          <t>GÄVLEBORGS LÄN</t>
        </is>
      </c>
      <c r="G507" t="inlineStr">
        <is>
          <t>SÖDERHAMN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46302</v>
      </c>
      <c r="F508" t="inlineStr">
        <is>
          <t>GÄVLEBORGS LÄN</t>
        </is>
      </c>
      <c r="G508" t="inlineStr">
        <is>
          <t>SÖDERHAMN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58141-2024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46302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46302</v>
      </c>
      <c r="F510" t="inlineStr">
        <is>
          <t>GÄVLEBORGS LÄN</t>
        </is>
      </c>
      <c r="G510" t="inlineStr">
        <is>
          <t>SÖDERHAMN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46302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46302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31176-2023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46302</v>
      </c>
      <c r="F513" t="inlineStr">
        <is>
          <t>GÄVLEBORGS LÄN</t>
        </is>
      </c>
      <c r="G513" t="inlineStr">
        <is>
          <t>SÖDERHAMN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46302</v>
      </c>
      <c r="F514" t="inlineStr">
        <is>
          <t>GÄVLEBORGS LÄN</t>
        </is>
      </c>
      <c r="G514" t="inlineStr">
        <is>
          <t>SÖDERHAMN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46147</v>
      </c>
      <c r="E515" s="1" t="n">
        <v>46302</v>
      </c>
      <c r="F515" t="inlineStr">
        <is>
          <t>GÄVLEBORGS LÄN</t>
        </is>
      </c>
      <c r="G515" t="inlineStr">
        <is>
          <t>SÖDERHAMN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18466-2024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46302</v>
      </c>
      <c r="F516" t="inlineStr">
        <is>
          <t>GÄVLEBORGS LÄN</t>
        </is>
      </c>
      <c r="G516" t="inlineStr">
        <is>
          <t>SÖDERHAMN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47794-2024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45588</v>
      </c>
      <c r="E517" s="1" t="n">
        <v>46302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40811-2022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44824</v>
      </c>
      <c r="E518" s="1" t="n">
        <v>46302</v>
      </c>
      <c r="F518" t="inlineStr">
        <is>
          <t>GÄVLEBORGS LÄN</t>
        </is>
      </c>
      <c r="G518" t="inlineStr">
        <is>
          <t>SÖDERHAMN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42549-2024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45565</v>
      </c>
      <c r="E519" s="1" t="n">
        <v>46302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42902-2024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46302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7972-2025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45707</v>
      </c>
      <c r="E521" s="1" t="n">
        <v>46302</v>
      </c>
      <c r="F521" t="inlineStr">
        <is>
          <t>GÄVLEBORGS LÄN</t>
        </is>
      </c>
      <c r="G521" t="inlineStr">
        <is>
          <t>SÖDERHAMN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57814-2022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44897</v>
      </c>
      <c r="E522" s="1" t="n">
        <v>46302</v>
      </c>
      <c r="F522" t="inlineStr">
        <is>
          <t>GÄVLEBORGS LÄN</t>
        </is>
      </c>
      <c r="G522" t="inlineStr">
        <is>
          <t>SÖDERHAMN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44869</v>
      </c>
      <c r="E523" s="1" t="n">
        <v>46302</v>
      </c>
      <c r="F523" t="inlineStr">
        <is>
          <t>GÄVLEBORGS LÄN</t>
        </is>
      </c>
      <c r="G523" t="inlineStr">
        <is>
          <t>SÖDERHAMN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57500-2023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45246</v>
      </c>
      <c r="E524" s="1" t="n">
        <v>46302</v>
      </c>
      <c r="F524" t="inlineStr">
        <is>
          <t>GÄVLEBORGS LÄN</t>
        </is>
      </c>
      <c r="G524" t="inlineStr">
        <is>
          <t>SÖDERHAMN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46026</v>
      </c>
      <c r="E525" s="1" t="n">
        <v>46302</v>
      </c>
      <c r="F525" t="inlineStr">
        <is>
          <t>GÄVLEBORGS LÄN</t>
        </is>
      </c>
      <c r="G525" t="inlineStr">
        <is>
          <t>SÖDERHAMN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54135-2024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45616</v>
      </c>
      <c r="E526" s="1" t="n">
        <v>46302</v>
      </c>
      <c r="F526" t="inlineStr">
        <is>
          <t>GÄVLEBORGS LÄN</t>
        </is>
      </c>
      <c r="G526" t="inlineStr">
        <is>
          <t>SÖDERHAMN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45222</v>
      </c>
      <c r="E527" s="1" t="n">
        <v>46302</v>
      </c>
      <c r="F527" t="inlineStr">
        <is>
          <t>GÄVLEBORGS LÄN</t>
        </is>
      </c>
      <c r="G527" t="inlineStr">
        <is>
          <t>SÖDERHAMN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45324</v>
      </c>
      <c r="E528" s="1" t="n">
        <v>46302</v>
      </c>
      <c r="F528" t="inlineStr">
        <is>
          <t>GÄVLEBORGS LÄN</t>
        </is>
      </c>
      <c r="G528" t="inlineStr">
        <is>
          <t>SÖDERHAMN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45219</v>
      </c>
      <c r="E529" s="1" t="n">
        <v>46302</v>
      </c>
      <c r="F529" t="inlineStr">
        <is>
          <t>GÄVLEBORGS LÄN</t>
        </is>
      </c>
      <c r="G529" t="inlineStr">
        <is>
          <t>SÖDERHAMN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46302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46302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40187-2026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46293</v>
      </c>
      <c r="E532" s="1" t="n">
        <v>46302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60698-2023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45260</v>
      </c>
      <c r="E533" s="1" t="n">
        <v>46302</v>
      </c>
      <c r="F533" t="inlineStr">
        <is>
          <t>GÄVLEBORGS LÄN</t>
        </is>
      </c>
      <c r="G533" t="inlineStr">
        <is>
          <t>SÖDERHAMN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45470</v>
      </c>
      <c r="E534" s="1" t="n">
        <v>46302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46302</v>
      </c>
      <c r="F535" t="inlineStr">
        <is>
          <t>GÄVLEBORGS LÄN</t>
        </is>
      </c>
      <c r="G535" t="inlineStr">
        <is>
          <t>SÖDERHAMN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10876-2026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46302</v>
      </c>
      <c r="F536" t="inlineStr">
        <is>
          <t>GÄVLEBORGS LÄN</t>
        </is>
      </c>
      <c r="G536" t="inlineStr">
        <is>
          <t>SÖDERHAMN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45754</v>
      </c>
      <c r="E537" s="1" t="n">
        <v>46302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52518-2024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45609</v>
      </c>
      <c r="E538" s="1" t="n">
        <v>46302</v>
      </c>
      <c r="F538" t="inlineStr">
        <is>
          <t>GÄVLEBORGS LÄN</t>
        </is>
      </c>
      <c r="G538" t="inlineStr">
        <is>
          <t>SÖDERHAMN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44564</v>
      </c>
      <c r="E539" s="1" t="n">
        <v>46302</v>
      </c>
      <c r="F539" t="inlineStr">
        <is>
          <t>GÄVLEBORGS LÄN</t>
        </is>
      </c>
      <c r="G539" t="inlineStr">
        <is>
          <t>SÖDERHAMN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46302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45677</v>
      </c>
      <c r="E541" s="1" t="n">
        <v>46302</v>
      </c>
      <c r="F541" t="inlineStr">
        <is>
          <t>GÄVLEBORGS LÄN</t>
        </is>
      </c>
      <c r="G541" t="inlineStr">
        <is>
          <t>SÖDERHAMN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56500-2023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45243</v>
      </c>
      <c r="E542" s="1" t="n">
        <v>46302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46302</v>
      </c>
      <c r="F543" t="inlineStr">
        <is>
          <t>GÄVLEBORGS LÄN</t>
        </is>
      </c>
      <c r="G543" t="inlineStr">
        <is>
          <t>SÖDERHAMN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46294</v>
      </c>
      <c r="E544" s="1" t="n">
        <v>46302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46302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18195-2023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45041</v>
      </c>
      <c r="E546" s="1" t="n">
        <v>46302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45215</v>
      </c>
      <c r="E547" s="1" t="n">
        <v>46302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40766-2026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46296</v>
      </c>
      <c r="E548" s="1" t="n">
        <v>46302</v>
      </c>
      <c r="F548" t="inlineStr">
        <is>
          <t>GÄVLEBORGS LÄN</t>
        </is>
      </c>
      <c r="G548" t="inlineStr">
        <is>
          <t>SÖDERHAMN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40818-2026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46302</v>
      </c>
      <c r="F549" t="inlineStr">
        <is>
          <t>GÄVLEBORGS LÄN</t>
        </is>
      </c>
      <c r="G549" t="inlineStr">
        <is>
          <t>SÖDERHAMN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46007-2024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45580</v>
      </c>
      <c r="E550" s="1" t="n">
        <v>46302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46302</v>
      </c>
      <c r="F551" t="inlineStr">
        <is>
          <t>GÄVLEBORGS LÄN</t>
        </is>
      </c>
      <c r="G551" t="inlineStr">
        <is>
          <t>SÖDERHAMN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40781-2026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46295</v>
      </c>
      <c r="E552" s="1" t="n">
        <v>46302</v>
      </c>
      <c r="F552" t="inlineStr">
        <is>
          <t>GÄVLEBORGS LÄN</t>
        </is>
      </c>
      <c r="G552" t="inlineStr">
        <is>
          <t>SÖDERHAMN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46302</v>
      </c>
      <c r="F553" t="inlineStr">
        <is>
          <t>GÄVLEBORGS LÄN</t>
        </is>
      </c>
      <c r="G553" t="inlineStr">
        <is>
          <t>SÖDERHAMN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46302</v>
      </c>
      <c r="F554" t="inlineStr">
        <is>
          <t>GÄVLEBORGS LÄN</t>
        </is>
      </c>
      <c r="G554" t="inlineStr">
        <is>
          <t>SÖDERHAMN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41650-2024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46302</v>
      </c>
      <c r="F555" t="inlineStr">
        <is>
          <t>GÄVLEBORGS LÄN</t>
        </is>
      </c>
      <c r="G555" t="inlineStr">
        <is>
          <t>SÖDERHAMN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46302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11075-2023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44992</v>
      </c>
      <c r="E557" s="1" t="n">
        <v>46302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46302</v>
      </c>
      <c r="F558" t="inlineStr">
        <is>
          <t>GÄVLEBORGS LÄN</t>
        </is>
      </c>
      <c r="G558" t="inlineStr">
        <is>
          <t>SÖDERHAMN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30336-2022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44760</v>
      </c>
      <c r="E559" s="1" t="n">
        <v>46302</v>
      </c>
      <c r="F559" t="inlineStr">
        <is>
          <t>GÄVLEBORGS LÄN</t>
        </is>
      </c>
      <c r="G559" t="inlineStr">
        <is>
          <t>SÖDERHAMN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46296</v>
      </c>
      <c r="E560" s="1" t="n">
        <v>46302</v>
      </c>
      <c r="F560" t="inlineStr">
        <is>
          <t>GÄVLEBORGS LÄN</t>
        </is>
      </c>
      <c r="G560" t="inlineStr">
        <is>
          <t>SÖDERHAMN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46302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18913-2025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45764</v>
      </c>
      <c r="E562" s="1" t="n">
        <v>46302</v>
      </c>
      <c r="F562" t="inlineStr">
        <is>
          <t>GÄVLEBORGS LÄN</t>
        </is>
      </c>
      <c r="G562" t="inlineStr">
        <is>
          <t>SÖDERHAMN</t>
        </is>
      </c>
      <c r="H562" t="inlineStr">
        <is>
          <t>Kommuner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46302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46302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63932-2023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46302</v>
      </c>
      <c r="F565" t="inlineStr">
        <is>
          <t>GÄVLEBORGS LÄN</t>
        </is>
      </c>
      <c r="G565" t="inlineStr">
        <is>
          <t>SÖDERHAMN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46302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45453</v>
      </c>
      <c r="E567" s="1" t="n">
        <v>46302</v>
      </c>
      <c r="F567" t="inlineStr">
        <is>
          <t>GÄVLEBORGS LÄN</t>
        </is>
      </c>
      <c r="G567" t="inlineStr">
        <is>
          <t>SÖDERHAMN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26554-2022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44739</v>
      </c>
      <c r="E568" s="1" t="n">
        <v>46302</v>
      </c>
      <c r="F568" t="inlineStr">
        <is>
          <t>GÄVLEBORGS LÄN</t>
        </is>
      </c>
      <c r="G568" t="inlineStr">
        <is>
          <t>SÖDERHAMN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26042-2026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46177</v>
      </c>
      <c r="E569" s="1" t="n">
        <v>46302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46302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46302</v>
      </c>
      <c r="F571" t="inlineStr">
        <is>
          <t>GÄVLEBORGS LÄN</t>
        </is>
      </c>
      <c r="G571" t="inlineStr">
        <is>
          <t>SÖDERHAMN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44582</v>
      </c>
      <c r="E572" s="1" t="n">
        <v>46302</v>
      </c>
      <c r="F572" t="inlineStr">
        <is>
          <t>GÄVLEBORGS LÄN</t>
        </is>
      </c>
      <c r="G572" t="inlineStr">
        <is>
          <t>SÖDERHAMN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45747</v>
      </c>
      <c r="E573" s="1" t="n">
        <v>46302</v>
      </c>
      <c r="F573" t="inlineStr">
        <is>
          <t>GÄVLEBORGS LÄN</t>
        </is>
      </c>
      <c r="G573" t="inlineStr">
        <is>
          <t>SÖDERHAMN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37837-2024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46302</v>
      </c>
      <c r="F574" t="inlineStr">
        <is>
          <t>GÄVLEBORGS LÄN</t>
        </is>
      </c>
      <c r="G574" t="inlineStr">
        <is>
          <t>SÖDERHAMN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45093</v>
      </c>
      <c r="E575" s="1" t="n">
        <v>46302</v>
      </c>
      <c r="F575" t="inlineStr">
        <is>
          <t>GÄVLEBORGS LÄN</t>
        </is>
      </c>
      <c r="G575" t="inlineStr">
        <is>
          <t>SÖDERHAMN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45722</v>
      </c>
      <c r="E576" s="1" t="n">
        <v>46302</v>
      </c>
      <c r="F576" t="inlineStr">
        <is>
          <t>GÄVLEBORGS LÄN</t>
        </is>
      </c>
      <c r="G576" t="inlineStr">
        <is>
          <t>SÖDERHAMN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4563-2023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44956</v>
      </c>
      <c r="E577" s="1" t="n">
        <v>46302</v>
      </c>
      <c r="F577" t="inlineStr">
        <is>
          <t>GÄVLEBORGS LÄN</t>
        </is>
      </c>
      <c r="G577" t="inlineStr">
        <is>
          <t>SÖDERHAMN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45560</v>
      </c>
      <c r="E578" s="1" t="n">
        <v>46302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45639</v>
      </c>
      <c r="E579" s="1" t="n">
        <v>46302</v>
      </c>
      <c r="F579" t="inlineStr">
        <is>
          <t>GÄVLEBORGS LÄN</t>
        </is>
      </c>
      <c r="G579" t="inlineStr">
        <is>
          <t>SÖDERHAMN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11206-2023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44992</v>
      </c>
      <c r="E580" s="1" t="n">
        <v>46302</v>
      </c>
      <c r="F580" t="inlineStr">
        <is>
          <t>GÄVLEBORGS LÄN</t>
        </is>
      </c>
      <c r="G580" t="inlineStr">
        <is>
          <t>SÖDERHAMN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45477</v>
      </c>
      <c r="E581" s="1" t="n">
        <v>46302</v>
      </c>
      <c r="F581" t="inlineStr">
        <is>
          <t>GÄVLEBORGS LÄN</t>
        </is>
      </c>
      <c r="G581" t="inlineStr">
        <is>
          <t>SÖDERHAMN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45096</v>
      </c>
      <c r="E582" s="1" t="n">
        <v>46302</v>
      </c>
      <c r="F582" t="inlineStr">
        <is>
          <t>GÄVLEBORGS LÄN</t>
        </is>
      </c>
      <c r="G582" t="inlineStr">
        <is>
          <t>SÖDERHAMN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54007-2023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45231</v>
      </c>
      <c r="E583" s="1" t="n">
        <v>46302</v>
      </c>
      <c r="F583" t="inlineStr">
        <is>
          <t>GÄVLEBORGS LÄN</t>
        </is>
      </c>
      <c r="G583" t="inlineStr">
        <is>
          <t>SÖDERHAMN</t>
        </is>
      </c>
      <c r="H583" t="inlineStr">
        <is>
          <t>Kommuner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29979-2023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45108</v>
      </c>
      <c r="E584" s="1" t="n">
        <v>46302</v>
      </c>
      <c r="F584" t="inlineStr">
        <is>
          <t>GÄVLEBORGS LÄN</t>
        </is>
      </c>
      <c r="G584" t="inlineStr">
        <is>
          <t>SÖDERHAMN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28070-2024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46302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45597</v>
      </c>
      <c r="E586" s="1" t="n">
        <v>46302</v>
      </c>
      <c r="F586" t="inlineStr">
        <is>
          <t>GÄVLEBORGS LÄN</t>
        </is>
      </c>
      <c r="G586" t="inlineStr">
        <is>
          <t>SÖDERHAMN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19652-2024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46302</v>
      </c>
      <c r="F587" t="inlineStr">
        <is>
          <t>GÄVLEBORGS LÄN</t>
        </is>
      </c>
      <c r="G587" t="inlineStr">
        <is>
          <t>SÖDERHAMN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40577-2022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44823</v>
      </c>
      <c r="E588" s="1" t="n">
        <v>46302</v>
      </c>
      <c r="F588" t="inlineStr">
        <is>
          <t>GÄVLEBORGS LÄN</t>
        </is>
      </c>
      <c r="G588" t="inlineStr">
        <is>
          <t>SÖDERHAMN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50809-2024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46302</v>
      </c>
      <c r="F589" t="inlineStr">
        <is>
          <t>GÄVLEBORGS LÄN</t>
        </is>
      </c>
      <c r="G589" t="inlineStr">
        <is>
          <t>SÖDERHAMN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46302</v>
      </c>
      <c r="F590" t="inlineStr">
        <is>
          <t>GÄVLEBORGS LÄN</t>
        </is>
      </c>
      <c r="G590" t="inlineStr">
        <is>
          <t>SÖDERHAMN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29982-2023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45108</v>
      </c>
      <c r="E591" s="1" t="n">
        <v>46302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52519-2024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45609</v>
      </c>
      <c r="E592" s="1" t="n">
        <v>46302</v>
      </c>
      <c r="F592" t="inlineStr">
        <is>
          <t>GÄVLEBORGS LÄN</t>
        </is>
      </c>
      <c r="G592" t="inlineStr">
        <is>
          <t>SÖDERHAMN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49282-2024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45595</v>
      </c>
      <c r="E593" s="1" t="n">
        <v>46302</v>
      </c>
      <c r="F593" t="inlineStr">
        <is>
          <t>GÄVLEBORGS LÄN</t>
        </is>
      </c>
      <c r="G593" t="inlineStr">
        <is>
          <t>SÖDERHAMN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45771</v>
      </c>
      <c r="E594" s="1" t="n">
        <v>46302</v>
      </c>
      <c r="F594" t="inlineStr">
        <is>
          <t>GÄVLEBORGS LÄN</t>
        </is>
      </c>
      <c r="G594" t="inlineStr">
        <is>
          <t>SÖDERHAMN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48313-2024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45590</v>
      </c>
      <c r="E595" s="1" t="n">
        <v>46302</v>
      </c>
      <c r="F595" t="inlineStr">
        <is>
          <t>GÄVLEBORGS LÄN</t>
        </is>
      </c>
      <c r="G595" t="inlineStr">
        <is>
          <t>SÖDERHAMN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46302</v>
      </c>
      <c r="F596" t="inlineStr">
        <is>
          <t>GÄVLEBORGS LÄN</t>
        </is>
      </c>
      <c r="G596" t="inlineStr">
        <is>
          <t>SÖDERHAMN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45327</v>
      </c>
      <c r="E597" s="1" t="n">
        <v>46302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20456-2024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45435</v>
      </c>
      <c r="E598" s="1" t="n">
        <v>46302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45534</v>
      </c>
      <c r="E599" s="1" t="n">
        <v>46302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45594</v>
      </c>
      <c r="E600" s="1" t="n">
        <v>46302</v>
      </c>
      <c r="F600" t="inlineStr">
        <is>
          <t>GÄVLEBORGS LÄN</t>
        </is>
      </c>
      <c r="G600" t="inlineStr">
        <is>
          <t>SÖDERHAMN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18909-2025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45764</v>
      </c>
      <c r="E601" s="1" t="n">
        <v>46302</v>
      </c>
      <c r="F601" t="inlineStr">
        <is>
          <t>GÄVLEBORGS LÄN</t>
        </is>
      </c>
      <c r="G601" t="inlineStr">
        <is>
          <t>SÖDERHAMN</t>
        </is>
      </c>
      <c r="H601" t="inlineStr">
        <is>
          <t>Kommuner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30928-2023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46302</v>
      </c>
      <c r="F602" t="inlineStr">
        <is>
          <t>GÄVLEBORGS LÄN</t>
        </is>
      </c>
      <c r="G602" t="inlineStr">
        <is>
          <t>SÖDERHAMN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50283-2024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46302</v>
      </c>
      <c r="F603" t="inlineStr">
        <is>
          <t>GÄVLEBORGS LÄN</t>
        </is>
      </c>
      <c r="G603" t="inlineStr">
        <is>
          <t>SÖDERHAMN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15881-2025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45749</v>
      </c>
      <c r="E604" s="1" t="n">
        <v>46302</v>
      </c>
      <c r="F604" t="inlineStr">
        <is>
          <t>GÄVLEBORGS LÄN</t>
        </is>
      </c>
      <c r="G604" t="inlineStr">
        <is>
          <t>SÖDERHAMN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45779</v>
      </c>
      <c r="E605" s="1" t="n">
        <v>46302</v>
      </c>
      <c r="F605" t="inlineStr">
        <is>
          <t>GÄVLEBORGS LÄN</t>
        </is>
      </c>
      <c r="G605" t="inlineStr">
        <is>
          <t>SÖDERHAMN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45544</v>
      </c>
      <c r="E606" s="1" t="n">
        <v>46302</v>
      </c>
      <c r="F606" t="inlineStr">
        <is>
          <t>GÄVLEBORGS LÄN</t>
        </is>
      </c>
      <c r="G606" t="inlineStr">
        <is>
          <t>SÖDERHAMN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47676-2024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45588</v>
      </c>
      <c r="E607" s="1" t="n">
        <v>46302</v>
      </c>
      <c r="F607" t="inlineStr">
        <is>
          <t>GÄVLEBORGS LÄN</t>
        </is>
      </c>
      <c r="G607" t="inlineStr">
        <is>
          <t>SÖDERHAMN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45149</v>
      </c>
      <c r="E608" s="1" t="n">
        <v>46302</v>
      </c>
      <c r="F608" t="inlineStr">
        <is>
          <t>GÄVLEBORGS LÄN</t>
        </is>
      </c>
      <c r="G608" t="inlineStr">
        <is>
          <t>SÖDERHAMN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18189-2024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45420</v>
      </c>
      <c r="E609" s="1" t="n">
        <v>46302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46302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46302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46302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44698</v>
      </c>
      <c r="E613" s="1" t="n">
        <v>46302</v>
      </c>
      <c r="F613" t="inlineStr">
        <is>
          <t>GÄVLEBORGS LÄN</t>
        </is>
      </c>
      <c r="G613" t="inlineStr">
        <is>
          <t>SÖDERHAMN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45527</v>
      </c>
      <c r="E614" s="1" t="n">
        <v>46302</v>
      </c>
      <c r="F614" t="inlineStr">
        <is>
          <t>GÄVLEBORGS LÄN</t>
        </is>
      </c>
      <c r="G614" t="inlineStr">
        <is>
          <t>SÖDERHAMN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46302</v>
      </c>
      <c r="F615" t="inlineStr">
        <is>
          <t>GÄVLEBORGS LÄN</t>
        </is>
      </c>
      <c r="G615" t="inlineStr">
        <is>
          <t>SÖDERHAMN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25900-2024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45467</v>
      </c>
      <c r="E616" s="1" t="n">
        <v>46302</v>
      </c>
      <c r="F616" t="inlineStr">
        <is>
          <t>GÄVLEBORGS LÄN</t>
        </is>
      </c>
      <c r="G616" t="inlineStr">
        <is>
          <t>SÖDERHAMN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31676-2022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44776</v>
      </c>
      <c r="E617" s="1" t="n">
        <v>46302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45798</v>
      </c>
      <c r="E618" s="1" t="n">
        <v>46302</v>
      </c>
      <c r="F618" t="inlineStr">
        <is>
          <t>GÄVLEBORGS LÄN</t>
        </is>
      </c>
      <c r="G618" t="inlineStr">
        <is>
          <t>SÖDERHAMN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15-2024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45293</v>
      </c>
      <c r="E619" s="1" t="n">
        <v>46302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168-2022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46302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56.6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170-2022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46302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87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175-2022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46302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3155-2025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45973</v>
      </c>
      <c r="E623" s="1" t="n">
        <v>46302</v>
      </c>
      <c r="F623" t="inlineStr">
        <is>
          <t>GÄVLEBORGS LÄN</t>
        </is>
      </c>
      <c r="G623" t="inlineStr">
        <is>
          <t>SÖDERHAMN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2026-10-07T02:02:47Z</dcterms:created>
  <dcterms:modified xmlns:dcterms="http://purl.org/dc/terms/" xmlns:xsi="http://www.w3.org/2001/XMLSchema-instance" xsi:type="dcterms:W3CDTF">2026-10-07T02:02:48Z</dcterms:modified>
</cp:coreProperties>
</file>