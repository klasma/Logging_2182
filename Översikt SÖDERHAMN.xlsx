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46224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46224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46224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46224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46224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46224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46224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46224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46224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46224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46224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46224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46224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46224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46224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46224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46224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46224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46224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46224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46224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46224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41258-2022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44826</v>
      </c>
      <c r="E35" s="1" t="n">
        <v>46224</v>
      </c>
      <c r="F35" t="inlineStr">
        <is>
          <t>GÄVLEBORGS LÄN</t>
        </is>
      </c>
      <c r="G35" t="inlineStr">
        <is>
          <t>SÖDERHAMN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Rosenticka</t>
        </is>
      </c>
      <c r="W35">
        <f>HYPERLINK("https://klasma.github.io/Logging_2182/artfynd/A 41258-2022 artfynd.xlsx", "A 41258-2022")</f>
        <v/>
      </c>
      <c r="X35">
        <f>HYPERLINK("https://klasma.github.io/Logging_2182/kartor/A 41258-2022 karta.png", "A 41258-2022")</f>
        <v/>
      </c>
      <c r="Y35">
        <f>HYPERLINK("https://klasma.github.io/Logging_2182/kartor_geotiff/A 41258-2022 georefererad karta.tif", "A 41258-2022")</f>
        <v/>
      </c>
      <c r="AA35">
        <f>HYPERLINK("https://klasma.github.io/Logging_2182/klagomål/A 41258-2022 FSC-klagomål.docx", "A 41258-2022")</f>
        <v/>
      </c>
      <c r="AB35">
        <f>HYPERLINK("https://klasma.github.io/Logging_2182/klagomålsmail/A 41258-2022 FSC-klagomål mail.docx", "A 41258-2022")</f>
        <v/>
      </c>
      <c r="AC35">
        <f>HYPERLINK("https://klasma.github.io/Logging_2182/tillsyn/A 41258-2022 tillsynsbegäran.docx", "A 41258-2022")</f>
        <v/>
      </c>
      <c r="AD35">
        <f>HYPERLINK("https://klasma.github.io/Logging_2182/tillsynsmail/A 41258-2022 tillsynsbegäran mail.docx", "A 41258-2022")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46224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46224</v>
      </c>
      <c r="F37" t="inlineStr">
        <is>
          <t>GÄVLEBORGS LÄN</t>
        </is>
      </c>
      <c r="G37" t="inlineStr">
        <is>
          <t>SÖDERHAMN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HYPERLINK("https://klasma.github.io/Logging_2182/artfynd/A 60322-2025 artfynd.xlsx", "A 60322-2025")</f>
        <v/>
      </c>
      <c r="X37">
        <f>HYPERLINK("https://klasma.github.io/Logging_2182/kartor/A 60322-2025 karta.png", "A 60322-2025")</f>
        <v/>
      </c>
      <c r="Y37">
        <f>HYPERLINK("https://klasma.github.io/Logging_2182/kartor_geotiff/A 60322-2025 georefererad karta.tif", "A 60322-2025")</f>
        <v/>
      </c>
      <c r="AA37">
        <f>HYPERLINK("https://klasma.github.io/Logging_2182/klagomål/A 60322-2025 FSC-klagomål.docx", "A 60322-2025")</f>
        <v/>
      </c>
      <c r="AB37">
        <f>HYPERLINK("https://klasma.github.io/Logging_2182/klagomålsmail/A 60322-2025 FSC-klagomål mail.docx", "A 60322-2025")</f>
        <v/>
      </c>
      <c r="AC37">
        <f>HYPERLINK("https://klasma.github.io/Logging_2182/tillsyn/A 60322-2025 tillsynsbegäran.docx", "A 60322-2025")</f>
        <v/>
      </c>
      <c r="AD37">
        <f>HYPERLINK("https://klasma.github.io/Logging_2182/tillsynsmail/A 60322-2025 tillsynsbegäran mail.docx", "A 60322-2025")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46224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46224</v>
      </c>
      <c r="F39" t="inlineStr">
        <is>
          <t>GÄVLEBORGS LÄN</t>
        </is>
      </c>
      <c r="G39" t="inlineStr">
        <is>
          <t>SÖDERHAMN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Barkticka</t>
        </is>
      </c>
      <c r="W39">
        <f>HYPERLINK("https://klasma.github.io/Logging_2182/artfynd/A 6060-2026 artfynd.xlsx", "A 6060-2026")</f>
        <v/>
      </c>
      <c r="X39">
        <f>HYPERLINK("https://klasma.github.io/Logging_2182/kartor/A 6060-2026 karta.png", "A 6060-2026")</f>
        <v/>
      </c>
      <c r="Y39">
        <f>HYPERLINK("https://klasma.github.io/Logging_2182/kartor_geotiff/A 6060-2026 georefererad karta.tif", "A 6060-2026")</f>
        <v/>
      </c>
      <c r="AA39">
        <f>HYPERLINK("https://klasma.github.io/Logging_2182/klagomål/A 6060-2026 FSC-klagomål.docx", "A 6060-2026")</f>
        <v/>
      </c>
      <c r="AB39">
        <f>HYPERLINK("https://klasma.github.io/Logging_2182/klagomålsmail/A 6060-2026 FSC-klagomål mail.docx", "A 6060-2026")</f>
        <v/>
      </c>
      <c r="AC39">
        <f>HYPERLINK("https://klasma.github.io/Logging_2182/tillsyn/A 6060-2026 tillsynsbegäran.docx", "A 6060-2026")</f>
        <v/>
      </c>
      <c r="AD39">
        <f>HYPERLINK("https://klasma.github.io/Logging_2182/tillsynsmail/A 6060-2026 tillsynsbegäran mail.docx", "A 6060-2026")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46224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46224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46224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11791-2026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46224</v>
      </c>
      <c r="F43" t="inlineStr">
        <is>
          <t>GÄVLEBORGS LÄN</t>
        </is>
      </c>
      <c r="G43" t="inlineStr">
        <is>
          <t>SÖDERHAMN</t>
        </is>
      </c>
      <c r="I43" t="n">
        <v>8.1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HYPERLINK("https://klasma.github.io/Logging_2182/artfynd/A 11791-2026 artfynd.xlsx", "A 11791-2026")</f>
        <v/>
      </c>
      <c r="X43">
        <f>HYPERLINK("https://klasma.github.io/Logging_2182/kartor/A 11791-2026 karta.png", "A 11791-2026")</f>
        <v/>
      </c>
      <c r="Y43">
        <f>HYPERLINK("https://klasma.github.io/Logging_2182/kartor_geotiff/A 11791-2026 georefererad karta.tif", "A 11791-2026")</f>
        <v/>
      </c>
      <c r="AA43">
        <f>HYPERLINK("https://klasma.github.io/Logging_2182/klagomål/A 11791-2026 FSC-klagomål.docx", "A 11791-2026")</f>
        <v/>
      </c>
      <c r="AB43">
        <f>HYPERLINK("https://klasma.github.io/Logging_2182/klagomålsmail/A 11791-2026 FSC-klagomål mail.docx", "A 11791-2026")</f>
        <v/>
      </c>
      <c r="AC43">
        <f>HYPERLINK("https://klasma.github.io/Logging_2182/tillsyn/A 11791-2026 tillsynsbegäran.docx", "A 11791-2026")</f>
        <v/>
      </c>
      <c r="AD43">
        <f>HYPERLINK("https://klasma.github.io/Logging_2182/tillsynsmail/A 11791-2026 tillsynsbegäran mail.docx", "A 11791-2026")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46224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46224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46224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46224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46224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Sydlig ladlav</t>
        </is>
      </c>
      <c r="W48">
        <f>HYPERLINK("https://klasma.github.io/Logging_2182/artfynd/A 55768-2025 artfynd.xlsx", "A 55768-2025")</f>
        <v/>
      </c>
      <c r="X48">
        <f>HYPERLINK("https://klasma.github.io/Logging_2182/kartor/A 55768-2025 karta.png", "A 55768-2025")</f>
        <v/>
      </c>
      <c r="Y48">
        <f>HYPERLINK("https://klasma.github.io/Logging_2182/kartor_geotiff/A 55768-2025 georefererad karta.tif", "A 55768-2025")</f>
        <v/>
      </c>
      <c r="AA48">
        <f>HYPERLINK("https://klasma.github.io/Logging_2182/klagomål/A 55768-2025 FSC-klagomål.docx", "A 55768-2025")</f>
        <v/>
      </c>
      <c r="AB48">
        <f>HYPERLINK("https://klasma.github.io/Logging_2182/klagomålsmail/A 55768-2025 FSC-klagomål mail.docx", "A 55768-2025")</f>
        <v/>
      </c>
      <c r="AC48">
        <f>HYPERLINK("https://klasma.github.io/Logging_2182/tillsyn/A 55768-2025 tillsynsbegäran.docx", "A 55768-2025")</f>
        <v/>
      </c>
      <c r="AD48">
        <f>HYPERLINK("https://klasma.github.io/Logging_2182/tillsynsmail/A 55768-2025 tillsynsbegäran mail.docx", "A 55768-2025")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46224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46224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46224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46224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46224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44510</v>
      </c>
      <c r="E55" s="1" t="n">
        <v>46224</v>
      </c>
      <c r="F55" t="inlineStr">
        <is>
          <t>GÄVLEBORGS LÄN</t>
        </is>
      </c>
      <c r="G55" t="inlineStr">
        <is>
          <t>SÖDERHAMN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46224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46224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46224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46224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46224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46224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46224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46224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46224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46224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46224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46224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46224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46224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46224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46224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46224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46224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46224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46224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46224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46224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46224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46224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46224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46224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46224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46224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46224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46224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46224</v>
      </c>
      <c r="F86" t="inlineStr">
        <is>
          <t>GÄVLEBORGS LÄN</t>
        </is>
      </c>
      <c r="G86" t="inlineStr">
        <is>
          <t>SÖDERHAMN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46224</v>
      </c>
      <c r="F87" t="inlineStr">
        <is>
          <t>GÄVLEBORGS LÄN</t>
        </is>
      </c>
      <c r="G87" t="inlineStr">
        <is>
          <t>SÖDERHAMN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46224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46224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46224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46224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46224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46224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46224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46224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46224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46224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46224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46224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46224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46224</v>
      </c>
      <c r="F101" t="inlineStr">
        <is>
          <t>GÄVLEBORGS LÄN</t>
        </is>
      </c>
      <c r="G101" t="inlineStr">
        <is>
          <t>SÖDERHAMN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46224</v>
      </c>
      <c r="F102" t="inlineStr">
        <is>
          <t>GÄVLEBORGS LÄN</t>
        </is>
      </c>
      <c r="G102" t="inlineStr">
        <is>
          <t>SÖDERHAMN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45652</v>
      </c>
      <c r="E103" s="1" t="n">
        <v>46224</v>
      </c>
      <c r="F103" t="inlineStr">
        <is>
          <t>GÄVLEBORGS LÄN</t>
        </is>
      </c>
      <c r="G103" t="inlineStr">
        <is>
          <t>SÖDERHAMN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46224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13.5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46224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46224</v>
      </c>
      <c r="F106" t="inlineStr">
        <is>
          <t>GÄVLEBORGS LÄN</t>
        </is>
      </c>
      <c r="G106" t="inlineStr">
        <is>
          <t>SÖDERHAMN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46224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46224</v>
      </c>
      <c r="F108" t="inlineStr">
        <is>
          <t>GÄVLEBORGS LÄN</t>
        </is>
      </c>
      <c r="G108" t="inlineStr">
        <is>
          <t>SÖDERHAMN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46224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46224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45442</v>
      </c>
      <c r="E111" s="1" t="n">
        <v>46224</v>
      </c>
      <c r="F111" t="inlineStr">
        <is>
          <t>GÄVLEBORGS LÄN</t>
        </is>
      </c>
      <c r="G111" t="inlineStr">
        <is>
          <t>SÖDERHAMN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46224</v>
      </c>
      <c r="F112" t="inlineStr">
        <is>
          <t>GÄVLEBORGS LÄN</t>
        </is>
      </c>
      <c r="G112" t="inlineStr">
        <is>
          <t>SÖDERHAMN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46224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46224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45796</v>
      </c>
      <c r="E115" s="1" t="n">
        <v>46224</v>
      </c>
      <c r="F115" t="inlineStr">
        <is>
          <t>GÄVLEBORGS LÄN</t>
        </is>
      </c>
      <c r="G115" t="inlineStr">
        <is>
          <t>SÖDERHAMN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45467</v>
      </c>
      <c r="E116" s="1" t="n">
        <v>46224</v>
      </c>
      <c r="F116" t="inlineStr">
        <is>
          <t>GÄVLEBORGS LÄN</t>
        </is>
      </c>
      <c r="G116" t="inlineStr">
        <is>
          <t>SÖDERHAMN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31676-2022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44776</v>
      </c>
      <c r="E117" s="1" t="n">
        <v>46224</v>
      </c>
      <c r="F117" t="inlineStr">
        <is>
          <t>GÄVLEBORGS LÄN</t>
        </is>
      </c>
      <c r="G117" t="inlineStr">
        <is>
          <t>SÖDERHAMN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46224</v>
      </c>
      <c r="F118" t="inlineStr">
        <is>
          <t>GÄVLEBORGS LÄN</t>
        </is>
      </c>
      <c r="G118" t="inlineStr">
        <is>
          <t>SÖDERHAMN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46224</v>
      </c>
      <c r="F119" t="inlineStr">
        <is>
          <t>GÄVLEBORGS LÄN</t>
        </is>
      </c>
      <c r="G119" t="inlineStr">
        <is>
          <t>SÖDERHAMN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46224</v>
      </c>
      <c r="F120" t="inlineStr">
        <is>
          <t>GÄVLEBORGS LÄN</t>
        </is>
      </c>
      <c r="G120" t="inlineStr">
        <is>
          <t>SÖDERHAMN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46224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46224</v>
      </c>
      <c r="F122" t="inlineStr">
        <is>
          <t>GÄVLEBORGS LÄN</t>
        </is>
      </c>
      <c r="G122" t="inlineStr">
        <is>
          <t>SÖDERHAMN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46224</v>
      </c>
      <c r="F123" t="inlineStr">
        <is>
          <t>GÄVLEBORGS LÄN</t>
        </is>
      </c>
      <c r="G123" t="inlineStr">
        <is>
          <t>SÖDERHAMN</t>
        </is>
      </c>
      <c r="H123" t="inlineStr">
        <is>
          <t>Kommuner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46224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46224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46224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45643</v>
      </c>
      <c r="E127" s="1" t="n">
        <v>46224</v>
      </c>
      <c r="F127" t="inlineStr">
        <is>
          <t>GÄVLEBORGS LÄN</t>
        </is>
      </c>
      <c r="G127" t="inlineStr">
        <is>
          <t>SÖDERHAMN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46224</v>
      </c>
      <c r="F128" t="inlineStr">
        <is>
          <t>GÄVLEBORGS LÄN</t>
        </is>
      </c>
      <c r="G128" t="inlineStr">
        <is>
          <t>SÖDERHAMN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46224</v>
      </c>
      <c r="F129" t="inlineStr">
        <is>
          <t>GÄVLEBORGS LÄN</t>
        </is>
      </c>
      <c r="G129" t="inlineStr">
        <is>
          <t>SÖDERHAMN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45896</v>
      </c>
      <c r="E130" s="1" t="n">
        <v>46224</v>
      </c>
      <c r="F130" t="inlineStr">
        <is>
          <t>GÄVLEBORGS LÄN</t>
        </is>
      </c>
      <c r="G130" t="inlineStr">
        <is>
          <t>SÖDERHAMN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45428</v>
      </c>
      <c r="E131" s="1" t="n">
        <v>46224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46224</v>
      </c>
      <c r="F132" t="inlineStr">
        <is>
          <t>GÄVLEBORGS LÄN</t>
        </is>
      </c>
      <c r="G132" t="inlineStr">
        <is>
          <t>SÖDERHAMN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46224</v>
      </c>
      <c r="F133" t="inlineStr">
        <is>
          <t>GÄVLEBORGS LÄN</t>
        </is>
      </c>
      <c r="G133" t="inlineStr">
        <is>
          <t>SÖDERHAMN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46224</v>
      </c>
      <c r="F134" t="inlineStr">
        <is>
          <t>GÄVLEBORGS LÄN</t>
        </is>
      </c>
      <c r="G134" t="inlineStr">
        <is>
          <t>SÖDERHAMN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46224</v>
      </c>
      <c r="F135" t="inlineStr">
        <is>
          <t>GÄVLEBORGS LÄN</t>
        </is>
      </c>
      <c r="G135" t="inlineStr">
        <is>
          <t>SÖDERHAMN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45899</v>
      </c>
      <c r="E136" s="1" t="n">
        <v>46224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40736-2021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44420</v>
      </c>
      <c r="E137" s="1" t="n">
        <v>46224</v>
      </c>
      <c r="F137" t="inlineStr">
        <is>
          <t>GÄVLEBORGS LÄN</t>
        </is>
      </c>
      <c r="G137" t="inlineStr">
        <is>
          <t>SÖDERHAMN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45762</v>
      </c>
      <c r="E138" s="1" t="n">
        <v>46224</v>
      </c>
      <c r="F138" t="inlineStr">
        <is>
          <t>GÄVLEBORGS LÄN</t>
        </is>
      </c>
      <c r="G138" t="inlineStr">
        <is>
          <t>SÖDERHAMN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46224</v>
      </c>
      <c r="F139" t="inlineStr">
        <is>
          <t>GÄVLEBORGS LÄN</t>
        </is>
      </c>
      <c r="G139" t="inlineStr">
        <is>
          <t>SÖDERHAMN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46224</v>
      </c>
      <c r="F140" t="inlineStr">
        <is>
          <t>GÄVLEBORGS LÄN</t>
        </is>
      </c>
      <c r="G140" t="inlineStr">
        <is>
          <t>SÖDERHAMN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46224</v>
      </c>
      <c r="F141" t="inlineStr">
        <is>
          <t>GÄVLEBORGS LÄN</t>
        </is>
      </c>
      <c r="G141" t="inlineStr">
        <is>
          <t>SÖDERHAMN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46224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54799-2022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44883</v>
      </c>
      <c r="E143" s="1" t="n">
        <v>46224</v>
      </c>
      <c r="F143" t="inlineStr">
        <is>
          <t>GÄVLEBORGS LÄN</t>
        </is>
      </c>
      <c r="G143" t="inlineStr">
        <is>
          <t>SÖDERHAMN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46224</v>
      </c>
      <c r="F144" t="inlineStr">
        <is>
          <t>GÄVLEBORGS LÄN</t>
        </is>
      </c>
      <c r="G144" t="inlineStr">
        <is>
          <t>SÖDERHAMN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46224</v>
      </c>
      <c r="F145" t="inlineStr">
        <is>
          <t>GÄVLEBORGS LÄN</t>
        </is>
      </c>
      <c r="G145" t="inlineStr">
        <is>
          <t>SÖDERHAMN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46224</v>
      </c>
      <c r="F146" t="inlineStr">
        <is>
          <t>GÄVLEBORGS LÄN</t>
        </is>
      </c>
      <c r="G146" t="inlineStr">
        <is>
          <t>SÖDERHAMN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46224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46224</v>
      </c>
      <c r="F148" t="inlineStr">
        <is>
          <t>GÄVLEBORGS LÄN</t>
        </is>
      </c>
      <c r="G148" t="inlineStr">
        <is>
          <t>SÖDERHAMN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46224</v>
      </c>
      <c r="F149" t="inlineStr">
        <is>
          <t>GÄVLEBORGS LÄN</t>
        </is>
      </c>
      <c r="G149" t="inlineStr">
        <is>
          <t>SÖDERHAMN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46224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46224</v>
      </c>
      <c r="F151" t="inlineStr">
        <is>
          <t>GÄVLEBORGS LÄN</t>
        </is>
      </c>
      <c r="G151" t="inlineStr">
        <is>
          <t>SÖDERHAMN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45212</v>
      </c>
      <c r="E152" s="1" t="n">
        <v>46224</v>
      </c>
      <c r="F152" t="inlineStr">
        <is>
          <t>GÄVLEBORGS LÄN</t>
        </is>
      </c>
      <c r="G152" t="inlineStr">
        <is>
          <t>SÖDERHAMN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46224</v>
      </c>
      <c r="F153" t="inlineStr">
        <is>
          <t>GÄVLEBORGS LÄN</t>
        </is>
      </c>
      <c r="G153" t="inlineStr">
        <is>
          <t>SÖDERHAMN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46224</v>
      </c>
      <c r="F154" t="inlineStr">
        <is>
          <t>GÄVLEBORGS LÄN</t>
        </is>
      </c>
      <c r="G154" t="inlineStr">
        <is>
          <t>SÖDERHAMN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46224</v>
      </c>
      <c r="F155" t="inlineStr">
        <is>
          <t>GÄVLEBORGS LÄN</t>
        </is>
      </c>
      <c r="G155" t="inlineStr">
        <is>
          <t>SÖDERHAMN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46224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46224</v>
      </c>
      <c r="F157" t="inlineStr">
        <is>
          <t>GÄVLEBORGS LÄN</t>
        </is>
      </c>
      <c r="G157" t="inlineStr">
        <is>
          <t>SÖDERHAMN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44795</v>
      </c>
      <c r="E158" s="1" t="n">
        <v>46224</v>
      </c>
      <c r="F158" t="inlineStr">
        <is>
          <t>GÄVLEBORGS LÄN</t>
        </is>
      </c>
      <c r="G158" t="inlineStr">
        <is>
          <t>SÖDERHAMN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46224</v>
      </c>
      <c r="F159" t="inlineStr">
        <is>
          <t>GÄVLEBORGS LÄN</t>
        </is>
      </c>
      <c r="G159" t="inlineStr">
        <is>
          <t>SÖDERHAMN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46224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58180-2024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46224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46224</v>
      </c>
      <c r="F162" t="inlineStr">
        <is>
          <t>GÄVLEBORGS LÄN</t>
        </is>
      </c>
      <c r="G162" t="inlineStr">
        <is>
          <t>SÖDERHAMN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46224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46224</v>
      </c>
      <c r="F164" t="inlineStr">
        <is>
          <t>GÄVLEBORGS LÄN</t>
        </is>
      </c>
      <c r="G164" t="inlineStr">
        <is>
          <t>SÖDERHAMN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46224</v>
      </c>
      <c r="F165" t="inlineStr">
        <is>
          <t>GÄVLEBORGS LÄN</t>
        </is>
      </c>
      <c r="G165" t="inlineStr">
        <is>
          <t>SÖDERHAMN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46224</v>
      </c>
      <c r="F166" t="inlineStr">
        <is>
          <t>GÄVLEBORGS LÄN</t>
        </is>
      </c>
      <c r="G166" t="inlineStr">
        <is>
          <t>SÖDERHAMN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46224</v>
      </c>
      <c r="F167" t="inlineStr">
        <is>
          <t>GÄVLEBORGS LÄN</t>
        </is>
      </c>
      <c r="G167" t="inlineStr">
        <is>
          <t>SÖDERHAMN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45574</v>
      </c>
      <c r="E168" s="1" t="n">
        <v>46224</v>
      </c>
      <c r="F168" t="inlineStr">
        <is>
          <t>GÄVLEBORGS LÄN</t>
        </is>
      </c>
      <c r="G168" t="inlineStr">
        <is>
          <t>SÖDERHAMN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46026</v>
      </c>
      <c r="E169" s="1" t="n">
        <v>46224</v>
      </c>
      <c r="F169" t="inlineStr">
        <is>
          <t>GÄVLEBORGS LÄN</t>
        </is>
      </c>
      <c r="G169" t="inlineStr">
        <is>
          <t>SÖDERHAMN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46026</v>
      </c>
      <c r="E170" s="1" t="n">
        <v>46224</v>
      </c>
      <c r="F170" t="inlineStr">
        <is>
          <t>GÄVLEBORGS LÄN</t>
        </is>
      </c>
      <c r="G170" t="inlineStr">
        <is>
          <t>SÖDERHAMN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46224</v>
      </c>
      <c r="F171" t="inlineStr">
        <is>
          <t>GÄVLEBORGS LÄN</t>
        </is>
      </c>
      <c r="G171" t="inlineStr">
        <is>
          <t>SÖDERHAMN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46224</v>
      </c>
      <c r="F172" t="inlineStr">
        <is>
          <t>GÄVLEBORGS LÄN</t>
        </is>
      </c>
      <c r="G172" t="inlineStr">
        <is>
          <t>SÖDERHAMN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46026</v>
      </c>
      <c r="E173" s="1" t="n">
        <v>46224</v>
      </c>
      <c r="F173" t="inlineStr">
        <is>
          <t>GÄVLEBORGS LÄN</t>
        </is>
      </c>
      <c r="G173" t="inlineStr">
        <is>
          <t>SÖDERHAMN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46224</v>
      </c>
      <c r="F174" t="inlineStr">
        <is>
          <t>GÄVLEBORGS LÄN</t>
        </is>
      </c>
      <c r="G174" t="inlineStr">
        <is>
          <t>SÖDERHAMN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46224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45069</v>
      </c>
      <c r="E176" s="1" t="n">
        <v>46224</v>
      </c>
      <c r="F176" t="inlineStr">
        <is>
          <t>GÄVLEBORGS LÄN</t>
        </is>
      </c>
      <c r="G176" t="inlineStr">
        <is>
          <t>SÖDERHAMN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45188</v>
      </c>
      <c r="E177" s="1" t="n">
        <v>46224</v>
      </c>
      <c r="F177" t="inlineStr">
        <is>
          <t>GÄVLEBORGS LÄN</t>
        </is>
      </c>
      <c r="G177" t="inlineStr">
        <is>
          <t>SÖDERHAMN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44341-2023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45188</v>
      </c>
      <c r="E178" s="1" t="n">
        <v>46224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46224</v>
      </c>
      <c r="F179" t="inlineStr">
        <is>
          <t>GÄVLEBORGS LÄN</t>
        </is>
      </c>
      <c r="G179" t="inlineStr">
        <is>
          <t>SÖDERHAMN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46026</v>
      </c>
      <c r="E180" s="1" t="n">
        <v>46224</v>
      </c>
      <c r="F180" t="inlineStr">
        <is>
          <t>GÄVLEBORGS LÄN</t>
        </is>
      </c>
      <c r="G180" t="inlineStr">
        <is>
          <t>SÖDERHAMN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46026</v>
      </c>
      <c r="E181" s="1" t="n">
        <v>46224</v>
      </c>
      <c r="F181" t="inlineStr">
        <is>
          <t>GÄVLEBORGS LÄN</t>
        </is>
      </c>
      <c r="G181" t="inlineStr">
        <is>
          <t>SÖDERHAMN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46224</v>
      </c>
      <c r="F182" t="inlineStr">
        <is>
          <t>GÄVLEBORGS LÄN</t>
        </is>
      </c>
      <c r="G182" t="inlineStr">
        <is>
          <t>SÖDERHAMN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46224</v>
      </c>
      <c r="F183" t="inlineStr">
        <is>
          <t>GÄVLEBORGS LÄN</t>
        </is>
      </c>
      <c r="G183" t="inlineStr">
        <is>
          <t>SÖDERHAMN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46224</v>
      </c>
      <c r="F184" t="inlineStr">
        <is>
          <t>GÄVLEBORGS LÄN</t>
        </is>
      </c>
      <c r="G184" t="inlineStr">
        <is>
          <t>SÖDERHAMN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45847</v>
      </c>
      <c r="E185" s="1" t="n">
        <v>46224</v>
      </c>
      <c r="F185" t="inlineStr">
        <is>
          <t>GÄVLEBORGS LÄN</t>
        </is>
      </c>
      <c r="G185" t="inlineStr">
        <is>
          <t>SÖDERHAMN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46224</v>
      </c>
      <c r="F186" t="inlineStr">
        <is>
          <t>GÄVLEBORGS LÄN</t>
        </is>
      </c>
      <c r="G186" t="inlineStr">
        <is>
          <t>SÖDERHAMN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45944</v>
      </c>
      <c r="E187" s="1" t="n">
        <v>46224</v>
      </c>
      <c r="F187" t="inlineStr">
        <is>
          <t>GÄVLEBORGS LÄN</t>
        </is>
      </c>
      <c r="G187" t="inlineStr">
        <is>
          <t>SÖDERHAMN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45848</v>
      </c>
      <c r="E188" s="1" t="n">
        <v>46224</v>
      </c>
      <c r="F188" t="inlineStr">
        <is>
          <t>GÄVLEBORGS LÄN</t>
        </is>
      </c>
      <c r="G188" t="inlineStr">
        <is>
          <t>SÖDERHAMN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46224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46224</v>
      </c>
      <c r="F190" t="inlineStr">
        <is>
          <t>GÄVLEBORGS LÄN</t>
        </is>
      </c>
      <c r="G190" t="inlineStr">
        <is>
          <t>SÖDERHAMN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35961-2025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45863</v>
      </c>
      <c r="E191" s="1" t="n">
        <v>46224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45108</v>
      </c>
      <c r="E192" s="1" t="n">
        <v>46224</v>
      </c>
      <c r="F192" t="inlineStr">
        <is>
          <t>GÄVLEBORGS LÄN</t>
        </is>
      </c>
      <c r="G192" t="inlineStr">
        <is>
          <t>SÖDERHAMN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46224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46224</v>
      </c>
      <c r="F194" t="inlineStr">
        <is>
          <t>GÄVLEBORGS LÄN</t>
        </is>
      </c>
      <c r="G194" t="inlineStr">
        <is>
          <t>SÖDERHAMN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46224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45957</v>
      </c>
      <c r="E196" s="1" t="n">
        <v>46224</v>
      </c>
      <c r="F196" t="inlineStr">
        <is>
          <t>GÄVLEBORGS LÄN</t>
        </is>
      </c>
      <c r="G196" t="inlineStr">
        <is>
          <t>SÖDERHAMN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45957</v>
      </c>
      <c r="E197" s="1" t="n">
        <v>46224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46224</v>
      </c>
      <c r="F198" t="inlineStr">
        <is>
          <t>GÄVLEBORGS LÄN</t>
        </is>
      </c>
      <c r="G198" t="inlineStr">
        <is>
          <t>SÖDERHAMN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46224</v>
      </c>
      <c r="F199" t="inlineStr">
        <is>
          <t>GÄVLEBORGS LÄN</t>
        </is>
      </c>
      <c r="G199" t="inlineStr">
        <is>
          <t>SÖDERHAMN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46224</v>
      </c>
      <c r="F200" t="inlineStr">
        <is>
          <t>GÄVLEBORGS LÄN</t>
        </is>
      </c>
      <c r="G200" t="inlineStr">
        <is>
          <t>SÖDERHAMN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46224</v>
      </c>
      <c r="F201" t="inlineStr">
        <is>
          <t>GÄVLEBORGS LÄN</t>
        </is>
      </c>
      <c r="G201" t="inlineStr">
        <is>
          <t>SÖDERHAMN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46224</v>
      </c>
      <c r="F202" t="inlineStr">
        <is>
          <t>GÄVLEBORGS LÄN</t>
        </is>
      </c>
      <c r="G202" t="inlineStr">
        <is>
          <t>SÖDERHAMN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46224</v>
      </c>
      <c r="F203" t="inlineStr">
        <is>
          <t>GÄVLEBORGS LÄN</t>
        </is>
      </c>
      <c r="G203" t="inlineStr">
        <is>
          <t>SÖDERHAMN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46224</v>
      </c>
      <c r="F204" t="inlineStr">
        <is>
          <t>GÄVLEBORGS LÄN</t>
        </is>
      </c>
      <c r="G204" t="inlineStr">
        <is>
          <t>SÖDERHAMN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46224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46224</v>
      </c>
      <c r="F206" t="inlineStr">
        <is>
          <t>GÄVLEBORGS LÄN</t>
        </is>
      </c>
      <c r="G206" t="inlineStr">
        <is>
          <t>SÖDERHAMN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46224</v>
      </c>
      <c r="F207" t="inlineStr">
        <is>
          <t>GÄVLEBORGS LÄN</t>
        </is>
      </c>
      <c r="G207" t="inlineStr">
        <is>
          <t>SÖDERHAMN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46224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46224</v>
      </c>
      <c r="F209" t="inlineStr">
        <is>
          <t>GÄVLEBORGS LÄN</t>
        </is>
      </c>
      <c r="G209" t="inlineStr">
        <is>
          <t>SÖDERHAMN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46224</v>
      </c>
      <c r="F210" t="inlineStr">
        <is>
          <t>GÄVLEBORGS LÄN</t>
        </is>
      </c>
      <c r="G210" t="inlineStr">
        <is>
          <t>SÖDERHAMN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45879</v>
      </c>
      <c r="E211" s="1" t="n">
        <v>46224</v>
      </c>
      <c r="F211" t="inlineStr">
        <is>
          <t>GÄVLEBORGS LÄN</t>
        </is>
      </c>
      <c r="G211" t="inlineStr">
        <is>
          <t>SÖDERHAMN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46224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46224</v>
      </c>
      <c r="F213" t="inlineStr">
        <is>
          <t>GÄVLEBORGS LÄN</t>
        </is>
      </c>
      <c r="G213" t="inlineStr">
        <is>
          <t>SÖDERHAMN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38355-2022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44812</v>
      </c>
      <c r="E214" s="1" t="n">
        <v>46224</v>
      </c>
      <c r="F214" t="inlineStr">
        <is>
          <t>GÄVLEBORGS LÄN</t>
        </is>
      </c>
      <c r="G214" t="inlineStr">
        <is>
          <t>SÖDERHAMN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46224</v>
      </c>
      <c r="F215" t="inlineStr">
        <is>
          <t>GÄVLEBORGS LÄN</t>
        </is>
      </c>
      <c r="G215" t="inlineStr">
        <is>
          <t>SÖDERHAMN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45879</v>
      </c>
      <c r="E216" s="1" t="n">
        <v>46224</v>
      </c>
      <c r="F216" t="inlineStr">
        <is>
          <t>GÄVLEBORGS LÄN</t>
        </is>
      </c>
      <c r="G216" t="inlineStr">
        <is>
          <t>SÖDERHAMN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46224</v>
      </c>
      <c r="F217" t="inlineStr">
        <is>
          <t>GÄVLEBORGS LÄN</t>
        </is>
      </c>
      <c r="G217" t="inlineStr">
        <is>
          <t>SÖDERHAMN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46224</v>
      </c>
      <c r="F218" t="inlineStr">
        <is>
          <t>GÄVLEBORGS LÄN</t>
        </is>
      </c>
      <c r="G218" t="inlineStr">
        <is>
          <t>SÖDERHAMN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46224</v>
      </c>
      <c r="F219" t="inlineStr">
        <is>
          <t>GÄVLEBORGS LÄN</t>
        </is>
      </c>
      <c r="G219" t="inlineStr">
        <is>
          <t>SÖDERHAMN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46224</v>
      </c>
      <c r="F220" t="inlineStr">
        <is>
          <t>GÄVLEBORGS LÄN</t>
        </is>
      </c>
      <c r="G220" t="inlineStr">
        <is>
          <t>SÖDERHAMN</t>
        </is>
      </c>
      <c r="H220" t="inlineStr">
        <is>
          <t>Kommuner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46224</v>
      </c>
      <c r="F221" t="inlineStr">
        <is>
          <t>GÄVLEBORGS LÄN</t>
        </is>
      </c>
      <c r="G221" t="inlineStr">
        <is>
          <t>SÖDERHAMN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24766-2023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45084</v>
      </c>
      <c r="E222" s="1" t="n">
        <v>46224</v>
      </c>
      <c r="F222" t="inlineStr">
        <is>
          <t>GÄVLEBORGS LÄN</t>
        </is>
      </c>
      <c r="G222" t="inlineStr">
        <is>
          <t>SÖDERHAMN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46224</v>
      </c>
      <c r="F223" t="inlineStr">
        <is>
          <t>GÄVLEBORGS LÄN</t>
        </is>
      </c>
      <c r="G223" t="inlineStr">
        <is>
          <t>SÖDERHAMN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46224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46224</v>
      </c>
      <c r="F225" t="inlineStr">
        <is>
          <t>GÄVLEBORGS LÄN</t>
        </is>
      </c>
      <c r="G225" t="inlineStr">
        <is>
          <t>SÖDERHAMN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46224</v>
      </c>
      <c r="F226" t="inlineStr">
        <is>
          <t>GÄVLEBORGS LÄN</t>
        </is>
      </c>
      <c r="G226" t="inlineStr">
        <is>
          <t>SÖDERHAMN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46224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46224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46224</v>
      </c>
      <c r="F229" t="inlineStr">
        <is>
          <t>GÄVLEBORGS LÄN</t>
        </is>
      </c>
      <c r="G229" t="inlineStr">
        <is>
          <t>SÖDERHAMN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46035</v>
      </c>
      <c r="E230" s="1" t="n">
        <v>46224</v>
      </c>
      <c r="F230" t="inlineStr">
        <is>
          <t>GÄVLEBORGS LÄN</t>
        </is>
      </c>
      <c r="G230" t="inlineStr">
        <is>
          <t>SÖDERHAMN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46224</v>
      </c>
      <c r="F231" t="inlineStr">
        <is>
          <t>GÄVLEBORGS LÄN</t>
        </is>
      </c>
      <c r="G231" t="inlineStr">
        <is>
          <t>SÖDERHAMN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46224</v>
      </c>
      <c r="F232" t="inlineStr">
        <is>
          <t>GÄVLEBORGS LÄN</t>
        </is>
      </c>
      <c r="G232" t="inlineStr">
        <is>
          <t>SÖDERHAMN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46224</v>
      </c>
      <c r="F233" t="inlineStr">
        <is>
          <t>GÄVLEBORGS LÄN</t>
        </is>
      </c>
      <c r="G233" t="inlineStr">
        <is>
          <t>SÖDERHAMN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46224</v>
      </c>
      <c r="F234" t="inlineStr">
        <is>
          <t>GÄVLEBORGS LÄN</t>
        </is>
      </c>
      <c r="G234" t="inlineStr">
        <is>
          <t>SÖDERHAMN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55711-2025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45972</v>
      </c>
      <c r="E235" s="1" t="n">
        <v>46224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55730-2025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45972</v>
      </c>
      <c r="E236" s="1" t="n">
        <v>46224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46024</v>
      </c>
      <c r="E237" s="1" t="n">
        <v>46224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46224</v>
      </c>
      <c r="F238" t="inlineStr">
        <is>
          <t>GÄVLEBORGS LÄN</t>
        </is>
      </c>
      <c r="G238" t="inlineStr">
        <is>
          <t>SÖDERHAMN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46024</v>
      </c>
      <c r="E239" s="1" t="n">
        <v>46224</v>
      </c>
      <c r="F239" t="inlineStr">
        <is>
          <t>GÄVLEBORGS LÄN</t>
        </is>
      </c>
      <c r="G239" t="inlineStr">
        <is>
          <t>SÖDERHAMN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46224</v>
      </c>
      <c r="F240" t="inlineStr">
        <is>
          <t>GÄVLEBORGS LÄN</t>
        </is>
      </c>
      <c r="G240" t="inlineStr">
        <is>
          <t>SÖDERHAMN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45975</v>
      </c>
      <c r="E241" s="1" t="n">
        <v>46224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71645-2021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44543</v>
      </c>
      <c r="E242" s="1" t="n">
        <v>46224</v>
      </c>
      <c r="F242" t="inlineStr">
        <is>
          <t>GÄVLEBORGS LÄN</t>
        </is>
      </c>
      <c r="G242" t="inlineStr">
        <is>
          <t>SÖDERHAMN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46224</v>
      </c>
      <c r="F243" t="inlineStr">
        <is>
          <t>GÄVLEBORGS LÄN</t>
        </is>
      </c>
      <c r="G243" t="inlineStr">
        <is>
          <t>SÖDERHAMN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41221-2022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44826</v>
      </c>
      <c r="E244" s="1" t="n">
        <v>46224</v>
      </c>
      <c r="F244" t="inlineStr">
        <is>
          <t>GÄVLEBORGS LÄN</t>
        </is>
      </c>
      <c r="G244" t="inlineStr">
        <is>
          <t>SÖDERHAMN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46224</v>
      </c>
      <c r="F245" t="inlineStr">
        <is>
          <t>GÄVLEBORGS LÄN</t>
        </is>
      </c>
      <c r="G245" t="inlineStr">
        <is>
          <t>SÖDERHAMN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46224</v>
      </c>
      <c r="F246" t="inlineStr">
        <is>
          <t>GÄVLEBORGS LÄN</t>
        </is>
      </c>
      <c r="G246" t="inlineStr">
        <is>
          <t>SÖDERHAMN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46224</v>
      </c>
      <c r="F247" t="inlineStr">
        <is>
          <t>GÄVLEBORGS LÄN</t>
        </is>
      </c>
      <c r="G247" t="inlineStr">
        <is>
          <t>SÖDERHAMN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46224</v>
      </c>
      <c r="F248" t="inlineStr">
        <is>
          <t>GÄVLEBORGS LÄN</t>
        </is>
      </c>
      <c r="G248" t="inlineStr">
        <is>
          <t>SÖDERHAMN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46224</v>
      </c>
      <c r="F249" t="inlineStr">
        <is>
          <t>GÄVLEBORGS LÄN</t>
        </is>
      </c>
      <c r="G249" t="inlineStr">
        <is>
          <t>SÖDERHAMN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53918-2025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45961</v>
      </c>
      <c r="E250" s="1" t="n">
        <v>46224</v>
      </c>
      <c r="F250" t="inlineStr">
        <is>
          <t>GÄVLEBORGS LÄN</t>
        </is>
      </c>
      <c r="G250" t="inlineStr">
        <is>
          <t>SÖDERHAMN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46224</v>
      </c>
      <c r="F251" t="inlineStr">
        <is>
          <t>GÄVLEBORGS LÄN</t>
        </is>
      </c>
      <c r="G251" t="inlineStr">
        <is>
          <t>SÖDERHAMN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46224</v>
      </c>
      <c r="F252" t="inlineStr">
        <is>
          <t>GÄVLEBORGS LÄN</t>
        </is>
      </c>
      <c r="G252" t="inlineStr">
        <is>
          <t>SÖDERHAMN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46224</v>
      </c>
      <c r="F253" t="inlineStr">
        <is>
          <t>GÄVLEBORGS LÄN</t>
        </is>
      </c>
      <c r="G253" t="inlineStr">
        <is>
          <t>SÖDERHAMN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46224</v>
      </c>
      <c r="F254" t="inlineStr">
        <is>
          <t>GÄVLEBORGS LÄN</t>
        </is>
      </c>
      <c r="G254" t="inlineStr">
        <is>
          <t>SÖDERHAMN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46224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46224</v>
      </c>
      <c r="F256" t="inlineStr">
        <is>
          <t>GÄVLEBORGS LÄN</t>
        </is>
      </c>
      <c r="G256" t="inlineStr">
        <is>
          <t>SÖDERHAMN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45982</v>
      </c>
      <c r="E257" s="1" t="n">
        <v>46224</v>
      </c>
      <c r="F257" t="inlineStr">
        <is>
          <t>GÄVLEBORGS LÄN</t>
        </is>
      </c>
      <c r="G257" t="inlineStr">
        <is>
          <t>SÖDERHAMN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46224</v>
      </c>
      <c r="F258" t="inlineStr">
        <is>
          <t>GÄVLEBORGS LÄN</t>
        </is>
      </c>
      <c r="G258" t="inlineStr">
        <is>
          <t>SÖDERHAMN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46224</v>
      </c>
      <c r="F259" t="inlineStr">
        <is>
          <t>GÄVLEBORGS LÄN</t>
        </is>
      </c>
      <c r="G259" t="inlineStr">
        <is>
          <t>SÖDERHAMN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30208-2022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44757</v>
      </c>
      <c r="E260" s="1" t="n">
        <v>46224</v>
      </c>
      <c r="F260" t="inlineStr">
        <is>
          <t>GÄVLEBORGS LÄN</t>
        </is>
      </c>
      <c r="G260" t="inlineStr">
        <is>
          <t>SÖDERHAMN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46224</v>
      </c>
      <c r="F261" t="inlineStr">
        <is>
          <t>GÄVLEBORGS LÄN</t>
        </is>
      </c>
      <c r="G261" t="inlineStr">
        <is>
          <t>SÖDERHAMN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46224</v>
      </c>
      <c r="F262" t="inlineStr">
        <is>
          <t>GÄVLEBORGS LÄN</t>
        </is>
      </c>
      <c r="G262" t="inlineStr">
        <is>
          <t>SÖDERHAMN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46224</v>
      </c>
      <c r="F263" t="inlineStr">
        <is>
          <t>GÄVLEBORGS LÄN</t>
        </is>
      </c>
      <c r="G263" t="inlineStr">
        <is>
          <t>SÖDERHAMN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6792-2024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45342</v>
      </c>
      <c r="E264" s="1" t="n">
        <v>46224</v>
      </c>
      <c r="F264" t="inlineStr">
        <is>
          <t>GÄVLEBORGS LÄN</t>
        </is>
      </c>
      <c r="G264" t="inlineStr">
        <is>
          <t>SÖDERHAMN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46224</v>
      </c>
      <c r="F265" t="inlineStr">
        <is>
          <t>GÄVLEBORGS LÄN</t>
        </is>
      </c>
      <c r="G265" t="inlineStr">
        <is>
          <t>SÖDERHAMN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48102-2022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44856</v>
      </c>
      <c r="E266" s="1" t="n">
        <v>46224</v>
      </c>
      <c r="F266" t="inlineStr">
        <is>
          <t>GÄVLEBORGS LÄN</t>
        </is>
      </c>
      <c r="G266" t="inlineStr">
        <is>
          <t>SÖDERHAMN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7559-2025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45705</v>
      </c>
      <c r="E267" s="1" t="n">
        <v>46224</v>
      </c>
      <c r="F267" t="inlineStr">
        <is>
          <t>GÄVLEBORGS LÄN</t>
        </is>
      </c>
      <c r="G267" t="inlineStr">
        <is>
          <t>SÖDERHAMN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46224</v>
      </c>
      <c r="F268" t="inlineStr">
        <is>
          <t>GÄVLEBORGS LÄN</t>
        </is>
      </c>
      <c r="G268" t="inlineStr">
        <is>
          <t>SÖDERHAMN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46224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46224</v>
      </c>
      <c r="F270" t="inlineStr">
        <is>
          <t>GÄVLEBORGS LÄN</t>
        </is>
      </c>
      <c r="G270" t="inlineStr">
        <is>
          <t>SÖDERHAMN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46224</v>
      </c>
      <c r="F271" t="inlineStr">
        <is>
          <t>GÄVLEBORGS LÄN</t>
        </is>
      </c>
      <c r="G271" t="inlineStr">
        <is>
          <t>SÖDERHAMN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46224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46224</v>
      </c>
      <c r="F273" t="inlineStr">
        <is>
          <t>GÄVLEBORGS LÄN</t>
        </is>
      </c>
      <c r="G273" t="inlineStr">
        <is>
          <t>SÖDERHAMN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46224</v>
      </c>
      <c r="F274" t="inlineStr">
        <is>
          <t>GÄVLEBORGS LÄN</t>
        </is>
      </c>
      <c r="G274" t="inlineStr">
        <is>
          <t>SÖDERHAMN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46224</v>
      </c>
      <c r="F275" t="inlineStr">
        <is>
          <t>GÄVLEBORGS LÄN</t>
        </is>
      </c>
      <c r="G275" t="inlineStr">
        <is>
          <t>SÖDERHAMN</t>
        </is>
      </c>
      <c r="I275" t="n">
        <v>14.1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46224</v>
      </c>
      <c r="F276" t="inlineStr">
        <is>
          <t>GÄVLEBORGS LÄN</t>
        </is>
      </c>
      <c r="G276" t="inlineStr">
        <is>
          <t>SÖDERHAMN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24933-2024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45461</v>
      </c>
      <c r="E277" s="1" t="n">
        <v>46224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46224</v>
      </c>
      <c r="F278" t="inlineStr">
        <is>
          <t>GÄVLEBORGS LÄN</t>
        </is>
      </c>
      <c r="G278" t="inlineStr">
        <is>
          <t>SÖDERHAMN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46224</v>
      </c>
      <c r="F279" t="inlineStr">
        <is>
          <t>GÄVLEBORGS LÄN</t>
        </is>
      </c>
      <c r="G279" t="inlineStr">
        <is>
          <t>SÖDERHAMN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46224</v>
      </c>
      <c r="F280" t="inlineStr">
        <is>
          <t>GÄVLEBORGS LÄN</t>
        </is>
      </c>
      <c r="G280" t="inlineStr">
        <is>
          <t>SÖDERHAMN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46224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61416-2025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46001</v>
      </c>
      <c r="E282" s="1" t="n">
        <v>46224</v>
      </c>
      <c r="F282" t="inlineStr">
        <is>
          <t>GÄVLEBORGS LÄN</t>
        </is>
      </c>
      <c r="G282" t="inlineStr">
        <is>
          <t>SÖDERHAMN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46224</v>
      </c>
      <c r="F283" t="inlineStr">
        <is>
          <t>GÄVLEBORGS LÄN</t>
        </is>
      </c>
      <c r="G283" t="inlineStr">
        <is>
          <t>SÖDERHAMN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46224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46224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46224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46224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46224</v>
      </c>
      <c r="F288" t="inlineStr">
        <is>
          <t>GÄVLEBORGS LÄN</t>
        </is>
      </c>
      <c r="G288" t="inlineStr">
        <is>
          <t>SÖDERHAMN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45296</v>
      </c>
      <c r="E289" s="1" t="n">
        <v>46224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46224</v>
      </c>
      <c r="F290" t="inlineStr">
        <is>
          <t>GÄVLEBORGS LÄN</t>
        </is>
      </c>
      <c r="G290" t="inlineStr">
        <is>
          <t>SÖDERHAMN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46224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46224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46224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44662</v>
      </c>
      <c r="E294" s="1" t="n">
        <v>46224</v>
      </c>
      <c r="F294" t="inlineStr">
        <is>
          <t>GÄVLEBORGS LÄN</t>
        </is>
      </c>
      <c r="G294" t="inlineStr">
        <is>
          <t>SÖDERHAMN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46224</v>
      </c>
      <c r="F295" t="inlineStr">
        <is>
          <t>GÄVLEBORGS LÄN</t>
        </is>
      </c>
      <c r="G295" t="inlineStr">
        <is>
          <t>SÖDERHAMN</t>
        </is>
      </c>
      <c r="I295" t="n">
        <v>11.2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45183</v>
      </c>
      <c r="E296" s="1" t="n">
        <v>46224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46224</v>
      </c>
      <c r="F297" t="inlineStr">
        <is>
          <t>GÄVLEBORGS LÄN</t>
        </is>
      </c>
      <c r="G297" t="inlineStr">
        <is>
          <t>SÖDERHAMN</t>
        </is>
      </c>
      <c r="I297" t="n">
        <v>14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46224</v>
      </c>
      <c r="F298" t="inlineStr">
        <is>
          <t>GÄVLEBORGS LÄN</t>
        </is>
      </c>
      <c r="G298" t="inlineStr">
        <is>
          <t>SÖDERHAMN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46052</v>
      </c>
      <c r="E299" s="1" t="n">
        <v>46224</v>
      </c>
      <c r="F299" t="inlineStr">
        <is>
          <t>GÄVLEBORGS LÄN</t>
        </is>
      </c>
      <c r="G299" t="inlineStr">
        <is>
          <t>SÖDERHAMN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46224</v>
      </c>
      <c r="F300" t="inlineStr">
        <is>
          <t>GÄVLEBORGS LÄN</t>
        </is>
      </c>
      <c r="G300" t="inlineStr">
        <is>
          <t>SÖDERHAMN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46224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46224</v>
      </c>
      <c r="F302" t="inlineStr">
        <is>
          <t>GÄVLEBORGS LÄN</t>
        </is>
      </c>
      <c r="G302" t="inlineStr">
        <is>
          <t>SÖDERHAMN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46224</v>
      </c>
      <c r="F303" t="inlineStr">
        <is>
          <t>GÄVLEBORGS LÄN</t>
        </is>
      </c>
      <c r="G303" t="inlineStr">
        <is>
          <t>SÖDERHAMN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46224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46224</v>
      </c>
      <c r="F305" t="inlineStr">
        <is>
          <t>GÄVLEBORGS LÄN</t>
        </is>
      </c>
      <c r="G305" t="inlineStr">
        <is>
          <t>SÖDERHAMN</t>
        </is>
      </c>
      <c r="H305" t="inlineStr">
        <is>
          <t>Övriga statliga verk och myndigheter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46224</v>
      </c>
      <c r="F306" t="inlineStr">
        <is>
          <t>GÄVLEBORGS LÄN</t>
        </is>
      </c>
      <c r="G306" t="inlineStr">
        <is>
          <t>SÖDERHAMN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46224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46224</v>
      </c>
      <c r="F308" t="inlineStr">
        <is>
          <t>GÄVLEBORGS LÄN</t>
        </is>
      </c>
      <c r="G308" t="inlineStr">
        <is>
          <t>SÖDERHAMN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46224</v>
      </c>
      <c r="F309" t="inlineStr">
        <is>
          <t>GÄVLEBORGS LÄN</t>
        </is>
      </c>
      <c r="G309" t="inlineStr">
        <is>
          <t>SÖDERHAMN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46224</v>
      </c>
      <c r="F310" t="inlineStr">
        <is>
          <t>GÄVLEBORGS LÄN</t>
        </is>
      </c>
      <c r="G310" t="inlineStr">
        <is>
          <t>SÖDERHAMN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46224</v>
      </c>
      <c r="F311" t="inlineStr">
        <is>
          <t>GÄVLEBORGS LÄN</t>
        </is>
      </c>
      <c r="G311" t="inlineStr">
        <is>
          <t>SÖDERHAMN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46224</v>
      </c>
      <c r="F312" t="inlineStr">
        <is>
          <t>GÄVLEBORGS LÄN</t>
        </is>
      </c>
      <c r="G312" t="inlineStr">
        <is>
          <t>SÖDERHAMN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46224</v>
      </c>
      <c r="F313" t="inlineStr">
        <is>
          <t>GÄVLEBORGS LÄN</t>
        </is>
      </c>
      <c r="G313" t="inlineStr">
        <is>
          <t>SÖDERHAMN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46063</v>
      </c>
      <c r="E314" s="1" t="n">
        <v>46224</v>
      </c>
      <c r="F314" t="inlineStr">
        <is>
          <t>GÄVLEBORGS LÄN</t>
        </is>
      </c>
      <c r="G314" t="inlineStr">
        <is>
          <t>SÖDERHAMN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46224</v>
      </c>
      <c r="F315" t="inlineStr">
        <is>
          <t>GÄVLEBORGS LÄN</t>
        </is>
      </c>
      <c r="G315" t="inlineStr">
        <is>
          <t>SÖDERHAMN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46224</v>
      </c>
      <c r="F316" t="inlineStr">
        <is>
          <t>GÄVLEBORGS LÄN</t>
        </is>
      </c>
      <c r="G316" t="inlineStr">
        <is>
          <t>SÖDERHAMN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45254</v>
      </c>
      <c r="E317" s="1" t="n">
        <v>46224</v>
      </c>
      <c r="F317" t="inlineStr">
        <is>
          <t>GÄVLEBORGS LÄN</t>
        </is>
      </c>
      <c r="G317" t="inlineStr">
        <is>
          <t>SÖDERHAMN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44837</v>
      </c>
      <c r="E318" s="1" t="n">
        <v>46224</v>
      </c>
      <c r="F318" t="inlineStr">
        <is>
          <t>GÄVLEBORGS LÄN</t>
        </is>
      </c>
      <c r="G318" t="inlineStr">
        <is>
          <t>SÖDERHAMN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46224</v>
      </c>
      <c r="F319" t="inlineStr">
        <is>
          <t>GÄVLEBORGS LÄN</t>
        </is>
      </c>
      <c r="G319" t="inlineStr">
        <is>
          <t>SÖDERHAMN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46224</v>
      </c>
      <c r="F320" t="inlineStr">
        <is>
          <t>GÄVLEBORGS LÄN</t>
        </is>
      </c>
      <c r="G320" t="inlineStr">
        <is>
          <t>SÖDERHAMN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46224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46224</v>
      </c>
      <c r="F322" t="inlineStr">
        <is>
          <t>GÄVLEBORGS LÄN</t>
        </is>
      </c>
      <c r="G322" t="inlineStr">
        <is>
          <t>SÖDERHAMN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46224</v>
      </c>
      <c r="F323" t="inlineStr">
        <is>
          <t>GÄVLEBORGS LÄN</t>
        </is>
      </c>
      <c r="G323" t="inlineStr">
        <is>
          <t>SÖDERHAMN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46224</v>
      </c>
      <c r="F324" t="inlineStr">
        <is>
          <t>GÄVLEBORGS LÄN</t>
        </is>
      </c>
      <c r="G324" t="inlineStr">
        <is>
          <t>SÖDERHAMN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46224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46224</v>
      </c>
      <c r="F326" t="inlineStr">
        <is>
          <t>GÄVLEBORGS LÄN</t>
        </is>
      </c>
      <c r="G326" t="inlineStr">
        <is>
          <t>SÖDERHAMN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46224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46224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46070</v>
      </c>
      <c r="E329" s="1" t="n">
        <v>46224</v>
      </c>
      <c r="F329" t="inlineStr">
        <is>
          <t>GÄVLEBORGS LÄN</t>
        </is>
      </c>
      <c r="G329" t="inlineStr">
        <is>
          <t>SÖDERHAMN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45677</v>
      </c>
      <c r="E330" s="1" t="n">
        <v>46224</v>
      </c>
      <c r="F330" t="inlineStr">
        <is>
          <t>GÄVLEBORGS LÄN</t>
        </is>
      </c>
      <c r="G330" t="inlineStr">
        <is>
          <t>SÖDERHAMN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46224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46077</v>
      </c>
      <c r="E332" s="1" t="n">
        <v>46224</v>
      </c>
      <c r="F332" t="inlineStr">
        <is>
          <t>GÄVLEBORGS LÄN</t>
        </is>
      </c>
      <c r="G332" t="inlineStr">
        <is>
          <t>SÖDERHAMN</t>
        </is>
      </c>
      <c r="H332" t="inlineStr">
        <is>
          <t>Kyrkan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46224</v>
      </c>
      <c r="F333" t="inlineStr">
        <is>
          <t>GÄVLEBORGS LÄN</t>
        </is>
      </c>
      <c r="G333" t="inlineStr">
        <is>
          <t>SÖDERHAMN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45545</v>
      </c>
      <c r="E334" s="1" t="n">
        <v>46224</v>
      </c>
      <c r="F334" t="inlineStr">
        <is>
          <t>GÄVLEBORGS LÄN</t>
        </is>
      </c>
      <c r="G334" t="inlineStr">
        <is>
          <t>SÖDERHAMN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46224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46224</v>
      </c>
      <c r="F336" t="inlineStr">
        <is>
          <t>GÄVLEBORGS LÄN</t>
        </is>
      </c>
      <c r="G336" t="inlineStr">
        <is>
          <t>SÖDERHAMN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46224</v>
      </c>
      <c r="F337" t="inlineStr">
        <is>
          <t>GÄVLEBORGS LÄN</t>
        </is>
      </c>
      <c r="G337" t="inlineStr">
        <is>
          <t>SÖDERHAMN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46224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46224</v>
      </c>
      <c r="F339" t="inlineStr">
        <is>
          <t>GÄVLEBORGS LÄN</t>
        </is>
      </c>
      <c r="G339" t="inlineStr">
        <is>
          <t>SÖDERHAMN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46224</v>
      </c>
      <c r="F340" t="inlineStr">
        <is>
          <t>GÄVLEBORGS LÄN</t>
        </is>
      </c>
      <c r="G340" t="inlineStr">
        <is>
          <t>SÖDERHAMN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46079</v>
      </c>
      <c r="E341" s="1" t="n">
        <v>46224</v>
      </c>
      <c r="F341" t="inlineStr">
        <is>
          <t>GÄVLEBORGS LÄN</t>
        </is>
      </c>
      <c r="G341" t="inlineStr">
        <is>
          <t>SÖDERHAMN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46224</v>
      </c>
      <c r="F342" t="inlineStr">
        <is>
          <t>GÄVLEBORGS LÄN</t>
        </is>
      </c>
      <c r="G342" t="inlineStr">
        <is>
          <t>SÖDERHAMN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46224</v>
      </c>
      <c r="F343" t="inlineStr">
        <is>
          <t>GÄVLEBORGS LÄN</t>
        </is>
      </c>
      <c r="G343" t="inlineStr">
        <is>
          <t>SÖDERHAMN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46224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46224</v>
      </c>
      <c r="F345" t="inlineStr">
        <is>
          <t>GÄVLEBORGS LÄN</t>
        </is>
      </c>
      <c r="G345" t="inlineStr">
        <is>
          <t>SÖDERHAMN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46224</v>
      </c>
      <c r="F346" t="inlineStr">
        <is>
          <t>GÄVLEBORGS LÄN</t>
        </is>
      </c>
      <c r="G346" t="inlineStr">
        <is>
          <t>SÖDERHAMN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46224</v>
      </c>
      <c r="F347" t="inlineStr">
        <is>
          <t>GÄVLEBORGS LÄN</t>
        </is>
      </c>
      <c r="G347" t="inlineStr">
        <is>
          <t>SÖDERHAMN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46224</v>
      </c>
      <c r="F348" t="inlineStr">
        <is>
          <t>GÄVLEBORGS LÄN</t>
        </is>
      </c>
      <c r="G348" t="inlineStr">
        <is>
          <t>SÖDERHAMN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46224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46224</v>
      </c>
      <c r="F350" t="inlineStr">
        <is>
          <t>GÄVLEBORGS LÄN</t>
        </is>
      </c>
      <c r="G350" t="inlineStr">
        <is>
          <t>SÖDERHAMN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46224</v>
      </c>
      <c r="F351" t="inlineStr">
        <is>
          <t>GÄVLEBORGS LÄN</t>
        </is>
      </c>
      <c r="G351" t="inlineStr">
        <is>
          <t>SÖDERHAMN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45761</v>
      </c>
      <c r="E352" s="1" t="n">
        <v>46224</v>
      </c>
      <c r="F352" t="inlineStr">
        <is>
          <t>GÄVLEBORGS LÄN</t>
        </is>
      </c>
      <c r="G352" t="inlineStr">
        <is>
          <t>SÖDERHAMN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46224</v>
      </c>
      <c r="F353" t="inlineStr">
        <is>
          <t>GÄVLEBORGS LÄN</t>
        </is>
      </c>
      <c r="G353" t="inlineStr">
        <is>
          <t>SÖDERHAMN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46224</v>
      </c>
      <c r="F354" t="inlineStr">
        <is>
          <t>GÄVLEBORGS LÄN</t>
        </is>
      </c>
      <c r="G354" t="inlineStr">
        <is>
          <t>SÖDERHAMN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45754</v>
      </c>
      <c r="E355" s="1" t="n">
        <v>46224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45748</v>
      </c>
      <c r="E356" s="1" t="n">
        <v>46224</v>
      </c>
      <c r="F356" t="inlineStr">
        <is>
          <t>GÄVLEBORGS LÄN</t>
        </is>
      </c>
      <c r="G356" t="inlineStr">
        <is>
          <t>SÖDERHAMN</t>
        </is>
      </c>
      <c r="H356" t="inlineStr">
        <is>
          <t>Kommuner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46224</v>
      </c>
      <c r="F357" t="inlineStr">
        <is>
          <t>GÄVLEBORGS LÄN</t>
        </is>
      </c>
      <c r="G357" t="inlineStr">
        <is>
          <t>SÖDERHAMN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34752-2024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45526</v>
      </c>
      <c r="E358" s="1" t="n">
        <v>46224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45597</v>
      </c>
      <c r="E359" s="1" t="n">
        <v>46224</v>
      </c>
      <c r="F359" t="inlineStr">
        <is>
          <t>GÄVLEBORGS LÄN</t>
        </is>
      </c>
      <c r="G359" t="inlineStr">
        <is>
          <t>SÖDERHAMN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46098</v>
      </c>
      <c r="E360" s="1" t="n">
        <v>46224</v>
      </c>
      <c r="F360" t="inlineStr">
        <is>
          <t>GÄVLEBORGS LÄN</t>
        </is>
      </c>
      <c r="G360" t="inlineStr">
        <is>
          <t>SÖDERHAMN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46224</v>
      </c>
      <c r="F361" t="inlineStr">
        <is>
          <t>GÄVLEBORGS LÄN</t>
        </is>
      </c>
      <c r="G361" t="inlineStr">
        <is>
          <t>SÖDERHAMN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46224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46224</v>
      </c>
      <c r="F363" t="inlineStr">
        <is>
          <t>GÄVLEBORGS LÄN</t>
        </is>
      </c>
      <c r="G363" t="inlineStr">
        <is>
          <t>SÖDERHAMN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46224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46224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46224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46224</v>
      </c>
      <c r="F367" t="inlineStr">
        <is>
          <t>GÄVLEBORGS LÄN</t>
        </is>
      </c>
      <c r="G367" t="inlineStr">
        <is>
          <t>SÖDERHAMN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45600</v>
      </c>
      <c r="E368" s="1" t="n">
        <v>46224</v>
      </c>
      <c r="F368" t="inlineStr">
        <is>
          <t>GÄVLEBORGS LÄN</t>
        </is>
      </c>
      <c r="G368" t="inlineStr">
        <is>
          <t>SÖDERHAMN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46224</v>
      </c>
      <c r="F369" t="inlineStr">
        <is>
          <t>GÄVLEBORGS LÄN</t>
        </is>
      </c>
      <c r="G369" t="inlineStr">
        <is>
          <t>SÖDERHAMN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39208-2024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46224</v>
      </c>
      <c r="F370" t="inlineStr">
        <is>
          <t>GÄVLEBORGS LÄN</t>
        </is>
      </c>
      <c r="G370" t="inlineStr">
        <is>
          <t>SÖDERHAMN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45062</v>
      </c>
      <c r="E371" s="1" t="n">
        <v>46224</v>
      </c>
      <c r="F371" t="inlineStr">
        <is>
          <t>GÄVLEBORGS LÄN</t>
        </is>
      </c>
      <c r="G371" t="inlineStr">
        <is>
          <t>SÖDERHAMN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40745-2023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45170</v>
      </c>
      <c r="E372" s="1" t="n">
        <v>46224</v>
      </c>
      <c r="F372" t="inlineStr">
        <is>
          <t>GÄVLEBORGS LÄN</t>
        </is>
      </c>
      <c r="G372" t="inlineStr">
        <is>
          <t>SÖDERHAMN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46224</v>
      </c>
      <c r="F373" t="inlineStr">
        <is>
          <t>GÄVLEBORGS LÄN</t>
        </is>
      </c>
      <c r="G373" t="inlineStr">
        <is>
          <t>SÖDERHAMN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45394</v>
      </c>
      <c r="E374" s="1" t="n">
        <v>46224</v>
      </c>
      <c r="F374" t="inlineStr">
        <is>
          <t>GÄVLEBORGS LÄN</t>
        </is>
      </c>
      <c r="G374" t="inlineStr">
        <is>
          <t>SÖDERHAMN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4557-2024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45327</v>
      </c>
      <c r="E375" s="1" t="n">
        <v>46224</v>
      </c>
      <c r="F375" t="inlineStr">
        <is>
          <t>GÄVLEBORGS LÄN</t>
        </is>
      </c>
      <c r="G375" t="inlineStr">
        <is>
          <t>SÖDERHAMN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46224</v>
      </c>
      <c r="F376" t="inlineStr">
        <is>
          <t>GÄVLEBORGS LÄN</t>
        </is>
      </c>
      <c r="G376" t="inlineStr">
        <is>
          <t>SÖDERHAMN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45757</v>
      </c>
      <c r="E377" s="1" t="n">
        <v>46224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45750</v>
      </c>
      <c r="E378" s="1" t="n">
        <v>46224</v>
      </c>
      <c r="F378" t="inlineStr">
        <is>
          <t>GÄVLEBORGS LÄN</t>
        </is>
      </c>
      <c r="G378" t="inlineStr">
        <is>
          <t>SÖDERHAMN</t>
        </is>
      </c>
      <c r="H378" t="inlineStr">
        <is>
          <t>Kommuner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46224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46224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46224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46224</v>
      </c>
      <c r="F382" t="inlineStr">
        <is>
          <t>GÄVLEBORGS LÄN</t>
        </is>
      </c>
      <c r="G382" t="inlineStr">
        <is>
          <t>SÖDERHAMN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46224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46224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46224</v>
      </c>
      <c r="F385" t="inlineStr">
        <is>
          <t>GÄVLEBORGS LÄN</t>
        </is>
      </c>
      <c r="G385" t="inlineStr">
        <is>
          <t>SÖDERHAMN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46117</v>
      </c>
      <c r="E386" s="1" t="n">
        <v>46224</v>
      </c>
      <c r="F386" t="inlineStr">
        <is>
          <t>GÄVLEBORGS LÄN</t>
        </is>
      </c>
      <c r="G386" t="inlineStr">
        <is>
          <t>SÖDERHAMN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46117</v>
      </c>
      <c r="E387" s="1" t="n">
        <v>46224</v>
      </c>
      <c r="F387" t="inlineStr">
        <is>
          <t>GÄVLEBORGS LÄN</t>
        </is>
      </c>
      <c r="G387" t="inlineStr">
        <is>
          <t>SÖDERHAMN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46117</v>
      </c>
      <c r="E388" s="1" t="n">
        <v>46224</v>
      </c>
      <c r="F388" t="inlineStr">
        <is>
          <t>GÄVLEBORGS LÄN</t>
        </is>
      </c>
      <c r="G388" t="inlineStr">
        <is>
          <t>SÖDERHAMN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17191-2026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46117</v>
      </c>
      <c r="E389" s="1" t="n">
        <v>46224</v>
      </c>
      <c r="F389" t="inlineStr">
        <is>
          <t>GÄVLEBORGS LÄN</t>
        </is>
      </c>
      <c r="G389" t="inlineStr">
        <is>
          <t>SÖDERHAMN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45461</v>
      </c>
      <c r="E390" s="1" t="n">
        <v>46224</v>
      </c>
      <c r="F390" t="inlineStr">
        <is>
          <t>GÄVLEBORGS LÄN</t>
        </is>
      </c>
      <c r="G390" t="inlineStr">
        <is>
          <t>SÖDERHAMN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46224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45527</v>
      </c>
      <c r="E392" s="1" t="n">
        <v>46224</v>
      </c>
      <c r="F392" t="inlineStr">
        <is>
          <t>GÄVLEBORGS LÄN</t>
        </is>
      </c>
      <c r="G392" t="inlineStr">
        <is>
          <t>SÖDERHAMN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14128-2022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44651</v>
      </c>
      <c r="E393" s="1" t="n">
        <v>46224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45028</v>
      </c>
      <c r="E394" s="1" t="n">
        <v>46224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63431-2021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44508</v>
      </c>
      <c r="E395" s="1" t="n">
        <v>46224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39916-2021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44417</v>
      </c>
      <c r="E396" s="1" t="n">
        <v>46224</v>
      </c>
      <c r="F396" t="inlineStr">
        <is>
          <t>GÄVLEBORGS LÄN</t>
        </is>
      </c>
      <c r="G396" t="inlineStr">
        <is>
          <t>SÖDERHAMN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13805-2022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44649</v>
      </c>
      <c r="E397" s="1" t="n">
        <v>46224</v>
      </c>
      <c r="F397" t="inlineStr">
        <is>
          <t>GÄVLEBORGS LÄN</t>
        </is>
      </c>
      <c r="G397" t="inlineStr">
        <is>
          <t>SÖDERHAMN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46224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46224</v>
      </c>
      <c r="F399" t="inlineStr">
        <is>
          <t>GÄVLEBORGS LÄN</t>
        </is>
      </c>
      <c r="G399" t="inlineStr">
        <is>
          <t>SÖDERHAMN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46224</v>
      </c>
      <c r="F400" t="inlineStr">
        <is>
          <t>GÄVLEBORGS LÄN</t>
        </is>
      </c>
      <c r="G400" t="inlineStr">
        <is>
          <t>SÖDERHAMN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45398</v>
      </c>
      <c r="E401" s="1" t="n">
        <v>46224</v>
      </c>
      <c r="F401" t="inlineStr">
        <is>
          <t>GÄVLEBORGS LÄN</t>
        </is>
      </c>
      <c r="G401" t="inlineStr">
        <is>
          <t>SÖDERHAMN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44490</v>
      </c>
      <c r="E402" s="1" t="n">
        <v>46224</v>
      </c>
      <c r="F402" t="inlineStr">
        <is>
          <t>GÄVLEBORGS LÄN</t>
        </is>
      </c>
      <c r="G402" t="inlineStr">
        <is>
          <t>SÖDERHAMN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46224</v>
      </c>
      <c r="F403" t="inlineStr">
        <is>
          <t>GÄVLEBORGS LÄN</t>
        </is>
      </c>
      <c r="G403" t="inlineStr">
        <is>
          <t>SÖDERHAMN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46224</v>
      </c>
      <c r="F404" t="inlineStr">
        <is>
          <t>GÄVLEBORGS LÄN</t>
        </is>
      </c>
      <c r="G404" t="inlineStr">
        <is>
          <t>SÖDERHAMN</t>
        </is>
      </c>
      <c r="H404" t="inlineStr">
        <is>
          <t>Bergvik skog väst AB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46224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46224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56933-2024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45628</v>
      </c>
      <c r="E407" s="1" t="n">
        <v>46224</v>
      </c>
      <c r="F407" t="inlineStr">
        <is>
          <t>GÄVLEBORGS LÄN</t>
        </is>
      </c>
      <c r="G407" t="inlineStr">
        <is>
          <t>SÖDERHAMN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19109-2026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46224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46224</v>
      </c>
      <c r="F409" t="inlineStr">
        <is>
          <t>GÄVLEBORGS LÄN</t>
        </is>
      </c>
      <c r="G409" t="inlineStr">
        <is>
          <t>SÖDERHAMN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46224</v>
      </c>
      <c r="F410" t="inlineStr">
        <is>
          <t>GÄVLEBORGS LÄN</t>
        </is>
      </c>
      <c r="G410" t="inlineStr">
        <is>
          <t>SÖDERHAMN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46224</v>
      </c>
      <c r="F411" t="inlineStr">
        <is>
          <t>GÄVLEBORGS LÄN</t>
        </is>
      </c>
      <c r="G411" t="inlineStr">
        <is>
          <t>SÖDERHAMN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45602</v>
      </c>
      <c r="E412" s="1" t="n">
        <v>46224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46224</v>
      </c>
      <c r="F413" t="inlineStr">
        <is>
          <t>GÄVLEBORGS LÄN</t>
        </is>
      </c>
      <c r="G413" t="inlineStr">
        <is>
          <t>SÖDERHAMN</t>
        </is>
      </c>
      <c r="H413" t="inlineStr">
        <is>
          <t>Övriga statliga verk och myndigheter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46224</v>
      </c>
      <c r="F414" t="inlineStr">
        <is>
          <t>GÄVLEBORGS LÄN</t>
        </is>
      </c>
      <c r="G414" t="inlineStr">
        <is>
          <t>SÖDERHAMN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46224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46224</v>
      </c>
      <c r="F416" t="inlineStr">
        <is>
          <t>GÄVLEBORGS LÄN</t>
        </is>
      </c>
      <c r="G416" t="inlineStr">
        <is>
          <t>SÖDERHAMN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46224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46224</v>
      </c>
      <c r="F418" t="inlineStr">
        <is>
          <t>GÄVLEBORGS LÄN</t>
        </is>
      </c>
      <c r="G418" t="inlineStr">
        <is>
          <t>SÖDERHAMN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46224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46224</v>
      </c>
      <c r="F420" t="inlineStr">
        <is>
          <t>GÄVLEBORGS LÄN</t>
        </is>
      </c>
      <c r="G420" t="inlineStr">
        <is>
          <t>SÖDERHAMN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46224</v>
      </c>
      <c r="F421" t="inlineStr">
        <is>
          <t>GÄVLEBORGS LÄN</t>
        </is>
      </c>
      <c r="G421" t="inlineStr">
        <is>
          <t>SÖDERHAMN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46224</v>
      </c>
      <c r="F422" t="inlineStr">
        <is>
          <t>GÄVLEBORGS LÄN</t>
        </is>
      </c>
      <c r="G422" t="inlineStr">
        <is>
          <t>SÖDERHAMN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46224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46087</v>
      </c>
      <c r="E424" s="1" t="n">
        <v>46224</v>
      </c>
      <c r="F424" t="inlineStr">
        <is>
          <t>GÄVLEBORGS LÄN</t>
        </is>
      </c>
      <c r="G424" t="inlineStr">
        <is>
          <t>SÖDERHAMN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46224</v>
      </c>
      <c r="F425" t="inlineStr">
        <is>
          <t>GÄVLEBORGS LÄN</t>
        </is>
      </c>
      <c r="G425" t="inlineStr">
        <is>
          <t>SÖDERHAMN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46224</v>
      </c>
      <c r="F426" t="inlineStr">
        <is>
          <t>GÄVLEBORGS LÄN</t>
        </is>
      </c>
      <c r="G426" t="inlineStr">
        <is>
          <t>SÖDERHAMN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46224</v>
      </c>
      <c r="F427" t="inlineStr">
        <is>
          <t>GÄVLEBORGS LÄN</t>
        </is>
      </c>
      <c r="G427" t="inlineStr">
        <is>
          <t>SÖDERHAMN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47288-2023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46224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46224</v>
      </c>
      <c r="F429" t="inlineStr">
        <is>
          <t>GÄVLEBORGS LÄN</t>
        </is>
      </c>
      <c r="G429" t="inlineStr">
        <is>
          <t>SÖDERHAMN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45597</v>
      </c>
      <c r="E430" s="1" t="n">
        <v>46224</v>
      </c>
      <c r="F430" t="inlineStr">
        <is>
          <t>GÄVLEBORGS LÄN</t>
        </is>
      </c>
      <c r="G430" t="inlineStr">
        <is>
          <t>SÖDERHAMN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51553-2024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46224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20312-2025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46224</v>
      </c>
      <c r="F432" t="inlineStr">
        <is>
          <t>GÄVLEBORGS LÄN</t>
        </is>
      </c>
      <c r="G432" t="inlineStr">
        <is>
          <t>SÖDERHAMN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45764</v>
      </c>
      <c r="E433" s="1" t="n">
        <v>46224</v>
      </c>
      <c r="F433" t="inlineStr">
        <is>
          <t>GÄVLEBORGS LÄN</t>
        </is>
      </c>
      <c r="G433" t="inlineStr">
        <is>
          <t>SÖDERHAMN</t>
        </is>
      </c>
      <c r="H433" t="inlineStr">
        <is>
          <t>Kommuner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45467</v>
      </c>
      <c r="E434" s="1" t="n">
        <v>46224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16106-2023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45027</v>
      </c>
      <c r="E435" s="1" t="n">
        <v>46224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46224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45791</v>
      </c>
      <c r="E437" s="1" t="n">
        <v>46224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46224</v>
      </c>
      <c r="F438" t="inlineStr">
        <is>
          <t>GÄVLEBORGS LÄN</t>
        </is>
      </c>
      <c r="G438" t="inlineStr">
        <is>
          <t>SÖDERHAMN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49306-2023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46224</v>
      </c>
      <c r="F439" t="inlineStr">
        <is>
          <t>GÄVLEBORGS LÄN</t>
        </is>
      </c>
      <c r="G439" t="inlineStr">
        <is>
          <t>SÖDERHAMN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46224</v>
      </c>
      <c r="F440" t="inlineStr">
        <is>
          <t>GÄVLEBORGS LÄN</t>
        </is>
      </c>
      <c r="G440" t="inlineStr">
        <is>
          <t>SÖDERHAMN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44681-2024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46224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55383-2025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46224</v>
      </c>
      <c r="F442" t="inlineStr">
        <is>
          <t>GÄVLEBORGS LÄN</t>
        </is>
      </c>
      <c r="G442" t="inlineStr">
        <is>
          <t>SÖDERHAMN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46224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46224</v>
      </c>
      <c r="F444" t="inlineStr">
        <is>
          <t>GÄVLEBORGS LÄN</t>
        </is>
      </c>
      <c r="G444" t="inlineStr">
        <is>
          <t>SÖDERHAMN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46224</v>
      </c>
      <c r="F445" t="inlineStr">
        <is>
          <t>GÄVLEBORGS LÄN</t>
        </is>
      </c>
      <c r="G445" t="inlineStr">
        <is>
          <t>SÖDERHAMN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46224</v>
      </c>
      <c r="F446" t="inlineStr">
        <is>
          <t>GÄVLEBORGS LÄN</t>
        </is>
      </c>
      <c r="G446" t="inlineStr">
        <is>
          <t>SÖDERHAMN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45056</v>
      </c>
      <c r="E447" s="1" t="n">
        <v>46224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55240-2024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45621</v>
      </c>
      <c r="E448" s="1" t="n">
        <v>46224</v>
      </c>
      <c r="F448" t="inlineStr">
        <is>
          <t>GÄVLEBORGS LÄN</t>
        </is>
      </c>
      <c r="G448" t="inlineStr">
        <is>
          <t>SÖDERHAMN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27862-2023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46224</v>
      </c>
      <c r="F449" t="inlineStr">
        <is>
          <t>GÄVLEBORGS LÄN</t>
        </is>
      </c>
      <c r="G449" t="inlineStr">
        <is>
          <t>SÖDERHAMN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46224</v>
      </c>
      <c r="F450" t="inlineStr">
        <is>
          <t>GÄVLEBORGS LÄN</t>
        </is>
      </c>
      <c r="G450" t="inlineStr">
        <is>
          <t>SÖDERHAMN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44963</v>
      </c>
      <c r="E451" s="1" t="n">
        <v>46224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45567</v>
      </c>
      <c r="E452" s="1" t="n">
        <v>46224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46224</v>
      </c>
      <c r="F453" t="inlineStr">
        <is>
          <t>GÄVLEBORGS LÄN</t>
        </is>
      </c>
      <c r="G453" t="inlineStr">
        <is>
          <t>SÖDERHAMN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45750</v>
      </c>
      <c r="E454" s="1" t="n">
        <v>46224</v>
      </c>
      <c r="F454" t="inlineStr">
        <is>
          <t>GÄVLEBORGS LÄN</t>
        </is>
      </c>
      <c r="G454" t="inlineStr">
        <is>
          <t>SÖDERHAMN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45750</v>
      </c>
      <c r="E455" s="1" t="n">
        <v>46224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Kommuner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44957</v>
      </c>
      <c r="E456" s="1" t="n">
        <v>46224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46224</v>
      </c>
      <c r="F457" t="inlineStr">
        <is>
          <t>GÄVLEBORGS LÄN</t>
        </is>
      </c>
      <c r="G457" t="inlineStr">
        <is>
          <t>SÖDERHAMN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45251</v>
      </c>
      <c r="E458" s="1" t="n">
        <v>46224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45817</v>
      </c>
      <c r="E459" s="1" t="n">
        <v>46224</v>
      </c>
      <c r="F459" t="inlineStr">
        <is>
          <t>GÄVLEBORGS LÄN</t>
        </is>
      </c>
      <c r="G459" t="inlineStr">
        <is>
          <t>SÖDERHAMN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45558</v>
      </c>
      <c r="E460" s="1" t="n">
        <v>46224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53583-2025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45960</v>
      </c>
      <c r="E461" s="1" t="n">
        <v>46224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8663-2026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46224</v>
      </c>
      <c r="F462" t="inlineStr">
        <is>
          <t>GÄVLEBORGS LÄN</t>
        </is>
      </c>
      <c r="G462" t="inlineStr">
        <is>
          <t>SÖDERHAMN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46224</v>
      </c>
      <c r="F463" t="inlineStr">
        <is>
          <t>GÄVLEBORGS LÄN</t>
        </is>
      </c>
      <c r="G463" t="inlineStr">
        <is>
          <t>SÖDERHAMN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72644-2021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44546</v>
      </c>
      <c r="E464" s="1" t="n">
        <v>46224</v>
      </c>
      <c r="F464" t="inlineStr">
        <is>
          <t>GÄVLEBORGS LÄN</t>
        </is>
      </c>
      <c r="G464" t="inlineStr">
        <is>
          <t>SÖDERHAMN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46224</v>
      </c>
      <c r="F465" t="inlineStr">
        <is>
          <t>GÄVLEBORGS LÄN</t>
        </is>
      </c>
      <c r="G465" t="inlineStr">
        <is>
          <t>SÖDERHAMN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46024</v>
      </c>
      <c r="E466" s="1" t="n">
        <v>46224</v>
      </c>
      <c r="F466" t="inlineStr">
        <is>
          <t>GÄVLEBORGS LÄN</t>
        </is>
      </c>
      <c r="G466" t="inlineStr">
        <is>
          <t>SÖDERHAMN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13661-2026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46097</v>
      </c>
      <c r="E467" s="1" t="n">
        <v>46224</v>
      </c>
      <c r="F467" t="inlineStr">
        <is>
          <t>GÄVLEBORGS LÄN</t>
        </is>
      </c>
      <c r="G467" t="inlineStr">
        <is>
          <t>SÖDERHAMN</t>
        </is>
      </c>
      <c r="I467" t="n">
        <v>14.2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58141-2024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46224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46224</v>
      </c>
      <c r="F469" t="inlineStr">
        <is>
          <t>GÄVLEBORGS LÄN</t>
        </is>
      </c>
      <c r="G469" t="inlineStr">
        <is>
          <t>SÖDERHAMN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46224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45113</v>
      </c>
      <c r="E471" s="1" t="n">
        <v>46224</v>
      </c>
      <c r="F471" t="inlineStr">
        <is>
          <t>GÄVLEBORGS LÄN</t>
        </is>
      </c>
      <c r="G471" t="inlineStr">
        <is>
          <t>SÖDERHAMN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26042-2026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46177</v>
      </c>
      <c r="E472" s="1" t="n">
        <v>46224</v>
      </c>
      <c r="F472" t="inlineStr">
        <is>
          <t>GÄVLEBORGS LÄN</t>
        </is>
      </c>
      <c r="G472" t="inlineStr">
        <is>
          <t>SÖDERHAMN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15975-2026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46224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46043</v>
      </c>
      <c r="E474" s="1" t="n">
        <v>46224</v>
      </c>
      <c r="F474" t="inlineStr">
        <is>
          <t>GÄVLEBORGS LÄN</t>
        </is>
      </c>
      <c r="G474" t="inlineStr">
        <is>
          <t>SÖDERHAMN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46042</v>
      </c>
      <c r="E475" s="1" t="n">
        <v>46224</v>
      </c>
      <c r="F475" t="inlineStr">
        <is>
          <t>GÄVLEBORGS LÄN</t>
        </is>
      </c>
      <c r="G475" t="inlineStr">
        <is>
          <t>SÖDERHAMN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48797-2024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46224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45425</v>
      </c>
      <c r="E477" s="1" t="n">
        <v>46224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46224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45588</v>
      </c>
      <c r="E479" s="1" t="n">
        <v>46224</v>
      </c>
      <c r="F479" t="inlineStr">
        <is>
          <t>GÄVLEBORGS LÄN</t>
        </is>
      </c>
      <c r="G479" t="inlineStr">
        <is>
          <t>SÖDERHAMN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46224</v>
      </c>
      <c r="F480" t="inlineStr">
        <is>
          <t>GÄVLEBORGS LÄN</t>
        </is>
      </c>
      <c r="G480" t="inlineStr">
        <is>
          <t>SÖDERHAMN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46224</v>
      </c>
      <c r="F481" t="inlineStr">
        <is>
          <t>GÄVLEBORGS LÄN</t>
        </is>
      </c>
      <c r="G481" t="inlineStr">
        <is>
          <t>SÖDERHAMN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44824</v>
      </c>
      <c r="E482" s="1" t="n">
        <v>46224</v>
      </c>
      <c r="F482" t="inlineStr">
        <is>
          <t>GÄVLEBORGS LÄN</t>
        </is>
      </c>
      <c r="G482" t="inlineStr">
        <is>
          <t>SÖDERHAMN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42549-2024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45565</v>
      </c>
      <c r="E483" s="1" t="n">
        <v>46224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42902-2024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46224</v>
      </c>
      <c r="F484" t="inlineStr">
        <is>
          <t>GÄVLEBORGS LÄN</t>
        </is>
      </c>
      <c r="G484" t="inlineStr">
        <is>
          <t>SÖDERHAMN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17517-2025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46224</v>
      </c>
      <c r="F485" t="inlineStr">
        <is>
          <t>GÄVLEBORGS LÄN</t>
        </is>
      </c>
      <c r="G485" t="inlineStr">
        <is>
          <t>SÖDERHAMN</t>
        </is>
      </c>
      <c r="H485" t="inlineStr">
        <is>
          <t>Kommuner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7972-2025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45707</v>
      </c>
      <c r="E486" s="1" t="n">
        <v>46224</v>
      </c>
      <c r="F486" t="inlineStr">
        <is>
          <t>GÄVLEBORGS LÄN</t>
        </is>
      </c>
      <c r="G486" t="inlineStr">
        <is>
          <t>SÖDERHAMN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44897</v>
      </c>
      <c r="E487" s="1" t="n">
        <v>46224</v>
      </c>
      <c r="F487" t="inlineStr">
        <is>
          <t>GÄVLEBORGS LÄN</t>
        </is>
      </c>
      <c r="G487" t="inlineStr">
        <is>
          <t>SÖDERHAMN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51458-2022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44869</v>
      </c>
      <c r="E488" s="1" t="n">
        <v>46224</v>
      </c>
      <c r="F488" t="inlineStr">
        <is>
          <t>GÄVLEBORGS LÄN</t>
        </is>
      </c>
      <c r="G488" t="inlineStr">
        <is>
          <t>SÖDERHAMN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57500-2023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45246</v>
      </c>
      <c r="E489" s="1" t="n">
        <v>46224</v>
      </c>
      <c r="F489" t="inlineStr">
        <is>
          <t>GÄVLEBORGS LÄN</t>
        </is>
      </c>
      <c r="G489" t="inlineStr">
        <is>
          <t>SÖDERHAMN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46224</v>
      </c>
      <c r="F490" t="inlineStr">
        <is>
          <t>GÄVLEBORGS LÄN</t>
        </is>
      </c>
      <c r="G490" t="inlineStr">
        <is>
          <t>SÖDERHAMN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46224</v>
      </c>
      <c r="F491" t="inlineStr">
        <is>
          <t>GÄVLEBORGS LÄN</t>
        </is>
      </c>
      <c r="G491" t="inlineStr">
        <is>
          <t>SÖDERHAMN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46224</v>
      </c>
      <c r="F492" t="inlineStr">
        <is>
          <t>GÄVLEBORGS LÄN</t>
        </is>
      </c>
      <c r="G492" t="inlineStr">
        <is>
          <t>SÖDERHAMN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54135-2024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46224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46224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45972</v>
      </c>
      <c r="E495" s="1" t="n">
        <v>46224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46024</v>
      </c>
      <c r="E496" s="1" t="n">
        <v>46224</v>
      </c>
      <c r="F496" t="inlineStr">
        <is>
          <t>GÄVLEBORGS LÄN</t>
        </is>
      </c>
      <c r="G496" t="inlineStr">
        <is>
          <t>SÖDERHAMN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51492-2023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45222</v>
      </c>
      <c r="E497" s="1" t="n">
        <v>46224</v>
      </c>
      <c r="F497" t="inlineStr">
        <is>
          <t>GÄVLEBORGS LÄN</t>
        </is>
      </c>
      <c r="G497" t="inlineStr">
        <is>
          <t>SÖDERHAMN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46224</v>
      </c>
      <c r="F498" t="inlineStr">
        <is>
          <t>GÄVLEBORGS LÄN</t>
        </is>
      </c>
      <c r="G498" t="inlineStr">
        <is>
          <t>SÖDERHAMN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4298-2024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45324</v>
      </c>
      <c r="E499" s="1" t="n">
        <v>46224</v>
      </c>
      <c r="F499" t="inlineStr">
        <is>
          <t>GÄVLEBORGS LÄN</t>
        </is>
      </c>
      <c r="G499" t="inlineStr">
        <is>
          <t>SÖDERHAMN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21385-2026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46224</v>
      </c>
      <c r="F500" t="inlineStr">
        <is>
          <t>GÄVLEBORGS LÄN</t>
        </is>
      </c>
      <c r="G500" t="inlineStr">
        <is>
          <t>SÖDERHAMN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46147</v>
      </c>
      <c r="E501" s="1" t="n">
        <v>46224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20806-2026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46141</v>
      </c>
      <c r="E502" s="1" t="n">
        <v>46224</v>
      </c>
      <c r="F502" t="inlineStr">
        <is>
          <t>GÄVLEBORGS LÄN</t>
        </is>
      </c>
      <c r="G502" t="inlineStr">
        <is>
          <t>SÖDERHAMN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45219</v>
      </c>
      <c r="E503" s="1" t="n">
        <v>46224</v>
      </c>
      <c r="F503" t="inlineStr">
        <is>
          <t>GÄVLEBORGS LÄN</t>
        </is>
      </c>
      <c r="G503" t="inlineStr">
        <is>
          <t>SÖDERHAMN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46224</v>
      </c>
      <c r="F504" t="inlineStr">
        <is>
          <t>GÄVLEBORGS LÄN</t>
        </is>
      </c>
      <c r="G504" t="inlineStr">
        <is>
          <t>SÖDERHAMN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46224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46224</v>
      </c>
      <c r="F506" t="inlineStr">
        <is>
          <t>GÄVLEBORGS LÄN</t>
        </is>
      </c>
      <c r="G506" t="inlineStr">
        <is>
          <t>SÖDERHAMN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21644-2026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46149</v>
      </c>
      <c r="E507" s="1" t="n">
        <v>46224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46224</v>
      </c>
      <c r="F508" t="inlineStr">
        <is>
          <t>GÄVLEBORGS LÄN</t>
        </is>
      </c>
      <c r="G508" t="inlineStr">
        <is>
          <t>SÖDERHAMN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46224</v>
      </c>
      <c r="F509" t="inlineStr">
        <is>
          <t>GÄVLEBORGS LÄN</t>
        </is>
      </c>
      <c r="G509" t="inlineStr">
        <is>
          <t>SÖDERHAMN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46148</v>
      </c>
      <c r="E510" s="1" t="n">
        <v>46224</v>
      </c>
      <c r="F510" t="inlineStr">
        <is>
          <t>GÄVLEBORGS LÄN</t>
        </is>
      </c>
      <c r="G510" t="inlineStr">
        <is>
          <t>SÖDERHAMN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46224</v>
      </c>
      <c r="F511" t="inlineStr">
        <is>
          <t>GÄVLEBORGS LÄN</t>
        </is>
      </c>
      <c r="G511" t="inlineStr">
        <is>
          <t>SÖDERHAMN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46224</v>
      </c>
      <c r="F512" t="inlineStr">
        <is>
          <t>GÄVLEBORGS LÄN</t>
        </is>
      </c>
      <c r="G512" t="inlineStr">
        <is>
          <t>SÖDERHAMN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46087</v>
      </c>
      <c r="E513" s="1" t="n">
        <v>46224</v>
      </c>
      <c r="F513" t="inlineStr">
        <is>
          <t>GÄVLEBORGS LÄN</t>
        </is>
      </c>
      <c r="G513" t="inlineStr">
        <is>
          <t>SÖDERHAMN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46224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45754</v>
      </c>
      <c r="E515" s="1" t="n">
        <v>46224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52518-2024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45609</v>
      </c>
      <c r="E516" s="1" t="n">
        <v>46224</v>
      </c>
      <c r="F516" t="inlineStr">
        <is>
          <t>GÄVLEBORGS LÄN</t>
        </is>
      </c>
      <c r="G516" t="inlineStr">
        <is>
          <t>SÖDERHAMN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46224</v>
      </c>
      <c r="F517" t="inlineStr">
        <is>
          <t>GÄVLEBORGS LÄN</t>
        </is>
      </c>
      <c r="G517" t="inlineStr">
        <is>
          <t>SÖDERHAMN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46224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46224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46224</v>
      </c>
      <c r="F520" t="inlineStr">
        <is>
          <t>GÄVLEBORGS LÄN</t>
        </is>
      </c>
      <c r="G520" t="inlineStr">
        <is>
          <t>SÖDERHAMN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46224</v>
      </c>
      <c r="F521" t="inlineStr">
        <is>
          <t>GÄVLEBORGS LÄN</t>
        </is>
      </c>
      <c r="G521" t="inlineStr">
        <is>
          <t>SÖDERHAMN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46224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45677</v>
      </c>
      <c r="E523" s="1" t="n">
        <v>46224</v>
      </c>
      <c r="F523" t="inlineStr">
        <is>
          <t>GÄVLEBORGS LÄN</t>
        </is>
      </c>
      <c r="G523" t="inlineStr">
        <is>
          <t>SÖDERHAMN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56500-2023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45243</v>
      </c>
      <c r="E524" s="1" t="n">
        <v>46224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46224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46224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46224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46157</v>
      </c>
      <c r="E528" s="1" t="n">
        <v>46224</v>
      </c>
      <c r="F528" t="inlineStr">
        <is>
          <t>GÄVLEBORGS LÄN</t>
        </is>
      </c>
      <c r="G528" t="inlineStr">
        <is>
          <t>SÖDERHAMN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46224</v>
      </c>
      <c r="F529" t="inlineStr">
        <is>
          <t>GÄVLEBORGS LÄN</t>
        </is>
      </c>
      <c r="G529" t="inlineStr">
        <is>
          <t>SÖDERHAMN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46224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46224</v>
      </c>
      <c r="F531" t="inlineStr">
        <is>
          <t>GÄVLEBORGS LÄN</t>
        </is>
      </c>
      <c r="G531" t="inlineStr">
        <is>
          <t>SÖDERHAMN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46224</v>
      </c>
      <c r="F532" t="inlineStr">
        <is>
          <t>GÄVLEBORGS LÄN</t>
        </is>
      </c>
      <c r="G532" t="inlineStr">
        <is>
          <t>SÖDERHAMN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50066-2023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45215</v>
      </c>
      <c r="E533" s="1" t="n">
        <v>46224</v>
      </c>
      <c r="F533" t="inlineStr">
        <is>
          <t>GÄVLEBORGS LÄN</t>
        </is>
      </c>
      <c r="G533" t="inlineStr">
        <is>
          <t>SÖDERHAMN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22725-2026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46157</v>
      </c>
      <c r="E534" s="1" t="n">
        <v>46224</v>
      </c>
      <c r="F534" t="inlineStr">
        <is>
          <t>GÄVLEBORGS LÄN</t>
        </is>
      </c>
      <c r="G534" t="inlineStr">
        <is>
          <t>SÖDERHAMN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46157</v>
      </c>
      <c r="E535" s="1" t="n">
        <v>46224</v>
      </c>
      <c r="F535" t="inlineStr">
        <is>
          <t>GÄVLEBORGS LÄN</t>
        </is>
      </c>
      <c r="G535" t="inlineStr">
        <is>
          <t>SÖDERHAMN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22726-2026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46157</v>
      </c>
      <c r="E536" s="1" t="n">
        <v>46224</v>
      </c>
      <c r="F536" t="inlineStr">
        <is>
          <t>GÄVLEBORGS LÄN</t>
        </is>
      </c>
      <c r="G536" t="inlineStr">
        <is>
          <t>SÖDERHAMN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46224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46157</v>
      </c>
      <c r="E538" s="1" t="n">
        <v>46224</v>
      </c>
      <c r="F538" t="inlineStr">
        <is>
          <t>GÄVLEBORGS LÄN</t>
        </is>
      </c>
      <c r="G538" t="inlineStr">
        <is>
          <t>SÖDERHAMN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46224</v>
      </c>
      <c r="F539" t="inlineStr">
        <is>
          <t>GÄVLEBORGS LÄN</t>
        </is>
      </c>
      <c r="G539" t="inlineStr">
        <is>
          <t>SÖDERHAMN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46224</v>
      </c>
      <c r="F540" t="inlineStr">
        <is>
          <t>GÄVLEBORGS LÄN</t>
        </is>
      </c>
      <c r="G540" t="inlineStr">
        <is>
          <t>SÖDERHAMN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45560</v>
      </c>
      <c r="E541" s="1" t="n">
        <v>46224</v>
      </c>
      <c r="F541" t="inlineStr">
        <is>
          <t>GÄVLEBORGS LÄN</t>
        </is>
      </c>
      <c r="G541" t="inlineStr">
        <is>
          <t>SÖDERHAMN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29818-2023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45107</v>
      </c>
      <c r="E542" s="1" t="n">
        <v>46224</v>
      </c>
      <c r="F542" t="inlineStr">
        <is>
          <t>GÄVLEBORGS LÄN</t>
        </is>
      </c>
      <c r="G542" t="inlineStr">
        <is>
          <t>SÖDERHAMN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51273-2021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44460</v>
      </c>
      <c r="E543" s="1" t="n">
        <v>46224</v>
      </c>
      <c r="F543" t="inlineStr">
        <is>
          <t>GÄVLEBORGS LÄN</t>
        </is>
      </c>
      <c r="G543" t="inlineStr">
        <is>
          <t>SÖDERHAMN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11075-2023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44992</v>
      </c>
      <c r="E544" s="1" t="n">
        <v>46224</v>
      </c>
      <c r="F544" t="inlineStr">
        <is>
          <t>GÄVLEBORGS LÄN</t>
        </is>
      </c>
      <c r="G544" t="inlineStr">
        <is>
          <t>SÖDERHAMN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44760</v>
      </c>
      <c r="E545" s="1" t="n">
        <v>46224</v>
      </c>
      <c r="F545" t="inlineStr">
        <is>
          <t>GÄVLEBORGS LÄN</t>
        </is>
      </c>
      <c r="G545" t="inlineStr">
        <is>
          <t>SÖDERHAMN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18913-2025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46224</v>
      </c>
      <c r="F546" t="inlineStr">
        <is>
          <t>GÄVLEBORGS LÄN</t>
        </is>
      </c>
      <c r="G546" t="inlineStr">
        <is>
          <t>SÖDERHAMN</t>
        </is>
      </c>
      <c r="H546" t="inlineStr">
        <is>
          <t>Kommuner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46224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46224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46224</v>
      </c>
      <c r="F549" t="inlineStr">
        <is>
          <t>GÄVLEBORGS LÄN</t>
        </is>
      </c>
      <c r="G549" t="inlineStr">
        <is>
          <t>SÖDERHAMN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44739</v>
      </c>
      <c r="E550" s="1" t="n">
        <v>46224</v>
      </c>
      <c r="F550" t="inlineStr">
        <is>
          <t>GÄVLEBORGS LÄN</t>
        </is>
      </c>
      <c r="G550" t="inlineStr">
        <is>
          <t>SÖDERHAMN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44582</v>
      </c>
      <c r="E551" s="1" t="n">
        <v>46224</v>
      </c>
      <c r="F551" t="inlineStr">
        <is>
          <t>GÄVLEBORGS LÄN</t>
        </is>
      </c>
      <c r="G551" t="inlineStr">
        <is>
          <t>SÖDERHAMN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45747</v>
      </c>
      <c r="E552" s="1" t="n">
        <v>46224</v>
      </c>
      <c r="F552" t="inlineStr">
        <is>
          <t>GÄVLEBORGS LÄN</t>
        </is>
      </c>
      <c r="G552" t="inlineStr">
        <is>
          <t>SÖDERHAMN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46224</v>
      </c>
      <c r="F553" t="inlineStr">
        <is>
          <t>GÄVLEBORGS LÄN</t>
        </is>
      </c>
      <c r="G553" t="inlineStr">
        <is>
          <t>SÖDERHAMN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45093</v>
      </c>
      <c r="E554" s="1" t="n">
        <v>46224</v>
      </c>
      <c r="F554" t="inlineStr">
        <is>
          <t>GÄVLEBORGS LÄN</t>
        </is>
      </c>
      <c r="G554" t="inlineStr">
        <is>
          <t>SÖDERHAMN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46162</v>
      </c>
      <c r="E555" s="1" t="n">
        <v>46224</v>
      </c>
      <c r="F555" t="inlineStr">
        <is>
          <t>GÄVLEBORGS LÄN</t>
        </is>
      </c>
      <c r="G555" t="inlineStr">
        <is>
          <t>SÖDERHAMN</t>
        </is>
      </c>
      <c r="I555" t="n">
        <v>7.9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46224</v>
      </c>
      <c r="F556" t="inlineStr">
        <is>
          <t>GÄVLEBORGS LÄN</t>
        </is>
      </c>
      <c r="G556" t="inlineStr">
        <is>
          <t>SÖDERHAMN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46224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45722</v>
      </c>
      <c r="E558" s="1" t="n">
        <v>46224</v>
      </c>
      <c r="F558" t="inlineStr">
        <is>
          <t>GÄVLEBORGS LÄN</t>
        </is>
      </c>
      <c r="G558" t="inlineStr">
        <is>
          <t>SÖDERHAMN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4563-2023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44956</v>
      </c>
      <c r="E559" s="1" t="n">
        <v>46224</v>
      </c>
      <c r="F559" t="inlineStr">
        <is>
          <t>GÄVLEBORGS LÄN</t>
        </is>
      </c>
      <c r="G559" t="inlineStr">
        <is>
          <t>SÖDERHAMN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46224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46224</v>
      </c>
      <c r="F561" t="inlineStr">
        <is>
          <t>GÄVLEBORGS LÄN</t>
        </is>
      </c>
      <c r="G561" t="inlineStr">
        <is>
          <t>SÖDERHAMN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46164</v>
      </c>
      <c r="E562" s="1" t="n">
        <v>46224</v>
      </c>
      <c r="F562" t="inlineStr">
        <is>
          <t>GÄVLEBORGS LÄN</t>
        </is>
      </c>
      <c r="G562" t="inlineStr">
        <is>
          <t>SÖDERHAMN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46207</v>
      </c>
      <c r="E563" s="1" t="n">
        <v>46224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46164</v>
      </c>
      <c r="E564" s="1" t="n">
        <v>46224</v>
      </c>
      <c r="F564" t="inlineStr">
        <is>
          <t>GÄVLEBORGS LÄN</t>
        </is>
      </c>
      <c r="G564" t="inlineStr">
        <is>
          <t>SÖDERHAMN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59773-2024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45639</v>
      </c>
      <c r="E565" s="1" t="n">
        <v>46224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44992</v>
      </c>
      <c r="E566" s="1" t="n">
        <v>46224</v>
      </c>
      <c r="F566" t="inlineStr">
        <is>
          <t>GÄVLEBORGS LÄN</t>
        </is>
      </c>
      <c r="G566" t="inlineStr">
        <is>
          <t>SÖDERHAMN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46165</v>
      </c>
      <c r="E567" s="1" t="n">
        <v>46224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45477</v>
      </c>
      <c r="E568" s="1" t="n">
        <v>46224</v>
      </c>
      <c r="F568" t="inlineStr">
        <is>
          <t>GÄVLEBORGS LÄN</t>
        </is>
      </c>
      <c r="G568" t="inlineStr">
        <is>
          <t>SÖDERHAMN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46211</v>
      </c>
      <c r="E569" s="1" t="n">
        <v>46224</v>
      </c>
      <c r="F569" t="inlineStr">
        <is>
          <t>GÄVLEBORGS LÄN</t>
        </is>
      </c>
      <c r="G569" t="inlineStr">
        <is>
          <t>SÖDERHAMN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48561-2025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45936</v>
      </c>
      <c r="E570" s="1" t="n">
        <v>46224</v>
      </c>
      <c r="F570" t="inlineStr">
        <is>
          <t>GÄVLEBORGS LÄN</t>
        </is>
      </c>
      <c r="G570" t="inlineStr">
        <is>
          <t>SÖDERHAMN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46112</v>
      </c>
      <c r="E571" s="1" t="n">
        <v>46224</v>
      </c>
      <c r="F571" t="inlineStr">
        <is>
          <t>GÄVLEBORGS LÄN</t>
        </is>
      </c>
      <c r="G571" t="inlineStr">
        <is>
          <t>SÖDERHAMN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45096</v>
      </c>
      <c r="E572" s="1" t="n">
        <v>46224</v>
      </c>
      <c r="F572" t="inlineStr">
        <is>
          <t>GÄVLEBORGS LÄN</t>
        </is>
      </c>
      <c r="G572" t="inlineStr">
        <is>
          <t>SÖDERHAMN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46027</v>
      </c>
      <c r="E573" s="1" t="n">
        <v>46224</v>
      </c>
      <c r="F573" t="inlineStr">
        <is>
          <t>GÄVLEBORGS LÄN</t>
        </is>
      </c>
      <c r="G573" t="inlineStr">
        <is>
          <t>SÖDERHAMN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46224</v>
      </c>
      <c r="F574" t="inlineStr">
        <is>
          <t>GÄVLEBORGS LÄN</t>
        </is>
      </c>
      <c r="G574" t="inlineStr">
        <is>
          <t>SÖDERHAMN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46224</v>
      </c>
      <c r="F575" t="inlineStr">
        <is>
          <t>GÄVLEBORGS LÄN</t>
        </is>
      </c>
      <c r="G575" t="inlineStr">
        <is>
          <t>SÖDERHAMN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46224</v>
      </c>
      <c r="F576" t="inlineStr">
        <is>
          <t>GÄVLEBORGS LÄN</t>
        </is>
      </c>
      <c r="G576" t="inlineStr">
        <is>
          <t>SÖDERHAMN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54007-2023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45231</v>
      </c>
      <c r="E577" s="1" t="n">
        <v>46224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29979-2023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45108</v>
      </c>
      <c r="E578" s="1" t="n">
        <v>46224</v>
      </c>
      <c r="F578" t="inlineStr">
        <is>
          <t>GÄVLEBORGS LÄN</t>
        </is>
      </c>
      <c r="G578" t="inlineStr">
        <is>
          <t>SÖDERHAMN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45476</v>
      </c>
      <c r="E579" s="1" t="n">
        <v>46224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49786-2024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46224</v>
      </c>
      <c r="F580" t="inlineStr">
        <is>
          <t>GÄVLEBORGS LÄN</t>
        </is>
      </c>
      <c r="G580" t="inlineStr">
        <is>
          <t>SÖDERHAMN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45432</v>
      </c>
      <c r="E581" s="1" t="n">
        <v>46224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44823</v>
      </c>
      <c r="E582" s="1" t="n">
        <v>46224</v>
      </c>
      <c r="F582" t="inlineStr">
        <is>
          <t>GÄVLEBORGS LÄN</t>
        </is>
      </c>
      <c r="G582" t="inlineStr">
        <is>
          <t>SÖDERHAMN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46224</v>
      </c>
      <c r="F583" t="inlineStr">
        <is>
          <t>GÄVLEBORGS LÄN</t>
        </is>
      </c>
      <c r="G583" t="inlineStr">
        <is>
          <t>SÖDERHAMN</t>
        </is>
      </c>
      <c r="H583" t="inlineStr">
        <is>
          <t>Kyrkan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46224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Kyrkan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46224</v>
      </c>
      <c r="F585" t="inlineStr">
        <is>
          <t>GÄVLEBORGS LÄN</t>
        </is>
      </c>
      <c r="G585" t="inlineStr">
        <is>
          <t>SÖDERHAMN</t>
        </is>
      </c>
      <c r="H585" t="inlineStr">
        <is>
          <t>Kyrkan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50809-2024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45602</v>
      </c>
      <c r="E586" s="1" t="n">
        <v>46224</v>
      </c>
      <c r="F586" t="inlineStr">
        <is>
          <t>GÄVLEBORGS LÄN</t>
        </is>
      </c>
      <c r="G586" t="inlineStr">
        <is>
          <t>SÖDERHAMN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45770</v>
      </c>
      <c r="E587" s="1" t="n">
        <v>46224</v>
      </c>
      <c r="F587" t="inlineStr">
        <is>
          <t>GÄVLEBORGS LÄN</t>
        </is>
      </c>
      <c r="G587" t="inlineStr">
        <is>
          <t>SÖDERHAMN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46224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45108</v>
      </c>
      <c r="E589" s="1" t="n">
        <v>46224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52519-2024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45609</v>
      </c>
      <c r="E590" s="1" t="n">
        <v>46224</v>
      </c>
      <c r="F590" t="inlineStr">
        <is>
          <t>GÄVLEBORGS LÄN</t>
        </is>
      </c>
      <c r="G590" t="inlineStr">
        <is>
          <t>SÖDERHAMN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49282-2024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46224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19782-2025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45771</v>
      </c>
      <c r="E592" s="1" t="n">
        <v>46224</v>
      </c>
      <c r="F592" t="inlineStr">
        <is>
          <t>GÄVLEBORGS LÄN</t>
        </is>
      </c>
      <c r="G592" t="inlineStr">
        <is>
          <t>SÖDERHAMN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46224</v>
      </c>
      <c r="F593" t="inlineStr">
        <is>
          <t>GÄVLEBORGS LÄN</t>
        </is>
      </c>
      <c r="G593" t="inlineStr">
        <is>
          <t>SÖDERHAMN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46224</v>
      </c>
      <c r="F594" t="inlineStr">
        <is>
          <t>GÄVLEBORGS LÄN</t>
        </is>
      </c>
      <c r="G594" t="inlineStr">
        <is>
          <t>SÖDERHAMN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24966-2026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46224</v>
      </c>
      <c r="F595" t="inlineStr">
        <is>
          <t>GÄVLEBORGS LÄN</t>
        </is>
      </c>
      <c r="G595" t="inlineStr">
        <is>
          <t>SÖDERHAMN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46224</v>
      </c>
      <c r="F596" t="inlineStr">
        <is>
          <t>GÄVLEBORGS LÄN</t>
        </is>
      </c>
      <c r="G596" t="inlineStr">
        <is>
          <t>SÖDERHAMN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48313-2024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45590</v>
      </c>
      <c r="E597" s="1" t="n">
        <v>46224</v>
      </c>
      <c r="F597" t="inlineStr">
        <is>
          <t>GÄVLEBORGS LÄN</t>
        </is>
      </c>
      <c r="G597" t="inlineStr">
        <is>
          <t>SÖDERHAMN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7533-2025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45705</v>
      </c>
      <c r="E598" s="1" t="n">
        <v>46224</v>
      </c>
      <c r="F598" t="inlineStr">
        <is>
          <t>GÄVLEBORGS LÄN</t>
        </is>
      </c>
      <c r="G598" t="inlineStr">
        <is>
          <t>SÖDERHAMN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45327</v>
      </c>
      <c r="E599" s="1" t="n">
        <v>46224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46224</v>
      </c>
      <c r="F600" t="inlineStr">
        <is>
          <t>GÄVLEBORGS LÄN</t>
        </is>
      </c>
      <c r="G600" t="inlineStr">
        <is>
          <t>SÖDERHAMN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46174</v>
      </c>
      <c r="E601" s="1" t="n">
        <v>46224</v>
      </c>
      <c r="F601" t="inlineStr">
        <is>
          <t>GÄVLEBORGS LÄN</t>
        </is>
      </c>
      <c r="G601" t="inlineStr">
        <is>
          <t>SÖDERHAMN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20456-2024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45435</v>
      </c>
      <c r="E602" s="1" t="n">
        <v>46224</v>
      </c>
      <c r="F602" t="inlineStr">
        <is>
          <t>GÄVLEBORGS LÄN</t>
        </is>
      </c>
      <c r="G602" t="inlineStr">
        <is>
          <t>SÖDERHAMN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46224</v>
      </c>
      <c r="F603" t="inlineStr">
        <is>
          <t>GÄVLEBORGS LÄN</t>
        </is>
      </c>
      <c r="G603" t="inlineStr">
        <is>
          <t>SÖDERHAMN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46224</v>
      </c>
      <c r="F604" t="inlineStr">
        <is>
          <t>GÄVLEBORGS LÄN</t>
        </is>
      </c>
      <c r="G604" t="inlineStr">
        <is>
          <t>SÖDERHAMN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31274-2026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46218</v>
      </c>
      <c r="E605" s="1" t="n">
        <v>46224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46224</v>
      </c>
      <c r="F606" t="inlineStr">
        <is>
          <t>GÄVLEBORGS LÄN</t>
        </is>
      </c>
      <c r="G606" t="inlineStr">
        <is>
          <t>SÖDERHAMN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46224</v>
      </c>
      <c r="F607" t="inlineStr">
        <is>
          <t>GÄVLEBORGS LÄN</t>
        </is>
      </c>
      <c r="G607" t="inlineStr">
        <is>
          <t>SÖDERHAMN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25200-2026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46224</v>
      </c>
      <c r="F608" t="inlineStr">
        <is>
          <t>GÄVLEBORGS LÄN</t>
        </is>
      </c>
      <c r="G608" t="inlineStr">
        <is>
          <t>SÖDERHAMN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46223</v>
      </c>
      <c r="E609" s="1" t="n">
        <v>46224</v>
      </c>
      <c r="F609" t="inlineStr">
        <is>
          <t>GÄVLEBORGS LÄN</t>
        </is>
      </c>
      <c r="G609" t="inlineStr">
        <is>
          <t>SÖDERHAMN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26013-2026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46224</v>
      </c>
      <c r="F610" t="inlineStr">
        <is>
          <t>GÄVLEBORGS LÄN</t>
        </is>
      </c>
      <c r="G610" t="inlineStr">
        <is>
          <t>SÖDERHAMN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46043</v>
      </c>
      <c r="E611" s="1" t="n">
        <v>46224</v>
      </c>
      <c r="F611" t="inlineStr">
        <is>
          <t>GÄVLEBORGS LÄN</t>
        </is>
      </c>
      <c r="G611" t="inlineStr">
        <is>
          <t>SÖDERHAMN</t>
        </is>
      </c>
      <c r="I611" t="n">
        <v>20.9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45534</v>
      </c>
      <c r="E612" s="1" t="n">
        <v>46224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46177</v>
      </c>
      <c r="E613" s="1" t="n">
        <v>46224</v>
      </c>
      <c r="F613" t="inlineStr">
        <is>
          <t>GÄVLEBORGS LÄN</t>
        </is>
      </c>
      <c r="G613" t="inlineStr">
        <is>
          <t>SÖDERHAMN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48943-2024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45594</v>
      </c>
      <c r="E614" s="1" t="n">
        <v>46224</v>
      </c>
      <c r="F614" t="inlineStr">
        <is>
          <t>GÄVLEBORGS LÄN</t>
        </is>
      </c>
      <c r="G614" t="inlineStr">
        <is>
          <t>SÖDERHAMN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45764</v>
      </c>
      <c r="E615" s="1" t="n">
        <v>46224</v>
      </c>
      <c r="F615" t="inlineStr">
        <is>
          <t>GÄVLEBORGS LÄN</t>
        </is>
      </c>
      <c r="G615" t="inlineStr">
        <is>
          <t>SÖDERHAMN</t>
        </is>
      </c>
      <c r="H615" t="inlineStr">
        <is>
          <t>Kommuner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46224</v>
      </c>
      <c r="F616" t="inlineStr">
        <is>
          <t>GÄVLEBORGS LÄN</t>
        </is>
      </c>
      <c r="G616" t="inlineStr">
        <is>
          <t>SÖDERHAMN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46224</v>
      </c>
      <c r="F617" t="inlineStr">
        <is>
          <t>GÄVLEBORGS LÄN</t>
        </is>
      </c>
      <c r="G617" t="inlineStr">
        <is>
          <t>SÖDERHAMN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50283-2024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45600</v>
      </c>
      <c r="E618" s="1" t="n">
        <v>46224</v>
      </c>
      <c r="F618" t="inlineStr">
        <is>
          <t>GÄVLEBORGS LÄN</t>
        </is>
      </c>
      <c r="G618" t="inlineStr">
        <is>
          <t>SÖDERHAMN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15881-2025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45749</v>
      </c>
      <c r="E619" s="1" t="n">
        <v>46224</v>
      </c>
      <c r="F619" t="inlineStr">
        <is>
          <t>GÄVLEBORGS LÄN</t>
        </is>
      </c>
      <c r="G619" t="inlineStr">
        <is>
          <t>SÖDERHAMN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45779</v>
      </c>
      <c r="E620" s="1" t="n">
        <v>46224</v>
      </c>
      <c r="F620" t="inlineStr">
        <is>
          <t>GÄVLEBORGS LÄN</t>
        </is>
      </c>
      <c r="G620" t="inlineStr">
        <is>
          <t>SÖDERHAMN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37916-2024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45544</v>
      </c>
      <c r="E621" s="1" t="n">
        <v>46224</v>
      </c>
      <c r="F621" t="inlineStr">
        <is>
          <t>GÄVLEBORGS LÄN</t>
        </is>
      </c>
      <c r="G621" t="inlineStr">
        <is>
          <t>SÖDERHAMN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47676-2024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45588</v>
      </c>
      <c r="E622" s="1" t="n">
        <v>46224</v>
      </c>
      <c r="F622" t="inlineStr">
        <is>
          <t>GÄVLEBORGS LÄN</t>
        </is>
      </c>
      <c r="G622" t="inlineStr">
        <is>
          <t>SÖDERHAMN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36059-2023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45149</v>
      </c>
      <c r="E623" s="1" t="n">
        <v>46224</v>
      </c>
      <c r="F623" t="inlineStr">
        <is>
          <t>GÄVLEBORGS LÄN</t>
        </is>
      </c>
      <c r="G623" t="inlineStr">
        <is>
          <t>SÖDERHAMN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18189-2024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45420</v>
      </c>
      <c r="E624" s="1" t="n">
        <v>46224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15-2024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45293</v>
      </c>
      <c r="E625" s="1" t="n">
        <v>46224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17.7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168-2022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46224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56.6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170-2022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46224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87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175-2022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44566</v>
      </c>
      <c r="E628" s="1" t="n">
        <v>46224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45.7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46224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2026-07-21T01:39:29Z</dcterms:created>
  <dcterms:modified xmlns:dcterms="http://purl.org/dc/terms/" xmlns:xsi="http://www.w3.org/2001/XMLSchema-instance" xsi:type="dcterms:W3CDTF">2026-07-21T01:39:30Z</dcterms:modified>
</cp:coreProperties>
</file>