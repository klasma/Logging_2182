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46119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46119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46119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46119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199-2026</t>
        </is>
      </c>
      <c r="B6" s="1" t="n">
        <v>46026</v>
      </c>
      <c r="C6" s="1" t="n">
        <v>46119</v>
      </c>
      <c r="D6" t="inlineStr">
        <is>
          <t>GÄVLEBORGS LÄN</t>
        </is>
      </c>
      <c r="E6" t="inlineStr">
        <is>
          <t>SÖDERHAMN</t>
        </is>
      </c>
      <c r="F6" t="inlineStr">
        <is>
          <t>Kommuner</t>
        </is>
      </c>
      <c r="G6" t="n">
        <v>5.2</v>
      </c>
      <c r="H6" t="n">
        <v>0</v>
      </c>
      <c r="I6" t="n">
        <v>0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6</v>
      </c>
      <c r="R6" s="2" t="inlineStr">
        <is>
          <t>Rotfingersvamp
Tallgråticka
Blå taggsvamp
Motaggsvamp
Skrovlig taggsvamp
Talltaggsvamp</t>
        </is>
      </c>
      <c r="S6">
        <f>HYPERLINK("https://klasma.github.io/Logging_2182/artfynd/A 199-2026 artfynd.xlsx", "A 199-2026")</f>
        <v/>
      </c>
      <c r="T6">
        <f>HYPERLINK("https://klasma.github.io/Logging_2182/kartor/A 199-2026 karta.png", "A 199-2026")</f>
        <v/>
      </c>
      <c r="V6">
        <f>HYPERLINK("https://klasma.github.io/Logging_2182/klagomål/A 199-2026 FSC-klagomål.docx", "A 199-2026")</f>
        <v/>
      </c>
      <c r="W6">
        <f>HYPERLINK("https://klasma.github.io/Logging_2182/klagomålsmail/A 199-2026 FSC-klagomål mail.docx", "A 199-2026")</f>
        <v/>
      </c>
      <c r="X6">
        <f>HYPERLINK("https://klasma.github.io/Logging_2182/tillsyn/A 199-2026 tillsynsbegäran.docx", "A 199-2026")</f>
        <v/>
      </c>
      <c r="Y6">
        <f>HYPERLINK("https://klasma.github.io/Logging_2182/tillsynsmail/A 199-2026 tillsynsbegäran mail.docx", "A 199-2026")</f>
        <v/>
      </c>
    </row>
    <row r="7" ht="15" customHeight="1">
      <c r="A7" t="inlineStr">
        <is>
          <t>A 15765-2025</t>
        </is>
      </c>
      <c r="B7" s="1" t="n">
        <v>45748.58319444444</v>
      </c>
      <c r="C7" s="1" t="n">
        <v>46119</v>
      </c>
      <c r="D7" t="inlineStr">
        <is>
          <t>GÄVLEBORGS LÄN</t>
        </is>
      </c>
      <c r="E7" t="inlineStr">
        <is>
          <t>SÖDERHAMN</t>
        </is>
      </c>
      <c r="G7" t="n">
        <v>37.6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6</v>
      </c>
      <c r="R7" s="2" t="inlineStr">
        <is>
          <t>Knärot
Kortskaftad ärgspik
Sårläka
Vårärt
Nattviol
Blåsippa</t>
        </is>
      </c>
      <c r="S7">
        <f>HYPERLINK("https://klasma.github.io/Logging_2182/artfynd/A 15765-2025 artfynd.xlsx", "A 15765-2025")</f>
        <v/>
      </c>
      <c r="T7">
        <f>HYPERLINK("https://klasma.github.io/Logging_2182/kartor/A 15765-2025 karta.png", "A 15765-2025")</f>
        <v/>
      </c>
      <c r="U7">
        <f>HYPERLINK("https://klasma.github.io/Logging_2182/knärot/A 15765-2025 karta knärot.png", "A 15765-2025")</f>
        <v/>
      </c>
      <c r="V7">
        <f>HYPERLINK("https://klasma.github.io/Logging_2182/klagomål/A 15765-2025 FSC-klagomål.docx", "A 15765-2025")</f>
        <v/>
      </c>
      <c r="W7">
        <f>HYPERLINK("https://klasma.github.io/Logging_2182/klagomålsmail/A 15765-2025 FSC-klagomål mail.docx", "A 15765-2025")</f>
        <v/>
      </c>
      <c r="X7">
        <f>HYPERLINK("https://klasma.github.io/Logging_2182/tillsyn/A 15765-2025 tillsynsbegäran.docx", "A 15765-2025")</f>
        <v/>
      </c>
      <c r="Y7">
        <f>HYPERLINK("https://klasma.github.io/Logging_2182/tillsynsmail/A 15765-2025 tillsynsbegäran mail.docx", "A 15765-2025")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46119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46119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46119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46119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46119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53562-2024</t>
        </is>
      </c>
      <c r="B13" s="1" t="n">
        <v>45614.65710648148</v>
      </c>
      <c r="C13" s="1" t="n">
        <v>46119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3.6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Havsörn
Fläcknycklar</t>
        </is>
      </c>
      <c r="S13">
        <f>HYPERLINK("https://klasma.github.io/Logging_2182/artfynd/A 53562-2024 artfynd.xlsx", "A 53562-2024")</f>
        <v/>
      </c>
      <c r="T13">
        <f>HYPERLINK("https://klasma.github.io/Logging_2182/kartor/A 53562-2024 karta.png", "A 53562-2024")</f>
        <v/>
      </c>
      <c r="V13">
        <f>HYPERLINK("https://klasma.github.io/Logging_2182/klagomål/A 53562-2024 FSC-klagomål.docx", "A 53562-2024")</f>
        <v/>
      </c>
      <c r="W13">
        <f>HYPERLINK("https://klasma.github.io/Logging_2182/klagomålsmail/A 53562-2024 FSC-klagomål mail.docx", "A 53562-2024")</f>
        <v/>
      </c>
      <c r="X13">
        <f>HYPERLINK("https://klasma.github.io/Logging_2182/tillsyn/A 53562-2024 tillsynsbegäran.docx", "A 53562-2024")</f>
        <v/>
      </c>
      <c r="Y13">
        <f>HYPERLINK("https://klasma.github.io/Logging_2182/tillsynsmail/A 53562-2024 tillsynsbegäran mail.docx", "A 53562-2024")</f>
        <v/>
      </c>
      <c r="Z13">
        <f>HYPERLINK("https://klasma.github.io/Logging_2182/fåglar/A 53562-2024 prioriterade fågelarter.docx", "A 53562-2024")</f>
        <v/>
      </c>
    </row>
    <row r="14" ht="15" customHeight="1">
      <c r="A14" t="inlineStr">
        <is>
          <t>A 807-2026</t>
        </is>
      </c>
      <c r="B14" s="1" t="n">
        <v>46030</v>
      </c>
      <c r="C14" s="1" t="n">
        <v>46119</v>
      </c>
      <c r="D14" t="inlineStr">
        <is>
          <t>GÄVLEBORGS LÄN</t>
        </is>
      </c>
      <c r="E14" t="inlineStr">
        <is>
          <t>SÖDERHAMN</t>
        </is>
      </c>
      <c r="G14" t="n">
        <v>17.5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Fläcknycklar
Revlummer</t>
        </is>
      </c>
      <c r="S14">
        <f>HYPERLINK("https://klasma.github.io/Logging_2182/artfynd/A 807-2026 artfynd.xlsx", "A 807-2026")</f>
        <v/>
      </c>
      <c r="T14">
        <f>HYPERLINK("https://klasma.github.io/Logging_2182/kartor/A 807-2026 karta.png", "A 807-2026")</f>
        <v/>
      </c>
      <c r="V14">
        <f>HYPERLINK("https://klasma.github.io/Logging_2182/klagomål/A 807-2026 FSC-klagomål.docx", "A 807-2026")</f>
        <v/>
      </c>
      <c r="W14">
        <f>HYPERLINK("https://klasma.github.io/Logging_2182/klagomålsmail/A 807-2026 FSC-klagomål mail.docx", "A 807-2026")</f>
        <v/>
      </c>
      <c r="X14">
        <f>HYPERLINK("https://klasma.github.io/Logging_2182/tillsyn/A 807-2026 tillsynsbegäran.docx", "A 807-2026")</f>
        <v/>
      </c>
      <c r="Y14">
        <f>HYPERLINK("https://klasma.github.io/Logging_2182/tillsynsmail/A 807-2026 tillsynsbegäran mail.docx", "A 807-2026")</f>
        <v/>
      </c>
    </row>
    <row r="15" ht="15" customHeight="1">
      <c r="A15" t="inlineStr">
        <is>
          <t>A 24608-2025</t>
        </is>
      </c>
      <c r="B15" s="1" t="n">
        <v>45798.57803240741</v>
      </c>
      <c r="C15" s="1" t="n">
        <v>46119</v>
      </c>
      <c r="D15" t="inlineStr">
        <is>
          <t>GÄVLEBORGS LÄN</t>
        </is>
      </c>
      <c r="E15" t="inlineStr">
        <is>
          <t>SÖDERHAMN</t>
        </is>
      </c>
      <c r="G15" t="n">
        <v>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Rosenticka
Ullticka</t>
        </is>
      </c>
      <c r="S15">
        <f>HYPERLINK("https://klasma.github.io/Logging_2182/artfynd/A 24608-2025 artfynd.xlsx", "A 24608-2025")</f>
        <v/>
      </c>
      <c r="T15">
        <f>HYPERLINK("https://klasma.github.io/Logging_2182/kartor/A 24608-2025 karta.png", "A 24608-2025")</f>
        <v/>
      </c>
      <c r="U15">
        <f>HYPERLINK("https://klasma.github.io/Logging_2182/knärot/A 24608-2025 karta knärot.png", "A 24608-2025")</f>
        <v/>
      </c>
      <c r="V15">
        <f>HYPERLINK("https://klasma.github.io/Logging_2182/klagomål/A 24608-2025 FSC-klagomål.docx", "A 24608-2025")</f>
        <v/>
      </c>
      <c r="W15">
        <f>HYPERLINK("https://klasma.github.io/Logging_2182/klagomålsmail/A 24608-2025 FSC-klagomål mail.docx", "A 24608-2025")</f>
        <v/>
      </c>
      <c r="X15">
        <f>HYPERLINK("https://klasma.github.io/Logging_2182/tillsyn/A 24608-2025 tillsynsbegäran.docx", "A 24608-2025")</f>
        <v/>
      </c>
      <c r="Y15">
        <f>HYPERLINK("https://klasma.github.io/Logging_2182/tillsynsmail/A 24608-2025 tillsynsbegäran mail.docx", "A 24608-2025")</f>
        <v/>
      </c>
    </row>
    <row r="16" ht="15" customHeight="1">
      <c r="A16" t="inlineStr">
        <is>
          <t>A 18546-2024</t>
        </is>
      </c>
      <c r="B16" s="1" t="n">
        <v>45425.6449537037</v>
      </c>
      <c r="C16" s="1" t="n">
        <v>46119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1.7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 sköldmossa</t>
        </is>
      </c>
      <c r="S16">
        <f>HYPERLINK("https://klasma.github.io/Logging_2182/artfynd/A 18546-2024 artfynd.xlsx", "A 18546-2024")</f>
        <v/>
      </c>
      <c r="T16">
        <f>HYPERLINK("https://klasma.github.io/Logging_2182/kartor/A 18546-2024 karta.png", "A 18546-2024")</f>
        <v/>
      </c>
      <c r="V16">
        <f>HYPERLINK("https://klasma.github.io/Logging_2182/klagomål/A 18546-2024 FSC-klagomål.docx", "A 18546-2024")</f>
        <v/>
      </c>
      <c r="W16">
        <f>HYPERLINK("https://klasma.github.io/Logging_2182/klagomålsmail/A 18546-2024 FSC-klagomål mail.docx", "A 18546-2024")</f>
        <v/>
      </c>
      <c r="X16">
        <f>HYPERLINK("https://klasma.github.io/Logging_2182/tillsyn/A 18546-2024 tillsynsbegäran.docx", "A 18546-2024")</f>
        <v/>
      </c>
      <c r="Y16">
        <f>HYPERLINK("https://klasma.github.io/Logging_2182/tillsynsmail/A 18546-2024 tillsynsbegäran mail.docx", "A 18546-2024")</f>
        <v/>
      </c>
      <c r="Z16">
        <f>HYPERLINK("https://klasma.github.io/Logging_2182/fåglar/A 18546-2024 prioriterade fågelarter.docx", "A 18546-2024")</f>
        <v/>
      </c>
    </row>
    <row r="17" ht="15" customHeight="1">
      <c r="A17" t="inlineStr">
        <is>
          <t>A 58082-2024</t>
        </is>
      </c>
      <c r="B17" s="1" t="n">
        <v>45632.33841435185</v>
      </c>
      <c r="C17" s="1" t="n">
        <v>46119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5.5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HYPERLINK("https://klasma.github.io/Logging_2182/artfynd/A 58082-2024 artfynd.xlsx", "A 58082-2024")</f>
        <v/>
      </c>
      <c r="T17">
        <f>HYPERLINK("https://klasma.github.io/Logging_2182/kartor/A 58082-2024 karta.png", "A 58082-2024")</f>
        <v/>
      </c>
      <c r="V17">
        <f>HYPERLINK("https://klasma.github.io/Logging_2182/klagomål/A 58082-2024 FSC-klagomål.docx", "A 58082-2024")</f>
        <v/>
      </c>
      <c r="W17">
        <f>HYPERLINK("https://klasma.github.io/Logging_2182/klagomålsmail/A 58082-2024 FSC-klagomål mail.docx", "A 58082-2024")</f>
        <v/>
      </c>
      <c r="X17">
        <f>HYPERLINK("https://klasma.github.io/Logging_2182/tillsyn/A 58082-2024 tillsynsbegäran.docx", "A 58082-2024")</f>
        <v/>
      </c>
      <c r="Y17">
        <f>HYPERLINK("https://klasma.github.io/Logging_2182/tillsynsmail/A 58082-2024 tillsynsbegäran mail.docx", "A 58082-2024")</f>
        <v/>
      </c>
      <c r="Z17">
        <f>HYPERLINK("https://klasma.github.io/Logging_2182/fåglar/A 58082-2024 prioriterade fågelarter.docx", "A 58082-2024")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46119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57441-2024</t>
        </is>
      </c>
      <c r="B19" s="1" t="n">
        <v>45629.87905092593</v>
      </c>
      <c r="C19" s="1" t="n">
        <v>46119</v>
      </c>
      <c r="D19" t="inlineStr">
        <is>
          <t>GÄVLEBORGS LÄN</t>
        </is>
      </c>
      <c r="E19" t="inlineStr">
        <is>
          <t>SÖDERHAMN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HYPERLINK("https://klasma.github.io/Logging_2182/artfynd/A 57441-2024 artfynd.xlsx", "A 57441-2024")</f>
        <v/>
      </c>
      <c r="T19">
        <f>HYPERLINK("https://klasma.github.io/Logging_2182/kartor/A 57441-2024 karta.png", "A 57441-2024")</f>
        <v/>
      </c>
      <c r="V19">
        <f>HYPERLINK("https://klasma.github.io/Logging_2182/klagomål/A 57441-2024 FSC-klagomål.docx", "A 57441-2024")</f>
        <v/>
      </c>
      <c r="W19">
        <f>HYPERLINK("https://klasma.github.io/Logging_2182/klagomålsmail/A 57441-2024 FSC-klagomål mail.docx", "A 57441-2024")</f>
        <v/>
      </c>
      <c r="X19">
        <f>HYPERLINK("https://klasma.github.io/Logging_2182/tillsyn/A 57441-2024 tillsynsbegäran.docx", "A 57441-2024")</f>
        <v/>
      </c>
      <c r="Y19">
        <f>HYPERLINK("https://klasma.github.io/Logging_2182/tillsynsmail/A 57441-2024 tillsynsbegäran mail.docx", "A 57441-2024")</f>
        <v/>
      </c>
    </row>
    <row r="20" ht="15" customHeight="1">
      <c r="A20" t="inlineStr">
        <is>
          <t>A 41258-2022</t>
        </is>
      </c>
      <c r="B20" s="1" t="n">
        <v>44826</v>
      </c>
      <c r="C20" s="1" t="n">
        <v>46119</v>
      </c>
      <c r="D20" t="inlineStr">
        <is>
          <t>GÄVLEBORGS LÄN</t>
        </is>
      </c>
      <c r="E20" t="inlineStr">
        <is>
          <t>SÖDERHAMN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Rosenticka</t>
        </is>
      </c>
      <c r="S20">
        <f>HYPERLINK("https://klasma.github.io/Logging_2182/artfynd/A 41258-2022 artfynd.xlsx", "A 41258-2022")</f>
        <v/>
      </c>
      <c r="T20">
        <f>HYPERLINK("https://klasma.github.io/Logging_2182/kartor/A 41258-2022 karta.png", "A 41258-2022")</f>
        <v/>
      </c>
      <c r="V20">
        <f>HYPERLINK("https://klasma.github.io/Logging_2182/klagomål/A 41258-2022 FSC-klagomål.docx", "A 41258-2022")</f>
        <v/>
      </c>
      <c r="W20">
        <f>HYPERLINK("https://klasma.github.io/Logging_2182/klagomålsmail/A 41258-2022 FSC-klagomål mail.docx", "A 41258-2022")</f>
        <v/>
      </c>
      <c r="X20">
        <f>HYPERLINK("https://klasma.github.io/Logging_2182/tillsyn/A 41258-2022 tillsynsbegäran.docx", "A 41258-2022")</f>
        <v/>
      </c>
      <c r="Y20">
        <f>HYPERLINK("https://klasma.github.io/Logging_2182/tillsynsmail/A 41258-2022 tillsynsbegäran mail.docx", "A 41258-2022")</f>
        <v/>
      </c>
    </row>
    <row r="21" ht="15" customHeight="1">
      <c r="A21" t="inlineStr">
        <is>
          <t>A 55768-2025</t>
        </is>
      </c>
      <c r="B21" s="1" t="n">
        <v>45972.61453703704</v>
      </c>
      <c r="C21" s="1" t="n">
        <v>46119</v>
      </c>
      <c r="D21" t="inlineStr">
        <is>
          <t>GÄVLEBORGS LÄN</t>
        </is>
      </c>
      <c r="E21" t="inlineStr">
        <is>
          <t>SÖDERHAMN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Sydlig ladlav</t>
        </is>
      </c>
      <c r="S21">
        <f>HYPERLINK("https://klasma.github.io/Logging_2182/artfynd/A 55768-2025 artfynd.xlsx", "A 55768-2025")</f>
        <v/>
      </c>
      <c r="T21">
        <f>HYPERLINK("https://klasma.github.io/Logging_2182/kartor/A 55768-2025 karta.png", "A 55768-2025")</f>
        <v/>
      </c>
      <c r="V21">
        <f>HYPERLINK("https://klasma.github.io/Logging_2182/klagomål/A 55768-2025 FSC-klagomål.docx", "A 55768-2025")</f>
        <v/>
      </c>
      <c r="W21">
        <f>HYPERLINK("https://klasma.github.io/Logging_2182/klagomålsmail/A 55768-2025 FSC-klagomål mail.docx", "A 55768-2025")</f>
        <v/>
      </c>
      <c r="X21">
        <f>HYPERLINK("https://klasma.github.io/Logging_2182/tillsyn/A 55768-2025 tillsynsbegäran.docx", "A 55768-2025")</f>
        <v/>
      </c>
      <c r="Y21">
        <f>HYPERLINK("https://klasma.github.io/Logging_2182/tillsynsmail/A 55768-2025 tillsynsbegäran mail.docx", "A 55768-2025")</f>
        <v/>
      </c>
    </row>
    <row r="22" ht="15" customHeight="1">
      <c r="A22" t="inlineStr">
        <is>
          <t>A 31803-2024</t>
        </is>
      </c>
      <c r="B22" s="1" t="n">
        <v>45509</v>
      </c>
      <c r="C22" s="1" t="n">
        <v>46119</v>
      </c>
      <c r="D22" t="inlineStr">
        <is>
          <t>GÄVLEBORGS LÄN</t>
        </is>
      </c>
      <c r="E22" t="inlineStr">
        <is>
          <t>SÖDERHAMN</t>
        </is>
      </c>
      <c r="G22" t="n">
        <v>3.4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HYPERLINK("https://klasma.github.io/Logging_2182/artfynd/A 31803-2024 artfynd.xlsx", "A 31803-2024")</f>
        <v/>
      </c>
      <c r="T22">
        <f>HYPERLINK("https://klasma.github.io/Logging_2182/kartor/A 31803-2024 karta.png", "A 31803-2024")</f>
        <v/>
      </c>
      <c r="U22">
        <f>HYPERLINK("https://klasma.github.io/Logging_2182/knärot/A 31803-2024 karta knärot.png", "A 31803-2024")</f>
        <v/>
      </c>
      <c r="V22">
        <f>HYPERLINK("https://klasma.github.io/Logging_2182/klagomål/A 31803-2024 FSC-klagomål.docx", "A 31803-2024")</f>
        <v/>
      </c>
      <c r="W22">
        <f>HYPERLINK("https://klasma.github.io/Logging_2182/klagomålsmail/A 31803-2024 FSC-klagomål mail.docx", "A 31803-2024")</f>
        <v/>
      </c>
      <c r="X22">
        <f>HYPERLINK("https://klasma.github.io/Logging_2182/tillsyn/A 31803-2024 tillsynsbegäran.docx", "A 31803-2024")</f>
        <v/>
      </c>
      <c r="Y22">
        <f>HYPERLINK("https://klasma.github.io/Logging_2182/tillsynsmail/A 31803-2024 tillsynsbegäran mail.docx", "A 31803-2024")</f>
        <v/>
      </c>
    </row>
    <row r="23" ht="15" customHeight="1">
      <c r="A23" t="inlineStr">
        <is>
          <t>A 58261-2024</t>
        </is>
      </c>
      <c r="B23" s="1" t="n">
        <v>45632.56211805555</v>
      </c>
      <c r="C23" s="1" t="n">
        <v>46119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HYPERLINK("https://klasma.github.io/Logging_2182/artfynd/A 58261-2024 artfynd.xlsx", "A 58261-2024")</f>
        <v/>
      </c>
      <c r="T23">
        <f>HYPERLINK("https://klasma.github.io/Logging_2182/kartor/A 58261-2024 karta.png", "A 58261-2024")</f>
        <v/>
      </c>
      <c r="V23">
        <f>HYPERLINK("https://klasma.github.io/Logging_2182/klagomål/A 58261-2024 FSC-klagomål.docx", "A 58261-2024")</f>
        <v/>
      </c>
      <c r="W23">
        <f>HYPERLINK("https://klasma.github.io/Logging_2182/klagomålsmail/A 58261-2024 FSC-klagomål mail.docx", "A 58261-2024")</f>
        <v/>
      </c>
      <c r="X23">
        <f>HYPERLINK("https://klasma.github.io/Logging_2182/tillsyn/A 58261-2024 tillsynsbegäran.docx", "A 58261-2024")</f>
        <v/>
      </c>
      <c r="Y23">
        <f>HYPERLINK("https://klasma.github.io/Logging_2182/tillsynsmail/A 58261-2024 tillsynsbegäran mail.docx", "A 58261-2024")</f>
        <v/>
      </c>
    </row>
    <row r="24" ht="15" customHeight="1">
      <c r="A24" t="inlineStr">
        <is>
          <t>A 58077-2024</t>
        </is>
      </c>
      <c r="B24" s="1" t="n">
        <v>45632.31140046296</v>
      </c>
      <c r="C24" s="1" t="n">
        <v>46119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HYPERLINK("https://klasma.github.io/Logging_2182/artfynd/A 58077-2024 artfynd.xlsx", "A 58077-2024")</f>
        <v/>
      </c>
      <c r="T24">
        <f>HYPERLINK("https://klasma.github.io/Logging_2182/kartor/A 58077-2024 karta.png", "A 58077-2024")</f>
        <v/>
      </c>
      <c r="V24">
        <f>HYPERLINK("https://klasma.github.io/Logging_2182/klagomål/A 58077-2024 FSC-klagomål.docx", "A 58077-2024")</f>
        <v/>
      </c>
      <c r="W24">
        <f>HYPERLINK("https://klasma.github.io/Logging_2182/klagomålsmail/A 58077-2024 FSC-klagomål mail.docx", "A 58077-2024")</f>
        <v/>
      </c>
      <c r="X24">
        <f>HYPERLINK("https://klasma.github.io/Logging_2182/tillsyn/A 58077-2024 tillsynsbegäran.docx", "A 58077-2024")</f>
        <v/>
      </c>
      <c r="Y24">
        <f>HYPERLINK("https://klasma.github.io/Logging_2182/tillsynsmail/A 58077-2024 tillsynsbegäran mail.docx", "A 58077-2024")</f>
        <v/>
      </c>
    </row>
    <row r="25" ht="15" customHeight="1">
      <c r="A25" t="inlineStr">
        <is>
          <t>A 59848-2025</t>
        </is>
      </c>
      <c r="B25" s="1" t="n">
        <v>45992.6877662037</v>
      </c>
      <c r="C25" s="1" t="n">
        <v>46119</v>
      </c>
      <c r="D25" t="inlineStr">
        <is>
          <t>GÄVLEBORGS LÄN</t>
        </is>
      </c>
      <c r="E25" t="inlineStr">
        <is>
          <t>SÖDERHAMN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HYPERLINK("https://klasma.github.io/Logging_2182/artfynd/A 59848-2025 artfynd.xlsx", "A 59848-2025")</f>
        <v/>
      </c>
      <c r="T25">
        <f>HYPERLINK("https://klasma.github.io/Logging_2182/kartor/A 59848-2025 karta.png", "A 59848-2025")</f>
        <v/>
      </c>
      <c r="V25">
        <f>HYPERLINK("https://klasma.github.io/Logging_2182/klagomål/A 59848-2025 FSC-klagomål.docx", "A 59848-2025")</f>
        <v/>
      </c>
      <c r="W25">
        <f>HYPERLINK("https://klasma.github.io/Logging_2182/klagomålsmail/A 59848-2025 FSC-klagomål mail.docx", "A 59848-2025")</f>
        <v/>
      </c>
      <c r="X25">
        <f>HYPERLINK("https://klasma.github.io/Logging_2182/tillsyn/A 59848-2025 tillsynsbegäran.docx", "A 59848-2025")</f>
        <v/>
      </c>
      <c r="Y25">
        <f>HYPERLINK("https://klasma.github.io/Logging_2182/tillsynsmail/A 59848-2025 tillsynsbegäran mail.docx", "A 59848-2025")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46119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60322-2025</t>
        </is>
      </c>
      <c r="B27" s="1" t="n">
        <v>45994.72599537037</v>
      </c>
      <c r="C27" s="1" t="n">
        <v>46119</v>
      </c>
      <c r="D27" t="inlineStr">
        <is>
          <t>GÄVLEBORGS LÄN</t>
        </is>
      </c>
      <c r="E27" t="inlineStr">
        <is>
          <t>SÖDERHAMN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HYPERLINK("https://klasma.github.io/Logging_2182/artfynd/A 60322-2025 artfynd.xlsx", "A 60322-2025")</f>
        <v/>
      </c>
      <c r="T27">
        <f>HYPERLINK("https://klasma.github.io/Logging_2182/kartor/A 60322-2025 karta.png", "A 60322-2025")</f>
        <v/>
      </c>
      <c r="V27">
        <f>HYPERLINK("https://klasma.github.io/Logging_2182/klagomål/A 60322-2025 FSC-klagomål.docx", "A 60322-2025")</f>
        <v/>
      </c>
      <c r="W27">
        <f>HYPERLINK("https://klasma.github.io/Logging_2182/klagomålsmail/A 60322-2025 FSC-klagomål mail.docx", "A 60322-2025")</f>
        <v/>
      </c>
      <c r="X27">
        <f>HYPERLINK("https://klasma.github.io/Logging_2182/tillsyn/A 60322-2025 tillsynsbegäran.docx", "A 60322-2025")</f>
        <v/>
      </c>
      <c r="Y27">
        <f>HYPERLINK("https://klasma.github.io/Logging_2182/tillsynsmail/A 60322-2025 tillsynsbegäran mail.docx", "A 60322-2025")</f>
        <v/>
      </c>
      <c r="Z27">
        <f>HYPERLINK("https://klasma.github.io/Logging_2182/fåglar/A 60322-2025 prioriterade fågelarter.docx", "A 60322-2025")</f>
        <v/>
      </c>
    </row>
    <row r="28" ht="15" customHeight="1">
      <c r="A28" t="inlineStr">
        <is>
          <t>A 60318-2025</t>
        </is>
      </c>
      <c r="B28" s="1" t="n">
        <v>45994.71618055556</v>
      </c>
      <c r="C28" s="1" t="n">
        <v>46119</v>
      </c>
      <c r="D28" t="inlineStr">
        <is>
          <t>GÄVLEBORGS LÄN</t>
        </is>
      </c>
      <c r="E28" t="inlineStr">
        <is>
          <t>SÖDERHAMN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HYPERLINK("https://klasma.github.io/Logging_2182/artfynd/A 60318-2025 artfynd.xlsx", "A 60318-2025")</f>
        <v/>
      </c>
      <c r="T28">
        <f>HYPERLINK("https://klasma.github.io/Logging_2182/kartor/A 60318-2025 karta.png", "A 60318-2025")</f>
        <v/>
      </c>
      <c r="V28">
        <f>HYPERLINK("https://klasma.github.io/Logging_2182/klagomål/A 60318-2025 FSC-klagomål.docx", "A 60318-2025")</f>
        <v/>
      </c>
      <c r="W28">
        <f>HYPERLINK("https://klasma.github.io/Logging_2182/klagomålsmail/A 60318-2025 FSC-klagomål mail.docx", "A 60318-2025")</f>
        <v/>
      </c>
      <c r="X28">
        <f>HYPERLINK("https://klasma.github.io/Logging_2182/tillsyn/A 60318-2025 tillsynsbegäran.docx", "A 60318-2025")</f>
        <v/>
      </c>
      <c r="Y28">
        <f>HYPERLINK("https://klasma.github.io/Logging_2182/tillsynsmail/A 60318-2025 tillsynsbegäran mail.docx", "A 60318-2025")</f>
        <v/>
      </c>
    </row>
    <row r="29" ht="15" customHeight="1">
      <c r="A29" t="inlineStr">
        <is>
          <t>A 203-2026</t>
        </is>
      </c>
      <c r="B29" s="1" t="n">
        <v>46026</v>
      </c>
      <c r="C29" s="1" t="n">
        <v>46119</v>
      </c>
      <c r="D29" t="inlineStr">
        <is>
          <t>GÄVLEBORGS LÄN</t>
        </is>
      </c>
      <c r="E29" t="inlineStr">
        <is>
          <t>SÖDERHAMN</t>
        </is>
      </c>
      <c r="F29" t="inlineStr">
        <is>
          <t>Kommuner</t>
        </is>
      </c>
      <c r="G29" t="n">
        <v>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Svart taggsvamp agg.</t>
        </is>
      </c>
      <c r="S29">
        <f>HYPERLINK("https://klasma.github.io/Logging_2182/artfynd/A 203-2026 artfynd.xlsx", "A 203-2026")</f>
        <v/>
      </c>
      <c r="T29">
        <f>HYPERLINK("https://klasma.github.io/Logging_2182/kartor/A 203-2026 karta.png", "A 203-2026")</f>
        <v/>
      </c>
      <c r="V29">
        <f>HYPERLINK("https://klasma.github.io/Logging_2182/klagomål/A 203-2026 FSC-klagomål.docx", "A 203-2026")</f>
        <v/>
      </c>
      <c r="W29">
        <f>HYPERLINK("https://klasma.github.io/Logging_2182/klagomålsmail/A 203-2026 FSC-klagomål mail.docx", "A 203-2026")</f>
        <v/>
      </c>
      <c r="X29">
        <f>HYPERLINK("https://klasma.github.io/Logging_2182/tillsyn/A 203-2026 tillsynsbegäran.docx", "A 203-2026")</f>
        <v/>
      </c>
      <c r="Y29">
        <f>HYPERLINK("https://klasma.github.io/Logging_2182/tillsynsmail/A 203-2026 tillsynsbegäran mail.docx", "A 203-2026")</f>
        <v/>
      </c>
    </row>
    <row r="30" ht="15" customHeight="1">
      <c r="A30" t="inlineStr">
        <is>
          <t>A 424-2026</t>
        </is>
      </c>
      <c r="B30" s="1" t="n">
        <v>46029</v>
      </c>
      <c r="C30" s="1" t="n">
        <v>46119</v>
      </c>
      <c r="D30" t="inlineStr">
        <is>
          <t>GÄVLEBORGS LÄN</t>
        </is>
      </c>
      <c r="E30" t="inlineStr">
        <is>
          <t>SÖDERHAMN</t>
        </is>
      </c>
      <c r="G30" t="n">
        <v>26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HYPERLINK("https://klasma.github.io/Logging_2182/artfynd/A 424-2026 artfynd.xlsx", "A 424-2026")</f>
        <v/>
      </c>
      <c r="T30">
        <f>HYPERLINK("https://klasma.github.io/Logging_2182/kartor/A 424-2026 karta.png", "A 424-2026")</f>
        <v/>
      </c>
      <c r="V30">
        <f>HYPERLINK("https://klasma.github.io/Logging_2182/klagomål/A 424-2026 FSC-klagomål.docx", "A 424-2026")</f>
        <v/>
      </c>
      <c r="W30">
        <f>HYPERLINK("https://klasma.github.io/Logging_2182/klagomålsmail/A 424-2026 FSC-klagomål mail.docx", "A 424-2026")</f>
        <v/>
      </c>
      <c r="X30">
        <f>HYPERLINK("https://klasma.github.io/Logging_2182/tillsyn/A 424-2026 tillsynsbegäran.docx", "A 424-2026")</f>
        <v/>
      </c>
      <c r="Y30">
        <f>HYPERLINK("https://klasma.github.io/Logging_2182/tillsynsmail/A 424-2026 tillsynsbegäran mail.docx", "A 424-2026")</f>
        <v/>
      </c>
    </row>
    <row r="31" ht="15" customHeight="1">
      <c r="A31" t="inlineStr">
        <is>
          <t>A 10133-2026</t>
        </is>
      </c>
      <c r="B31" s="1" t="n">
        <v>46076</v>
      </c>
      <c r="C31" s="1" t="n">
        <v>46119</v>
      </c>
      <c r="D31" t="inlineStr">
        <is>
          <t>GÄVLEBORGS LÄN</t>
        </is>
      </c>
      <c r="E31" t="inlineStr">
        <is>
          <t>SÖDERHAMN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HYPERLINK("https://klasma.github.io/Logging_2182/artfynd/A 10133-2026 artfynd.xlsx", "A 10133-2026")</f>
        <v/>
      </c>
      <c r="T31">
        <f>HYPERLINK("https://klasma.github.io/Logging_2182/kartor/A 10133-2026 karta.png", "A 10133-2026")</f>
        <v/>
      </c>
      <c r="V31">
        <f>HYPERLINK("https://klasma.github.io/Logging_2182/klagomål/A 10133-2026 FSC-klagomål.docx", "A 10133-2026")</f>
        <v/>
      </c>
      <c r="W31">
        <f>HYPERLINK("https://klasma.github.io/Logging_2182/klagomålsmail/A 10133-2026 FSC-klagomål mail.docx", "A 10133-2026")</f>
        <v/>
      </c>
      <c r="X31">
        <f>HYPERLINK("https://klasma.github.io/Logging_2182/tillsyn/A 10133-2026 tillsynsbegäran.docx", "A 10133-2026")</f>
        <v/>
      </c>
      <c r="Y31">
        <f>HYPERLINK("https://klasma.github.io/Logging_2182/tillsynsmail/A 10133-2026 tillsynsbegäran mail.docx", "A 10133-2026")</f>
        <v/>
      </c>
      <c r="Z31">
        <f>HYPERLINK("https://klasma.github.io/Logging_2182/fåglar/A 10133-2026 prioriterade fågelarter.docx", "A 10133-2026")</f>
        <v/>
      </c>
    </row>
    <row r="32" ht="15" customHeight="1">
      <c r="A32" t="inlineStr">
        <is>
          <t>A 3731-2026</t>
        </is>
      </c>
      <c r="B32" s="1" t="n">
        <v>46043</v>
      </c>
      <c r="C32" s="1" t="n">
        <v>46119</v>
      </c>
      <c r="D32" t="inlineStr">
        <is>
          <t>GÄVLEBORGS LÄN</t>
        </is>
      </c>
      <c r="E32" t="inlineStr">
        <is>
          <t>SÖDERHAMN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Scharlakansskål</t>
        </is>
      </c>
      <c r="S32">
        <f>HYPERLINK("https://klasma.github.io/Logging_2182/artfynd/A 3731-2026 artfynd.xlsx", "A 3731-2026")</f>
        <v/>
      </c>
      <c r="T32">
        <f>HYPERLINK("https://klasma.github.io/Logging_2182/kartor/A 3731-2026 karta.png", "A 3731-2026")</f>
        <v/>
      </c>
      <c r="V32">
        <f>HYPERLINK("https://klasma.github.io/Logging_2182/klagomål/A 3731-2026 FSC-klagomål.docx", "A 3731-2026")</f>
        <v/>
      </c>
      <c r="W32">
        <f>HYPERLINK("https://klasma.github.io/Logging_2182/klagomålsmail/A 3731-2026 FSC-klagomål mail.docx", "A 3731-2026")</f>
        <v/>
      </c>
      <c r="X32">
        <f>HYPERLINK("https://klasma.github.io/Logging_2182/tillsyn/A 3731-2026 tillsynsbegäran.docx", "A 3731-2026")</f>
        <v/>
      </c>
      <c r="Y32">
        <f>HYPERLINK("https://klasma.github.io/Logging_2182/tillsynsmail/A 3731-2026 tillsynsbegäran mail.docx", "A 3731-2026")</f>
        <v/>
      </c>
    </row>
    <row r="33" ht="15" customHeight="1">
      <c r="A33" t="inlineStr">
        <is>
          <t>A 11791-2026</t>
        </is>
      </c>
      <c r="B33" s="1" t="n">
        <v>46085.30833333333</v>
      </c>
      <c r="C33" s="1" t="n">
        <v>46119</v>
      </c>
      <c r="D33" t="inlineStr">
        <is>
          <t>GÄVLEBORGS LÄN</t>
        </is>
      </c>
      <c r="E33" t="inlineStr">
        <is>
          <t>SÖDERHAMN</t>
        </is>
      </c>
      <c r="G33" t="n">
        <v>8.1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HYPERLINK("https://klasma.github.io/Logging_2182/artfynd/A 11791-2026 artfynd.xlsx", "A 11791-2026")</f>
        <v/>
      </c>
      <c r="T33">
        <f>HYPERLINK("https://klasma.github.io/Logging_2182/kartor/A 11791-2026 karta.png", "A 11791-2026")</f>
        <v/>
      </c>
      <c r="V33">
        <f>HYPERLINK("https://klasma.github.io/Logging_2182/klagomål/A 11791-2026 FSC-klagomål.docx", "A 11791-2026")</f>
        <v/>
      </c>
      <c r="W33">
        <f>HYPERLINK("https://klasma.github.io/Logging_2182/klagomålsmail/A 11791-2026 FSC-klagomål mail.docx", "A 11791-2026")</f>
        <v/>
      </c>
      <c r="X33">
        <f>HYPERLINK("https://klasma.github.io/Logging_2182/tillsyn/A 11791-2026 tillsynsbegäran.docx", "A 11791-2026")</f>
        <v/>
      </c>
      <c r="Y33">
        <f>HYPERLINK("https://klasma.github.io/Logging_2182/tillsynsmail/A 11791-2026 tillsynsbegäran mail.docx", "A 11791-2026")</f>
        <v/>
      </c>
    </row>
    <row r="34" ht="15" customHeight="1">
      <c r="A34" t="inlineStr">
        <is>
          <t>A 4276-2026</t>
        </is>
      </c>
      <c r="B34" s="1" t="n">
        <v>46045.37459490741</v>
      </c>
      <c r="C34" s="1" t="n">
        <v>46119</v>
      </c>
      <c r="D34" t="inlineStr">
        <is>
          <t>GÄVLEBORGS LÄN</t>
        </is>
      </c>
      <c r="E34" t="inlineStr">
        <is>
          <t>SÖDERHAMN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Dofttaggsvamp</t>
        </is>
      </c>
      <c r="S34">
        <f>HYPERLINK("https://klasma.github.io/Logging_2182/artfynd/A 4276-2026 artfynd.xlsx", "A 4276-2026")</f>
        <v/>
      </c>
      <c r="T34">
        <f>HYPERLINK("https://klasma.github.io/Logging_2182/kartor/A 4276-2026 karta.png", "A 4276-2026")</f>
        <v/>
      </c>
      <c r="V34">
        <f>HYPERLINK("https://klasma.github.io/Logging_2182/klagomål/A 4276-2026 FSC-klagomål.docx", "A 4276-2026")</f>
        <v/>
      </c>
      <c r="W34">
        <f>HYPERLINK("https://klasma.github.io/Logging_2182/klagomålsmail/A 4276-2026 FSC-klagomål mail.docx", "A 4276-2026")</f>
        <v/>
      </c>
      <c r="X34">
        <f>HYPERLINK("https://klasma.github.io/Logging_2182/tillsyn/A 4276-2026 tillsynsbegäran.docx", "A 4276-2026")</f>
        <v/>
      </c>
      <c r="Y34">
        <f>HYPERLINK("https://klasma.github.io/Logging_2182/tillsynsmail/A 4276-2026 tillsynsbegäran mail.docx", "A 4276-2026")</f>
        <v/>
      </c>
    </row>
    <row r="35" ht="15" customHeight="1">
      <c r="A35" t="inlineStr">
        <is>
          <t>A 3958-2026</t>
        </is>
      </c>
      <c r="B35" s="1" t="n">
        <v>46044</v>
      </c>
      <c r="C35" s="1" t="n">
        <v>46119</v>
      </c>
      <c r="D35" t="inlineStr">
        <is>
          <t>GÄVLEBORGS LÄN</t>
        </is>
      </c>
      <c r="E35" t="inlineStr">
        <is>
          <t>SÖDERHAMN</t>
        </is>
      </c>
      <c r="G35" t="n">
        <v>6.4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Skogstrappmossa</t>
        </is>
      </c>
      <c r="S35">
        <f>HYPERLINK("https://klasma.github.io/Logging_2182/artfynd/A 3958-2026 artfynd.xlsx", "A 3958-2026")</f>
        <v/>
      </c>
      <c r="T35">
        <f>HYPERLINK("https://klasma.github.io/Logging_2182/kartor/A 3958-2026 karta.png", "A 3958-2026")</f>
        <v/>
      </c>
      <c r="V35">
        <f>HYPERLINK("https://klasma.github.io/Logging_2182/klagomål/A 3958-2026 FSC-klagomål.docx", "A 3958-2026")</f>
        <v/>
      </c>
      <c r="W35">
        <f>HYPERLINK("https://klasma.github.io/Logging_2182/klagomålsmail/A 3958-2026 FSC-klagomål mail.docx", "A 3958-2026")</f>
        <v/>
      </c>
      <c r="X35">
        <f>HYPERLINK("https://klasma.github.io/Logging_2182/tillsyn/A 3958-2026 tillsynsbegäran.docx", "A 3958-2026")</f>
        <v/>
      </c>
      <c r="Y35">
        <f>HYPERLINK("https://klasma.github.io/Logging_2182/tillsynsmail/A 3958-2026 tillsynsbegäran mail.docx", "A 3958-2026")</f>
        <v/>
      </c>
    </row>
    <row r="36" ht="15" customHeight="1">
      <c r="A36" t="inlineStr">
        <is>
          <t>A 25237-2022</t>
        </is>
      </c>
      <c r="B36" s="1" t="n">
        <v>44729</v>
      </c>
      <c r="C36" s="1" t="n">
        <v>46119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18.6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HYPERLINK("https://klasma.github.io/Logging_2182/artfynd/A 25237-2022 artfynd.xlsx", "A 25237-2022")</f>
        <v/>
      </c>
      <c r="T36">
        <f>HYPERLINK("https://klasma.github.io/Logging_2182/kartor/A 25237-2022 karta.png", "A 25237-2022")</f>
        <v/>
      </c>
      <c r="V36">
        <f>HYPERLINK("https://klasma.github.io/Logging_2182/klagomål/A 25237-2022 FSC-klagomål.docx", "A 25237-2022")</f>
        <v/>
      </c>
      <c r="W36">
        <f>HYPERLINK("https://klasma.github.io/Logging_2182/klagomålsmail/A 25237-2022 FSC-klagomål mail.docx", "A 25237-2022")</f>
        <v/>
      </c>
      <c r="X36">
        <f>HYPERLINK("https://klasma.github.io/Logging_2182/tillsyn/A 25237-2022 tillsynsbegäran.docx", "A 25237-2022")</f>
        <v/>
      </c>
      <c r="Y36">
        <f>HYPERLINK("https://klasma.github.io/Logging_2182/tillsynsmail/A 25237-2022 tillsynsbegäran mail.docx", "A 25237-2022")</f>
        <v/>
      </c>
      <c r="Z36">
        <f>HYPERLINK("https://klasma.github.io/Logging_2182/fåglar/A 25237-2022 prioriterade fågelarter.docx", "A 25237-2022")</f>
        <v/>
      </c>
    </row>
    <row r="37" ht="15" customHeight="1">
      <c r="A37" t="inlineStr">
        <is>
          <t>A 6060-2026</t>
        </is>
      </c>
      <c r="B37" s="1" t="n">
        <v>46052</v>
      </c>
      <c r="C37" s="1" t="n">
        <v>46119</v>
      </c>
      <c r="D37" t="inlineStr">
        <is>
          <t>GÄVLEBORGS LÄN</t>
        </is>
      </c>
      <c r="E37" t="inlineStr">
        <is>
          <t>SÖDERHAMN</t>
        </is>
      </c>
      <c r="G37" t="n">
        <v>2.9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Barkticka</t>
        </is>
      </c>
      <c r="S37">
        <f>HYPERLINK("https://klasma.github.io/Logging_2182/artfynd/A 6060-2026 artfynd.xlsx", "A 6060-2026")</f>
        <v/>
      </c>
      <c r="T37">
        <f>HYPERLINK("https://klasma.github.io/Logging_2182/kartor/A 6060-2026 karta.png", "A 6060-2026")</f>
        <v/>
      </c>
      <c r="V37">
        <f>HYPERLINK("https://klasma.github.io/Logging_2182/klagomål/A 6060-2026 FSC-klagomål.docx", "A 6060-2026")</f>
        <v/>
      </c>
      <c r="W37">
        <f>HYPERLINK("https://klasma.github.io/Logging_2182/klagomålsmail/A 6060-2026 FSC-klagomål mail.docx", "A 6060-2026")</f>
        <v/>
      </c>
      <c r="X37">
        <f>HYPERLINK("https://klasma.github.io/Logging_2182/tillsyn/A 6060-2026 tillsynsbegäran.docx", "A 6060-2026")</f>
        <v/>
      </c>
      <c r="Y37">
        <f>HYPERLINK("https://klasma.github.io/Logging_2182/tillsynsmail/A 6060-2026 tillsynsbegäran mail.docx", "A 6060-2026")</f>
        <v/>
      </c>
    </row>
    <row r="38" ht="15" customHeight="1">
      <c r="A38" t="inlineStr">
        <is>
          <t>A 5952-2026</t>
        </is>
      </c>
      <c r="B38" s="1" t="n">
        <v>46052.4909375</v>
      </c>
      <c r="C38" s="1" t="n">
        <v>46119</v>
      </c>
      <c r="D38" t="inlineStr">
        <is>
          <t>GÄVLEBORGS LÄN</t>
        </is>
      </c>
      <c r="E38" t="inlineStr">
        <is>
          <t>SÖDERHAMN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Stor aspticka</t>
        </is>
      </c>
      <c r="S38">
        <f>HYPERLINK("https://klasma.github.io/Logging_2182/artfynd/A 5952-2026 artfynd.xlsx", "A 5952-2026")</f>
        <v/>
      </c>
      <c r="T38">
        <f>HYPERLINK("https://klasma.github.io/Logging_2182/kartor/A 5952-2026 karta.png", "A 5952-2026")</f>
        <v/>
      </c>
      <c r="V38">
        <f>HYPERLINK("https://klasma.github.io/Logging_2182/klagomål/A 5952-2026 FSC-klagomål.docx", "A 5952-2026")</f>
        <v/>
      </c>
      <c r="W38">
        <f>HYPERLINK("https://klasma.github.io/Logging_2182/klagomålsmail/A 5952-2026 FSC-klagomål mail.docx", "A 5952-2026")</f>
        <v/>
      </c>
      <c r="X38">
        <f>HYPERLINK("https://klasma.github.io/Logging_2182/tillsyn/A 5952-2026 tillsynsbegäran.docx", "A 5952-2026")</f>
        <v/>
      </c>
      <c r="Y38">
        <f>HYPERLINK("https://klasma.github.io/Logging_2182/tillsynsmail/A 5952-2026 tillsynsbegäran mail.docx", "A 5952-2026")</f>
        <v/>
      </c>
    </row>
    <row r="39" ht="15" customHeight="1">
      <c r="A39" t="inlineStr">
        <is>
          <t>A 58074-2024</t>
        </is>
      </c>
      <c r="B39" s="1" t="n">
        <v>45632.28496527778</v>
      </c>
      <c r="C39" s="1" t="n">
        <v>46119</v>
      </c>
      <c r="D39" t="inlineStr">
        <is>
          <t>GÄVLEBORGS LÄN</t>
        </is>
      </c>
      <c r="E39" t="inlineStr">
        <is>
          <t>SÖDERHAMN</t>
        </is>
      </c>
      <c r="F39" t="inlineStr">
        <is>
          <t>Bergvik skog väst AB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Doftskinn</t>
        </is>
      </c>
      <c r="S39">
        <f>HYPERLINK("https://klasma.github.io/Logging_2182/artfynd/A 58074-2024 artfynd.xlsx", "A 58074-2024")</f>
        <v/>
      </c>
      <c r="T39">
        <f>HYPERLINK("https://klasma.github.io/Logging_2182/kartor/A 58074-2024 karta.png", "A 58074-2024")</f>
        <v/>
      </c>
      <c r="V39">
        <f>HYPERLINK("https://klasma.github.io/Logging_2182/klagomål/A 58074-2024 FSC-klagomål.docx", "A 58074-2024")</f>
        <v/>
      </c>
      <c r="W39">
        <f>HYPERLINK("https://klasma.github.io/Logging_2182/klagomålsmail/A 58074-2024 FSC-klagomål mail.docx", "A 58074-2024")</f>
        <v/>
      </c>
      <c r="X39">
        <f>HYPERLINK("https://klasma.github.io/Logging_2182/tillsyn/A 58074-2024 tillsynsbegäran.docx", "A 58074-2024")</f>
        <v/>
      </c>
      <c r="Y39">
        <f>HYPERLINK("https://klasma.github.io/Logging_2182/tillsynsmail/A 58074-2024 tillsynsbegäran mail.docx", "A 58074-2024")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46119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64152-2021</t>
        </is>
      </c>
      <c r="B41" s="1" t="n">
        <v>44510.54027777778</v>
      </c>
      <c r="C41" s="1" t="n">
        <v>46119</v>
      </c>
      <c r="D41" t="inlineStr">
        <is>
          <t>GÄVLEBORGS LÄN</t>
        </is>
      </c>
      <c r="E41" t="inlineStr">
        <is>
          <t>SÖDERHAMN</t>
        </is>
      </c>
      <c r="F41" t="inlineStr">
        <is>
          <t>Bergvik skog väst AB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32750-2022</t>
        </is>
      </c>
      <c r="B42" s="1" t="n">
        <v>44783.76981481481</v>
      </c>
      <c r="C42" s="1" t="n">
        <v>46119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16307-2021</t>
        </is>
      </c>
      <c r="B43" s="1" t="n">
        <v>44292.69246527777</v>
      </c>
      <c r="C43" s="1" t="n">
        <v>46119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46119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16312-2021</t>
        </is>
      </c>
      <c r="B45" s="1" t="n">
        <v>44292</v>
      </c>
      <c r="C45" s="1" t="n">
        <v>46119</v>
      </c>
      <c r="D45" t="inlineStr">
        <is>
          <t>GÄVLEBORGS LÄN</t>
        </is>
      </c>
      <c r="E45" t="inlineStr">
        <is>
          <t>SÖDERHAMN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18503-2022</t>
        </is>
      </c>
      <c r="B46" s="1" t="n">
        <v>44686</v>
      </c>
      <c r="C46" s="1" t="n">
        <v>46119</v>
      </c>
      <c r="D46" t="inlineStr">
        <is>
          <t>GÄVLEBORGS LÄN</t>
        </is>
      </c>
      <c r="E46" t="inlineStr">
        <is>
          <t>SÖDERHAMN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40273-2021</t>
        </is>
      </c>
      <c r="B47" s="1" t="n">
        <v>44419</v>
      </c>
      <c r="C47" s="1" t="n">
        <v>46119</v>
      </c>
      <c r="D47" t="inlineStr">
        <is>
          <t>GÄVLEBORGS LÄN</t>
        </is>
      </c>
      <c r="E47" t="inlineStr">
        <is>
          <t>SÖDERHAMN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22354-2021</t>
        </is>
      </c>
      <c r="B48" s="1" t="n">
        <v>44326.55663194445</v>
      </c>
      <c r="C48" s="1" t="n">
        <v>46119</v>
      </c>
      <c r="D48" t="inlineStr">
        <is>
          <t>GÄVLEBORGS LÄN</t>
        </is>
      </c>
      <c r="E48" t="inlineStr">
        <is>
          <t>SÖDERHAMN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67634-2021</t>
        </is>
      </c>
      <c r="B49" s="1" t="n">
        <v>44524.6865625</v>
      </c>
      <c r="C49" s="1" t="n">
        <v>46119</v>
      </c>
      <c r="D49" t="inlineStr">
        <is>
          <t>GÄVLEBORGS LÄN</t>
        </is>
      </c>
      <c r="E49" t="inlineStr">
        <is>
          <t>SÖDERHAMN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12358-2022</t>
        </is>
      </c>
      <c r="B50" s="1" t="n">
        <v>44637</v>
      </c>
      <c r="C50" s="1" t="n">
        <v>46119</v>
      </c>
      <c r="D50" t="inlineStr">
        <is>
          <t>GÄVLEBORGS LÄN</t>
        </is>
      </c>
      <c r="E50" t="inlineStr">
        <is>
          <t>SÖDERHAMN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41037-2022</t>
        </is>
      </c>
      <c r="B51" s="1" t="n">
        <v>44824</v>
      </c>
      <c r="C51" s="1" t="n">
        <v>46119</v>
      </c>
      <c r="D51" t="inlineStr">
        <is>
          <t>GÄVLEBORGS LÄN</t>
        </is>
      </c>
      <c r="E51" t="inlineStr">
        <is>
          <t>SÖDERHAMN</t>
        </is>
      </c>
      <c r="F51" t="inlineStr">
        <is>
          <t>Kommuner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43875-2022</t>
        </is>
      </c>
      <c r="B52" s="1" t="n">
        <v>44837</v>
      </c>
      <c r="C52" s="1" t="n">
        <v>46119</v>
      </c>
      <c r="D52" t="inlineStr">
        <is>
          <t>GÄVLEBORGS LÄN</t>
        </is>
      </c>
      <c r="E52" t="inlineStr">
        <is>
          <t>SÖDERHAMN</t>
        </is>
      </c>
      <c r="G52" t="n">
        <v>15.1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9261-2022</t>
        </is>
      </c>
      <c r="B53" s="1" t="n">
        <v>44616</v>
      </c>
      <c r="C53" s="1" t="n">
        <v>46119</v>
      </c>
      <c r="D53" t="inlineStr">
        <is>
          <t>GÄVLEBORGS LÄN</t>
        </is>
      </c>
      <c r="E53" t="inlineStr">
        <is>
          <t>SÖDERHAMN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26939-2022</t>
        </is>
      </c>
      <c r="B54" s="1" t="n">
        <v>44740</v>
      </c>
      <c r="C54" s="1" t="n">
        <v>46119</v>
      </c>
      <c r="D54" t="inlineStr">
        <is>
          <t>GÄVLEBORGS LÄN</t>
        </is>
      </c>
      <c r="E54" t="inlineStr">
        <is>
          <t>SÖDERHAMN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40468-2022</t>
        </is>
      </c>
      <c r="B55" s="1" t="n">
        <v>44823.53434027778</v>
      </c>
      <c r="C55" s="1" t="n">
        <v>46119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26940-2022</t>
        </is>
      </c>
      <c r="B56" s="1" t="n">
        <v>44740</v>
      </c>
      <c r="C56" s="1" t="n">
        <v>46119</v>
      </c>
      <c r="D56" t="inlineStr">
        <is>
          <t>GÄVLEBORGS LÄN</t>
        </is>
      </c>
      <c r="E56" t="inlineStr">
        <is>
          <t>SÖDERHAMN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16305-2021</t>
        </is>
      </c>
      <c r="B57" s="1" t="n">
        <v>44292</v>
      </c>
      <c r="C57" s="1" t="n">
        <v>46119</v>
      </c>
      <c r="D57" t="inlineStr">
        <is>
          <t>GÄVLEBORGS LÄN</t>
        </is>
      </c>
      <c r="E57" t="inlineStr">
        <is>
          <t>SÖDERHAMN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46119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58198-2021</t>
        </is>
      </c>
      <c r="B59" s="1" t="n">
        <v>44487</v>
      </c>
      <c r="C59" s="1" t="n">
        <v>46119</v>
      </c>
      <c r="D59" t="inlineStr">
        <is>
          <t>GÄVLEBORGS LÄN</t>
        </is>
      </c>
      <c r="E59" t="inlineStr">
        <is>
          <t>SÖDERHAMN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46975-2021</t>
        </is>
      </c>
      <c r="B60" s="1" t="n">
        <v>44446.55512731482</v>
      </c>
      <c r="C60" s="1" t="n">
        <v>46119</v>
      </c>
      <c r="D60" t="inlineStr">
        <is>
          <t>GÄVLEBORGS LÄN</t>
        </is>
      </c>
      <c r="E60" t="inlineStr">
        <is>
          <t>SÖDERHAMN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46302-2022</t>
        </is>
      </c>
      <c r="B61" s="1" t="n">
        <v>44847</v>
      </c>
      <c r="C61" s="1" t="n">
        <v>46119</v>
      </c>
      <c r="D61" t="inlineStr">
        <is>
          <t>GÄVLEBORGS LÄN</t>
        </is>
      </c>
      <c r="E61" t="inlineStr">
        <is>
          <t>SÖDERHAMN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40575-2022</t>
        </is>
      </c>
      <c r="B62" s="1" t="n">
        <v>44823</v>
      </c>
      <c r="C62" s="1" t="n">
        <v>46119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45494-2022</t>
        </is>
      </c>
      <c r="B63" s="1" t="n">
        <v>44841</v>
      </c>
      <c r="C63" s="1" t="n">
        <v>46119</v>
      </c>
      <c r="D63" t="inlineStr">
        <is>
          <t>GÄVLEBORGS LÄN</t>
        </is>
      </c>
      <c r="E63" t="inlineStr">
        <is>
          <t>SÖDERHAMN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16532-2021</t>
        </is>
      </c>
      <c r="B64" s="1" t="n">
        <v>44293.66891203704</v>
      </c>
      <c r="C64" s="1" t="n">
        <v>46119</v>
      </c>
      <c r="D64" t="inlineStr">
        <is>
          <t>GÄVLEBORGS LÄN</t>
        </is>
      </c>
      <c r="E64" t="inlineStr">
        <is>
          <t>SÖDERHAMN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50876-2022</t>
        </is>
      </c>
      <c r="B65" s="1" t="n">
        <v>44867.57646990741</v>
      </c>
      <c r="C65" s="1" t="n">
        <v>46119</v>
      </c>
      <c r="D65" t="inlineStr">
        <is>
          <t>GÄVLEBORGS LÄN</t>
        </is>
      </c>
      <c r="E65" t="inlineStr">
        <is>
          <t>SÖDERHAMN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72645-2021</t>
        </is>
      </c>
      <c r="B66" s="1" t="n">
        <v>44546</v>
      </c>
      <c r="C66" s="1" t="n">
        <v>46119</v>
      </c>
      <c r="D66" t="inlineStr">
        <is>
          <t>GÄVLEBORGS LÄN</t>
        </is>
      </c>
      <c r="E66" t="inlineStr">
        <is>
          <t>SÖDERHAMN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22019-2022</t>
        </is>
      </c>
      <c r="B67" s="1" t="n">
        <v>44711</v>
      </c>
      <c r="C67" s="1" t="n">
        <v>46119</v>
      </c>
      <c r="D67" t="inlineStr">
        <is>
          <t>GÄVLEBORGS LÄN</t>
        </is>
      </c>
      <c r="E67" t="inlineStr">
        <is>
          <t>SÖDERHAMN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24597-2021</t>
        </is>
      </c>
      <c r="B68" s="1" t="n">
        <v>44340.32287037037</v>
      </c>
      <c r="C68" s="1" t="n">
        <v>46119</v>
      </c>
      <c r="D68" t="inlineStr">
        <is>
          <t>GÄVLEBORGS LÄN</t>
        </is>
      </c>
      <c r="E68" t="inlineStr">
        <is>
          <t>SÖDERHAMN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32749-2022</t>
        </is>
      </c>
      <c r="B69" s="1" t="n">
        <v>44783.73983796296</v>
      </c>
      <c r="C69" s="1" t="n">
        <v>46119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41246-2022</t>
        </is>
      </c>
      <c r="B70" s="1" t="n">
        <v>44826</v>
      </c>
      <c r="C70" s="1" t="n">
        <v>46119</v>
      </c>
      <c r="D70" t="inlineStr">
        <is>
          <t>GÄVLEBORGS LÄN</t>
        </is>
      </c>
      <c r="E70" t="inlineStr">
        <is>
          <t>SÖDERHAMN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40148-2022</t>
        </is>
      </c>
      <c r="B71" s="1" t="n">
        <v>44820.55082175926</v>
      </c>
      <c r="C71" s="1" t="n">
        <v>46119</v>
      </c>
      <c r="D71" t="inlineStr">
        <is>
          <t>GÄVLEBORGS LÄN</t>
        </is>
      </c>
      <c r="E71" t="inlineStr">
        <is>
          <t>SÖDERHAMN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18112-2021</t>
        </is>
      </c>
      <c r="B72" s="1" t="n">
        <v>44302</v>
      </c>
      <c r="C72" s="1" t="n">
        <v>46119</v>
      </c>
      <c r="D72" t="inlineStr">
        <is>
          <t>GÄVLEBORGS LÄN</t>
        </is>
      </c>
      <c r="E72" t="inlineStr">
        <is>
          <t>SÖDERHAMN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59216-2021</t>
        </is>
      </c>
      <c r="B73" s="1" t="n">
        <v>44490.61769675926</v>
      </c>
      <c r="C73" s="1" t="n">
        <v>46119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73447-2021</t>
        </is>
      </c>
      <c r="B74" s="1" t="n">
        <v>44551.56446759259</v>
      </c>
      <c r="C74" s="1" t="n">
        <v>46119</v>
      </c>
      <c r="D74" t="inlineStr">
        <is>
          <t>GÄVLEBORGS LÄN</t>
        </is>
      </c>
      <c r="E74" t="inlineStr">
        <is>
          <t>SÖDERHAMN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43490-2022</t>
        </is>
      </c>
      <c r="B75" s="1" t="n">
        <v>44837.31979166667</v>
      </c>
      <c r="C75" s="1" t="n">
        <v>46119</v>
      </c>
      <c r="D75" t="inlineStr">
        <is>
          <t>GÄVLEBORGS LÄN</t>
        </is>
      </c>
      <c r="E75" t="inlineStr">
        <is>
          <t>SÖDERHAMN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20171-2022</t>
        </is>
      </c>
      <c r="B76" s="1" t="n">
        <v>44698</v>
      </c>
      <c r="C76" s="1" t="n">
        <v>46119</v>
      </c>
      <c r="D76" t="inlineStr">
        <is>
          <t>GÄVLEBORGS LÄN</t>
        </is>
      </c>
      <c r="E76" t="inlineStr">
        <is>
          <t>SÖDERHAMN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15725-2022</t>
        </is>
      </c>
      <c r="B77" s="1" t="n">
        <v>44663.49115740741</v>
      </c>
      <c r="C77" s="1" t="n">
        <v>46119</v>
      </c>
      <c r="D77" t="inlineStr">
        <is>
          <t>GÄVLEBORGS LÄN</t>
        </is>
      </c>
      <c r="E77" t="inlineStr">
        <is>
          <t>SÖDERHAMN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15748-2022</t>
        </is>
      </c>
      <c r="B78" s="1" t="n">
        <v>44663.55478009259</v>
      </c>
      <c r="C78" s="1" t="n">
        <v>46119</v>
      </c>
      <c r="D78" t="inlineStr">
        <is>
          <t>GÄVLEBORGS LÄN</t>
        </is>
      </c>
      <c r="E78" t="inlineStr">
        <is>
          <t>SÖDERHAMN</t>
        </is>
      </c>
      <c r="G78" t="n">
        <v>10.3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40462-2022</t>
        </is>
      </c>
      <c r="B79" s="1" t="n">
        <v>44823</v>
      </c>
      <c r="C79" s="1" t="n">
        <v>46119</v>
      </c>
      <c r="D79" t="inlineStr">
        <is>
          <t>GÄVLEBORGS LÄN</t>
        </is>
      </c>
      <c r="E79" t="inlineStr">
        <is>
          <t>SÖDERHAMN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43936-2022</t>
        </is>
      </c>
      <c r="B80" s="1" t="n">
        <v>44838</v>
      </c>
      <c r="C80" s="1" t="n">
        <v>46119</v>
      </c>
      <c r="D80" t="inlineStr">
        <is>
          <t>GÄVLEBORGS LÄN</t>
        </is>
      </c>
      <c r="E80" t="inlineStr">
        <is>
          <t>SÖDERHAMN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28649-2022</t>
        </is>
      </c>
      <c r="B81" s="1" t="n">
        <v>44748</v>
      </c>
      <c r="C81" s="1" t="n">
        <v>46119</v>
      </c>
      <c r="D81" t="inlineStr">
        <is>
          <t>GÄVLEBORGS LÄN</t>
        </is>
      </c>
      <c r="E81" t="inlineStr">
        <is>
          <t>SÖDERHAMN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20272-2022</t>
        </is>
      </c>
      <c r="B82" s="1" t="n">
        <v>44698.68241898148</v>
      </c>
      <c r="C82" s="1" t="n">
        <v>46119</v>
      </c>
      <c r="D82" t="inlineStr">
        <is>
          <t>GÄVLEBORGS LÄN</t>
        </is>
      </c>
      <c r="E82" t="inlineStr">
        <is>
          <t>SÖDERHAMN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39913-2021</t>
        </is>
      </c>
      <c r="B83" s="1" t="n">
        <v>44417</v>
      </c>
      <c r="C83" s="1" t="n">
        <v>46119</v>
      </c>
      <c r="D83" t="inlineStr">
        <is>
          <t>GÄVLEBORGS LÄN</t>
        </is>
      </c>
      <c r="E83" t="inlineStr">
        <is>
          <t>SÖDERHAMN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35251-2021</t>
        </is>
      </c>
      <c r="B84" s="1" t="n">
        <v>44384</v>
      </c>
      <c r="C84" s="1" t="n">
        <v>46119</v>
      </c>
      <c r="D84" t="inlineStr">
        <is>
          <t>GÄVLEBORGS LÄN</t>
        </is>
      </c>
      <c r="E84" t="inlineStr">
        <is>
          <t>SÖDERHAMN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36680-2021</t>
        </is>
      </c>
      <c r="B85" s="1" t="n">
        <v>44392</v>
      </c>
      <c r="C85" s="1" t="n">
        <v>46119</v>
      </c>
      <c r="D85" t="inlineStr">
        <is>
          <t>GÄVLEBORGS LÄN</t>
        </is>
      </c>
      <c r="E85" t="inlineStr">
        <is>
          <t>SÖDERHAMN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59611-2021</t>
        </is>
      </c>
      <c r="B86" s="1" t="n">
        <v>44491.69429398148</v>
      </c>
      <c r="C86" s="1" t="n">
        <v>46119</v>
      </c>
      <c r="D86" t="inlineStr">
        <is>
          <t>GÄVLEBORGS LÄN</t>
        </is>
      </c>
      <c r="E86" t="inlineStr">
        <is>
          <t>SÖDERHAMN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40793-2024</t>
        </is>
      </c>
      <c r="B87" s="1" t="n">
        <v>45558</v>
      </c>
      <c r="C87" s="1" t="n">
        <v>46119</v>
      </c>
      <c r="D87" t="inlineStr">
        <is>
          <t>GÄVLEBORGS LÄN</t>
        </is>
      </c>
      <c r="E87" t="inlineStr">
        <is>
          <t>SÖDERHAMN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29289-2022</t>
        </is>
      </c>
      <c r="B88" s="1" t="n">
        <v>44750</v>
      </c>
      <c r="C88" s="1" t="n">
        <v>46119</v>
      </c>
      <c r="D88" t="inlineStr">
        <is>
          <t>GÄVLEBORGS LÄN</t>
        </is>
      </c>
      <c r="E88" t="inlineStr">
        <is>
          <t>SÖDERHAMN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49944-2024</t>
        </is>
      </c>
      <c r="B89" s="1" t="n">
        <v>45597.60057870371</v>
      </c>
      <c r="C89" s="1" t="n">
        <v>46119</v>
      </c>
      <c r="D89" t="inlineStr">
        <is>
          <t>GÄVLEBORGS LÄN</t>
        </is>
      </c>
      <c r="E89" t="inlineStr">
        <is>
          <t>SÖDERHAMN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59476-2022</t>
        </is>
      </c>
      <c r="B90" s="1" t="n">
        <v>44907.44679398148</v>
      </c>
      <c r="C90" s="1" t="n">
        <v>46119</v>
      </c>
      <c r="D90" t="inlineStr">
        <is>
          <t>GÄVLEBORGS LÄN</t>
        </is>
      </c>
      <c r="E90" t="inlineStr">
        <is>
          <t>SÖDERHAMN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54156-2022</t>
        </is>
      </c>
      <c r="B91" s="1" t="n">
        <v>44881</v>
      </c>
      <c r="C91" s="1" t="n">
        <v>46119</v>
      </c>
      <c r="D91" t="inlineStr">
        <is>
          <t>GÄVLEBORGS LÄN</t>
        </is>
      </c>
      <c r="E91" t="inlineStr">
        <is>
          <t>SÖDERHAMN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29813-2023</t>
        </is>
      </c>
      <c r="B92" s="1" t="n">
        <v>45107.55283564814</v>
      </c>
      <c r="C92" s="1" t="n">
        <v>46119</v>
      </c>
      <c r="D92" t="inlineStr">
        <is>
          <t>GÄVLEBORGS LÄN</t>
        </is>
      </c>
      <c r="E92" t="inlineStr">
        <is>
          <t>SÖDERHAMN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54608-2024</t>
        </is>
      </c>
      <c r="B93" s="1" t="n">
        <v>45617.6917824074</v>
      </c>
      <c r="C93" s="1" t="n">
        <v>46119</v>
      </c>
      <c r="D93" t="inlineStr">
        <is>
          <t>GÄVLEBORGS LÄN</t>
        </is>
      </c>
      <c r="E93" t="inlineStr">
        <is>
          <t>SÖDERHAMN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62339-2023</t>
        </is>
      </c>
      <c r="B94" s="1" t="n">
        <v>45267.92671296297</v>
      </c>
      <c r="C94" s="1" t="n">
        <v>46119</v>
      </c>
      <c r="D94" t="inlineStr">
        <is>
          <t>GÄVLEBORGS LÄN</t>
        </is>
      </c>
      <c r="E94" t="inlineStr">
        <is>
          <t>SÖDERHAMN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18902-2025</t>
        </is>
      </c>
      <c r="B95" s="1" t="n">
        <v>45764.45541666666</v>
      </c>
      <c r="C95" s="1" t="n">
        <v>46119</v>
      </c>
      <c r="D95" t="inlineStr">
        <is>
          <t>GÄVLEBORGS LÄN</t>
        </is>
      </c>
      <c r="E95" t="inlineStr">
        <is>
          <t>SÖDERHAMN</t>
        </is>
      </c>
      <c r="F95" t="inlineStr">
        <is>
          <t>Kommuner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18905-2025</t>
        </is>
      </c>
      <c r="B96" s="1" t="n">
        <v>45764.46203703704</v>
      </c>
      <c r="C96" s="1" t="n">
        <v>46119</v>
      </c>
      <c r="D96" t="inlineStr">
        <is>
          <t>GÄVLEBORGS LÄN</t>
        </is>
      </c>
      <c r="E96" t="inlineStr">
        <is>
          <t>SÖDERHAMN</t>
        </is>
      </c>
      <c r="F96" t="inlineStr">
        <is>
          <t>Kommuner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19113-2024</t>
        </is>
      </c>
      <c r="B97" s="1" t="n">
        <v>45428.37322916667</v>
      </c>
      <c r="C97" s="1" t="n">
        <v>46119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15630-2025</t>
        </is>
      </c>
      <c r="B98" s="1" t="n">
        <v>45748.36497685185</v>
      </c>
      <c r="C98" s="1" t="n">
        <v>46119</v>
      </c>
      <c r="D98" t="inlineStr">
        <is>
          <t>GÄVLEBORGS LÄN</t>
        </is>
      </c>
      <c r="E98" t="inlineStr">
        <is>
          <t>SÖDERHAMN</t>
        </is>
      </c>
      <c r="F98" t="inlineStr">
        <is>
          <t>Kommuner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15877-2025</t>
        </is>
      </c>
      <c r="B99" s="1" t="n">
        <v>45749.38613425926</v>
      </c>
      <c r="C99" s="1" t="n">
        <v>46119</v>
      </c>
      <c r="D99" t="inlineStr">
        <is>
          <t>GÄVLEBORGS LÄN</t>
        </is>
      </c>
      <c r="E99" t="inlineStr">
        <is>
          <t>SÖDERHAMN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58544-2023</t>
        </is>
      </c>
      <c r="B100" s="1" t="n">
        <v>45251</v>
      </c>
      <c r="C100" s="1" t="n">
        <v>46119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31938-2024</t>
        </is>
      </c>
      <c r="B101" s="1" t="n">
        <v>45510.42049768518</v>
      </c>
      <c r="C101" s="1" t="n">
        <v>46119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6455-2025</t>
        </is>
      </c>
      <c r="B102" s="1" t="n">
        <v>45699.55270833334</v>
      </c>
      <c r="C102" s="1" t="n">
        <v>46119</v>
      </c>
      <c r="D102" t="inlineStr">
        <is>
          <t>GÄVLEBORGS LÄN</t>
        </is>
      </c>
      <c r="E102" t="inlineStr">
        <is>
          <t>SÖDERHAMN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27050-2024</t>
        </is>
      </c>
      <c r="B103" s="1" t="n">
        <v>45471.44736111111</v>
      </c>
      <c r="C103" s="1" t="n">
        <v>46119</v>
      </c>
      <c r="D103" t="inlineStr">
        <is>
          <t>GÄVLEBORGS LÄN</t>
        </is>
      </c>
      <c r="E103" t="inlineStr">
        <is>
          <t>SÖDERHAMN</t>
        </is>
      </c>
      <c r="F103" t="inlineStr">
        <is>
          <t>Kommuner</t>
        </is>
      </c>
      <c r="G103" t="n">
        <v>10.8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1458-2023</t>
        </is>
      </c>
      <c r="B104" s="1" t="n">
        <v>44937</v>
      </c>
      <c r="C104" s="1" t="n">
        <v>46119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63798-2023</t>
        </is>
      </c>
      <c r="B105" s="1" t="n">
        <v>45278.41434027778</v>
      </c>
      <c r="C105" s="1" t="n">
        <v>46119</v>
      </c>
      <c r="D105" t="inlineStr">
        <is>
          <t>GÄVLEBORGS LÄN</t>
        </is>
      </c>
      <c r="E105" t="inlineStr">
        <is>
          <t>SÖDERHAMN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45807-2022</t>
        </is>
      </c>
      <c r="B106" s="1" t="n">
        <v>44846</v>
      </c>
      <c r="C106" s="1" t="n">
        <v>46119</v>
      </c>
      <c r="D106" t="inlineStr">
        <is>
          <t>GÄVLEBORGS LÄN</t>
        </is>
      </c>
      <c r="E106" t="inlineStr">
        <is>
          <t>SÖDERHAMN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11215-2023</t>
        </is>
      </c>
      <c r="B107" s="1" t="n">
        <v>44992.61489583334</v>
      </c>
      <c r="C107" s="1" t="n">
        <v>46119</v>
      </c>
      <c r="D107" t="inlineStr">
        <is>
          <t>GÄVLEBORGS LÄN</t>
        </is>
      </c>
      <c r="E107" t="inlineStr">
        <is>
          <t>SÖDERHAMN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30407-2023</t>
        </is>
      </c>
      <c r="B108" s="1" t="n">
        <v>45111</v>
      </c>
      <c r="C108" s="1" t="n">
        <v>46119</v>
      </c>
      <c r="D108" t="inlineStr">
        <is>
          <t>GÄVLEBORGS LÄN</t>
        </is>
      </c>
      <c r="E108" t="inlineStr">
        <is>
          <t>SÖDERHAMN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58870-2024</t>
        </is>
      </c>
      <c r="B109" s="1" t="n">
        <v>45636.43966435185</v>
      </c>
      <c r="C109" s="1" t="n">
        <v>46119</v>
      </c>
      <c r="D109" t="inlineStr">
        <is>
          <t>GÄVLEBORGS LÄN</t>
        </is>
      </c>
      <c r="E109" t="inlineStr">
        <is>
          <t>SÖDERHAMN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21991-2024</t>
        </is>
      </c>
      <c r="B110" s="1" t="n">
        <v>45443.55751157407</v>
      </c>
      <c r="C110" s="1" t="n">
        <v>46119</v>
      </c>
      <c r="D110" t="inlineStr">
        <is>
          <t>GÄVLEBORGS LÄN</t>
        </is>
      </c>
      <c r="E110" t="inlineStr">
        <is>
          <t>SÖDERHAMN</t>
        </is>
      </c>
      <c r="F110" t="inlineStr">
        <is>
          <t>Kommuner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61881-2024</t>
        </is>
      </c>
      <c r="B111" s="1" t="n">
        <v>45652</v>
      </c>
      <c r="C111" s="1" t="n">
        <v>46119</v>
      </c>
      <c r="D111" t="inlineStr">
        <is>
          <t>GÄVLEBORGS LÄN</t>
        </is>
      </c>
      <c r="E111" t="inlineStr">
        <is>
          <t>SÖDERHAMN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59048-2024</t>
        </is>
      </c>
      <c r="B112" s="1" t="n">
        <v>45636</v>
      </c>
      <c r="C112" s="1" t="n">
        <v>46119</v>
      </c>
      <c r="D112" t="inlineStr">
        <is>
          <t>GÄVLEBORGS LÄN</t>
        </is>
      </c>
      <c r="E112" t="inlineStr">
        <is>
          <t>SÖDERHAMN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721-2025</t>
        </is>
      </c>
      <c r="B113" s="1" t="n">
        <v>45665</v>
      </c>
      <c r="C113" s="1" t="n">
        <v>46119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10327-2024</t>
        </is>
      </c>
      <c r="B114" s="1" t="n">
        <v>45365.55339120371</v>
      </c>
      <c r="C114" s="1" t="n">
        <v>46119</v>
      </c>
      <c r="D114" t="inlineStr">
        <is>
          <t>GÄVLEBORGS LÄN</t>
        </is>
      </c>
      <c r="E114" t="inlineStr">
        <is>
          <t>SÖDERHAMN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53917-2024</t>
        </is>
      </c>
      <c r="B115" s="1" t="n">
        <v>45615.75956018519</v>
      </c>
      <c r="C115" s="1" t="n">
        <v>46119</v>
      </c>
      <c r="D115" t="inlineStr">
        <is>
          <t>GÄVLEBORGS LÄN</t>
        </is>
      </c>
      <c r="E115" t="inlineStr">
        <is>
          <t>SÖDERHAMN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16191-2025</t>
        </is>
      </c>
      <c r="B116" s="1" t="n">
        <v>45750.59752314815</v>
      </c>
      <c r="C116" s="1" t="n">
        <v>46119</v>
      </c>
      <c r="D116" t="inlineStr">
        <is>
          <t>GÄVLEBORGS LÄN</t>
        </is>
      </c>
      <c r="E116" t="inlineStr">
        <is>
          <t>SÖDERHAMN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16196-2025</t>
        </is>
      </c>
      <c r="B117" s="1" t="n">
        <v>45750.60038194444</v>
      </c>
      <c r="C117" s="1" t="n">
        <v>46119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19617-2024</t>
        </is>
      </c>
      <c r="B118" s="1" t="n">
        <v>45432.32243055556</v>
      </c>
      <c r="C118" s="1" t="n">
        <v>46119</v>
      </c>
      <c r="D118" t="inlineStr">
        <is>
          <t>GÄVLEBORGS LÄN</t>
        </is>
      </c>
      <c r="E118" t="inlineStr">
        <is>
          <t>SÖDERHAMN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39207-2024</t>
        </is>
      </c>
      <c r="B119" s="1" t="n">
        <v>45548.82506944444</v>
      </c>
      <c r="C119" s="1" t="n">
        <v>46119</v>
      </c>
      <c r="D119" t="inlineStr">
        <is>
          <t>GÄVLEBORGS LÄN</t>
        </is>
      </c>
      <c r="E119" t="inlineStr">
        <is>
          <t>SÖDERHAMN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49281-2024</t>
        </is>
      </c>
      <c r="B120" s="1" t="n">
        <v>45595.50841435185</v>
      </c>
      <c r="C120" s="1" t="n">
        <v>46119</v>
      </c>
      <c r="D120" t="inlineStr">
        <is>
          <t>GÄVLEBORGS LÄN</t>
        </is>
      </c>
      <c r="E120" t="inlineStr">
        <is>
          <t>SÖDERHAMN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35172-2021</t>
        </is>
      </c>
      <c r="B121" s="1" t="n">
        <v>44384</v>
      </c>
      <c r="C121" s="1" t="n">
        <v>46119</v>
      </c>
      <c r="D121" t="inlineStr">
        <is>
          <t>GÄVLEBORGS LÄN</t>
        </is>
      </c>
      <c r="E121" t="inlineStr">
        <is>
          <t>SÖDERHAMN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49941-2024</t>
        </is>
      </c>
      <c r="B122" s="1" t="n">
        <v>45597.59409722222</v>
      </c>
      <c r="C122" s="1" t="n">
        <v>46119</v>
      </c>
      <c r="D122" t="inlineStr">
        <is>
          <t>GÄVLEBORGS LÄN</t>
        </is>
      </c>
      <c r="E122" t="inlineStr">
        <is>
          <t>SÖDERHAMN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49963-2024</t>
        </is>
      </c>
      <c r="B123" s="1" t="n">
        <v>45597.63175925926</v>
      </c>
      <c r="C123" s="1" t="n">
        <v>46119</v>
      </c>
      <c r="D123" t="inlineStr">
        <is>
          <t>GÄVLEBORGS LÄN</t>
        </is>
      </c>
      <c r="E123" t="inlineStr">
        <is>
          <t>SÖDERHAMN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40736-2021</t>
        </is>
      </c>
      <c r="B124" s="1" t="n">
        <v>44420.66540509259</v>
      </c>
      <c r="C124" s="1" t="n">
        <v>46119</v>
      </c>
      <c r="D124" t="inlineStr">
        <is>
          <t>GÄVLEBORGS LÄN</t>
        </is>
      </c>
      <c r="E124" t="inlineStr">
        <is>
          <t>SÖDERHAMN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38110-2024</t>
        </is>
      </c>
      <c r="B125" s="1" t="n">
        <v>45545</v>
      </c>
      <c r="C125" s="1" t="n">
        <v>46119</v>
      </c>
      <c r="D125" t="inlineStr">
        <is>
          <t>GÄVLEBORGS LÄN</t>
        </is>
      </c>
      <c r="E125" t="inlineStr">
        <is>
          <t>SÖDERHAMN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38111-2024</t>
        </is>
      </c>
      <c r="B126" s="1" t="n">
        <v>45545.38399305556</v>
      </c>
      <c r="C126" s="1" t="n">
        <v>46119</v>
      </c>
      <c r="D126" t="inlineStr">
        <is>
          <t>GÄVLEBORGS LÄN</t>
        </is>
      </c>
      <c r="E126" t="inlineStr">
        <is>
          <t>SÖDERHAMN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59000-2023</t>
        </is>
      </c>
      <c r="B127" s="1" t="n">
        <v>45252.63642361111</v>
      </c>
      <c r="C127" s="1" t="n">
        <v>46119</v>
      </c>
      <c r="D127" t="inlineStr">
        <is>
          <t>GÄVLEBORGS LÄN</t>
        </is>
      </c>
      <c r="E127" t="inlineStr">
        <is>
          <t>SÖDERHAMN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16137-2022</t>
        </is>
      </c>
      <c r="B128" s="1" t="n">
        <v>44665</v>
      </c>
      <c r="C128" s="1" t="n">
        <v>46119</v>
      </c>
      <c r="D128" t="inlineStr">
        <is>
          <t>GÄVLEBORGS LÄN</t>
        </is>
      </c>
      <c r="E128" t="inlineStr">
        <is>
          <t>SÖDERHAMN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49703-2023</t>
        </is>
      </c>
      <c r="B129" s="1" t="n">
        <v>45212</v>
      </c>
      <c r="C129" s="1" t="n">
        <v>46119</v>
      </c>
      <c r="D129" t="inlineStr">
        <is>
          <t>GÄVLEBORGS LÄN</t>
        </is>
      </c>
      <c r="E129" t="inlineStr">
        <is>
          <t>SÖDERHAMN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61408-2023</t>
        </is>
      </c>
      <c r="B130" s="1" t="n">
        <v>45264.66268518518</v>
      </c>
      <c r="C130" s="1" t="n">
        <v>46119</v>
      </c>
      <c r="D130" t="inlineStr">
        <is>
          <t>GÄVLEBORGS LÄN</t>
        </is>
      </c>
      <c r="E130" t="inlineStr">
        <is>
          <t>SÖDERHAMN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58093-2024</t>
        </is>
      </c>
      <c r="B131" s="1" t="n">
        <v>45632.35192129629</v>
      </c>
      <c r="C131" s="1" t="n">
        <v>46119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18492-2024</t>
        </is>
      </c>
      <c r="B132" s="1" t="n">
        <v>45425</v>
      </c>
      <c r="C132" s="1" t="n">
        <v>46119</v>
      </c>
      <c r="D132" t="inlineStr">
        <is>
          <t>GÄVLEBORGS LÄN</t>
        </is>
      </c>
      <c r="E132" t="inlineStr">
        <is>
          <t>SÖDERHAMN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18505-2024</t>
        </is>
      </c>
      <c r="B133" s="1" t="n">
        <v>45425</v>
      </c>
      <c r="C133" s="1" t="n">
        <v>46119</v>
      </c>
      <c r="D133" t="inlineStr">
        <is>
          <t>GÄVLEBORGS LÄN</t>
        </is>
      </c>
      <c r="E133" t="inlineStr">
        <is>
          <t>SÖDERHAMN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58180-2024</t>
        </is>
      </c>
      <c r="B134" s="1" t="n">
        <v>45632.46930555555</v>
      </c>
      <c r="C134" s="1" t="n">
        <v>46119</v>
      </c>
      <c r="D134" t="inlineStr">
        <is>
          <t>GÄVLEBORGS LÄN</t>
        </is>
      </c>
      <c r="E134" t="inlineStr">
        <is>
          <t>SÖDERHAMN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34725-2022</t>
        </is>
      </c>
      <c r="B135" s="1" t="n">
        <v>44795.59475694445</v>
      </c>
      <c r="C135" s="1" t="n">
        <v>46119</v>
      </c>
      <c r="D135" t="inlineStr">
        <is>
          <t>GÄVLEBORGS LÄN</t>
        </is>
      </c>
      <c r="E135" t="inlineStr">
        <is>
          <t>SÖDERHAMN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19789-2025</t>
        </is>
      </c>
      <c r="B136" s="1" t="n">
        <v>45771.44474537037</v>
      </c>
      <c r="C136" s="1" t="n">
        <v>46119</v>
      </c>
      <c r="D136" t="inlineStr">
        <is>
          <t>GÄVLEBORGS LÄN</t>
        </is>
      </c>
      <c r="E136" t="inlineStr">
        <is>
          <t>SÖDERHAMN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44703-2024</t>
        </is>
      </c>
      <c r="B137" s="1" t="n">
        <v>45574</v>
      </c>
      <c r="C137" s="1" t="n">
        <v>46119</v>
      </c>
      <c r="D137" t="inlineStr">
        <is>
          <t>GÄVLEBORGS LÄN</t>
        </is>
      </c>
      <c r="E137" t="inlineStr">
        <is>
          <t>SÖDERHAMN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58611-2023</t>
        </is>
      </c>
      <c r="B138" s="1" t="n">
        <v>45251.50232638889</v>
      </c>
      <c r="C138" s="1" t="n">
        <v>46119</v>
      </c>
      <c r="D138" t="inlineStr">
        <is>
          <t>GÄVLEBORGS LÄN</t>
        </is>
      </c>
      <c r="E138" t="inlineStr">
        <is>
          <t>SÖDERHAMN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45822-2022</t>
        </is>
      </c>
      <c r="B139" s="1" t="n">
        <v>44846</v>
      </c>
      <c r="C139" s="1" t="n">
        <v>46119</v>
      </c>
      <c r="D139" t="inlineStr">
        <is>
          <t>GÄVLEBORGS LÄN</t>
        </is>
      </c>
      <c r="E139" t="inlineStr">
        <is>
          <t>SÖDERHAMN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22212-2023</t>
        </is>
      </c>
      <c r="B140" s="1" t="n">
        <v>45069.90076388889</v>
      </c>
      <c r="C140" s="1" t="n">
        <v>46119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44338-2023</t>
        </is>
      </c>
      <c r="B141" s="1" t="n">
        <v>45188</v>
      </c>
      <c r="C141" s="1" t="n">
        <v>46119</v>
      </c>
      <c r="D141" t="inlineStr">
        <is>
          <t>GÄVLEBORGS LÄN</t>
        </is>
      </c>
      <c r="E141" t="inlineStr">
        <is>
          <t>SÖDERHAMN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44341-2023</t>
        </is>
      </c>
      <c r="B142" s="1" t="n">
        <v>45188</v>
      </c>
      <c r="C142" s="1" t="n">
        <v>46119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2268-2025</t>
        </is>
      </c>
      <c r="B143" s="1" t="n">
        <v>45673.53710648148</v>
      </c>
      <c r="C143" s="1" t="n">
        <v>46119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59869-2023</t>
        </is>
      </c>
      <c r="B144" s="1" t="n">
        <v>45257.58369212963</v>
      </c>
      <c r="C144" s="1" t="n">
        <v>46119</v>
      </c>
      <c r="D144" t="inlineStr">
        <is>
          <t>GÄVLEBORGS LÄN</t>
        </is>
      </c>
      <c r="E144" t="inlineStr">
        <is>
          <t>SÖDERHAMN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34525-2025</t>
        </is>
      </c>
      <c r="B145" s="1" t="n">
        <v>45847.47710648148</v>
      </c>
      <c r="C145" s="1" t="n">
        <v>46119</v>
      </c>
      <c r="D145" t="inlineStr">
        <is>
          <t>GÄVLEBORGS LÄN</t>
        </is>
      </c>
      <c r="E145" t="inlineStr">
        <is>
          <t>SÖDERHAMN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34662-2025</t>
        </is>
      </c>
      <c r="B146" s="1" t="n">
        <v>45848.37403935185</v>
      </c>
      <c r="C146" s="1" t="n">
        <v>46119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14029-2023</t>
        </is>
      </c>
      <c r="B147" s="1" t="n">
        <v>45008.61673611111</v>
      </c>
      <c r="C147" s="1" t="n">
        <v>46119</v>
      </c>
      <c r="D147" t="inlineStr">
        <is>
          <t>GÄVLEBORGS LÄN</t>
        </is>
      </c>
      <c r="E147" t="inlineStr">
        <is>
          <t>SÖDERHAMN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34669-2025</t>
        </is>
      </c>
      <c r="B148" s="1" t="n">
        <v>45848.393125</v>
      </c>
      <c r="C148" s="1" t="n">
        <v>46119</v>
      </c>
      <c r="D148" t="inlineStr">
        <is>
          <t>GÄVLEBORGS LÄN</t>
        </is>
      </c>
      <c r="E148" t="inlineStr">
        <is>
          <t>SÖDERHAMN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30740-2024</t>
        </is>
      </c>
      <c r="B149" s="1" t="n">
        <v>45496.64633101852</v>
      </c>
      <c r="C149" s="1" t="n">
        <v>46119</v>
      </c>
      <c r="D149" t="inlineStr">
        <is>
          <t>GÄVLEBORGS LÄN</t>
        </is>
      </c>
      <c r="E149" t="inlineStr">
        <is>
          <t>SÖDERHAMN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1641-2025</t>
        </is>
      </c>
      <c r="B150" s="1" t="n">
        <v>45670</v>
      </c>
      <c r="C150" s="1" t="n">
        <v>46119</v>
      </c>
      <c r="D150" t="inlineStr">
        <is>
          <t>GÄVLEBORGS LÄN</t>
        </is>
      </c>
      <c r="E150" t="inlineStr">
        <is>
          <t>SÖDERHAMN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29981-2023</t>
        </is>
      </c>
      <c r="B151" s="1" t="n">
        <v>45108.92454861111</v>
      </c>
      <c r="C151" s="1" t="n">
        <v>46119</v>
      </c>
      <c r="D151" t="inlineStr">
        <is>
          <t>GÄVLEBORGS LÄN</t>
        </is>
      </c>
      <c r="E151" t="inlineStr">
        <is>
          <t>SÖDERHAMN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29983-2023</t>
        </is>
      </c>
      <c r="B152" s="1" t="n">
        <v>45108.92465277778</v>
      </c>
      <c r="C152" s="1" t="n">
        <v>46119</v>
      </c>
      <c r="D152" t="inlineStr">
        <is>
          <t>GÄVLEBORGS LÄN</t>
        </is>
      </c>
      <c r="E152" t="inlineStr">
        <is>
          <t>SÖDERHAMN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35722-2025</t>
        </is>
      </c>
      <c r="B153" s="1" t="n">
        <v>45860.44288194444</v>
      </c>
      <c r="C153" s="1" t="n">
        <v>46119</v>
      </c>
      <c r="D153" t="inlineStr">
        <is>
          <t>GÄVLEBORGS LÄN</t>
        </is>
      </c>
      <c r="E153" t="inlineStr">
        <is>
          <t>SÖDERHAMN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5366-2024</t>
        </is>
      </c>
      <c r="B154" s="1" t="n">
        <v>45331.4727662037</v>
      </c>
      <c r="C154" s="1" t="n">
        <v>46119</v>
      </c>
      <c r="D154" t="inlineStr">
        <is>
          <t>GÄVLEBORGS LÄN</t>
        </is>
      </c>
      <c r="E154" t="inlineStr">
        <is>
          <t>SÖDERHAMN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59783-2023</t>
        </is>
      </c>
      <c r="B155" s="1" t="n">
        <v>45257.44179398148</v>
      </c>
      <c r="C155" s="1" t="n">
        <v>46119</v>
      </c>
      <c r="D155" t="inlineStr">
        <is>
          <t>GÄVLEBORGS LÄN</t>
        </is>
      </c>
      <c r="E155" t="inlineStr">
        <is>
          <t>SÖDERHAMN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59796-2023</t>
        </is>
      </c>
      <c r="B156" s="1" t="n">
        <v>45257.46166666667</v>
      </c>
      <c r="C156" s="1" t="n">
        <v>46119</v>
      </c>
      <c r="D156" t="inlineStr">
        <is>
          <t>GÄVLEBORGS LÄN</t>
        </is>
      </c>
      <c r="E156" t="inlineStr">
        <is>
          <t>SÖDERHAMN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35961-2025</t>
        </is>
      </c>
      <c r="B157" s="1" t="n">
        <v>45863.35944444445</v>
      </c>
      <c r="C157" s="1" t="n">
        <v>46119</v>
      </c>
      <c r="D157" t="inlineStr">
        <is>
          <t>GÄVLEBORGS LÄN</t>
        </is>
      </c>
      <c r="E157" t="inlineStr">
        <is>
          <t>SÖDERHAMN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35960-2025</t>
        </is>
      </c>
      <c r="B158" s="1" t="n">
        <v>45863.35443287037</v>
      </c>
      <c r="C158" s="1" t="n">
        <v>46119</v>
      </c>
      <c r="D158" t="inlineStr">
        <is>
          <t>GÄVLEBORGS LÄN</t>
        </is>
      </c>
      <c r="E158" t="inlineStr">
        <is>
          <t>SÖDERHAMN</t>
        </is>
      </c>
      <c r="F158" t="inlineStr">
        <is>
          <t>Bergvik skog väst AB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1659-2025</t>
        </is>
      </c>
      <c r="B159" s="1" t="n">
        <v>45670</v>
      </c>
      <c r="C159" s="1" t="n">
        <v>46119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36186-2025</t>
        </is>
      </c>
      <c r="B160" s="1" t="n">
        <v>45867.41916666667</v>
      </c>
      <c r="C160" s="1" t="n">
        <v>46119</v>
      </c>
      <c r="D160" t="inlineStr">
        <is>
          <t>GÄVLEBORGS LÄN</t>
        </is>
      </c>
      <c r="E160" t="inlineStr">
        <is>
          <t>SÖDERHAMN</t>
        </is>
      </c>
      <c r="F160" t="inlineStr">
        <is>
          <t>Bergvik skog väst AB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58821-2024</t>
        </is>
      </c>
      <c r="B161" s="1" t="n">
        <v>45636.36251157407</v>
      </c>
      <c r="C161" s="1" t="n">
        <v>46119</v>
      </c>
      <c r="D161" t="inlineStr">
        <is>
          <t>GÄVLEBORGS LÄN</t>
        </is>
      </c>
      <c r="E161" t="inlineStr">
        <is>
          <t>SÖDERHAMN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51413-2023</t>
        </is>
      </c>
      <c r="B162" s="1" t="n">
        <v>45219</v>
      </c>
      <c r="C162" s="1" t="n">
        <v>46119</v>
      </c>
      <c r="D162" t="inlineStr">
        <is>
          <t>GÄVLEBORGS LÄN</t>
        </is>
      </c>
      <c r="E162" t="inlineStr">
        <is>
          <t>SÖDERHAMN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27028-2025</t>
        </is>
      </c>
      <c r="B163" s="1" t="n">
        <v>45811.58194444444</v>
      </c>
      <c r="C163" s="1" t="n">
        <v>46119</v>
      </c>
      <c r="D163" t="inlineStr">
        <is>
          <t>GÄVLEBORGS LÄN</t>
        </is>
      </c>
      <c r="E163" t="inlineStr">
        <is>
          <t>SÖDERHAMN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39399-2025</t>
        </is>
      </c>
      <c r="B164" s="1" t="n">
        <v>45889.6340625</v>
      </c>
      <c r="C164" s="1" t="n">
        <v>46119</v>
      </c>
      <c r="D164" t="inlineStr">
        <is>
          <t>GÄVLEBORGS LÄN</t>
        </is>
      </c>
      <c r="E164" t="inlineStr">
        <is>
          <t>SÖDERHAMN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39797-2025</t>
        </is>
      </c>
      <c r="B165" s="1" t="n">
        <v>45891.49655092593</v>
      </c>
      <c r="C165" s="1" t="n">
        <v>46119</v>
      </c>
      <c r="D165" t="inlineStr">
        <is>
          <t>GÄVLEBORGS LÄN</t>
        </is>
      </c>
      <c r="E165" t="inlineStr">
        <is>
          <t>SÖDERHAMN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53503-2023</t>
        </is>
      </c>
      <c r="B166" s="1" t="n">
        <v>45230</v>
      </c>
      <c r="C166" s="1" t="n">
        <v>46119</v>
      </c>
      <c r="D166" t="inlineStr">
        <is>
          <t>GÄVLEBORGS LÄN</t>
        </is>
      </c>
      <c r="E166" t="inlineStr">
        <is>
          <t>SÖDERHAMN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39774-2025</t>
        </is>
      </c>
      <c r="B167" s="1" t="n">
        <v>45891.46103009259</v>
      </c>
      <c r="C167" s="1" t="n">
        <v>46119</v>
      </c>
      <c r="D167" t="inlineStr">
        <is>
          <t>GÄVLEBORGS LÄN</t>
        </is>
      </c>
      <c r="E167" t="inlineStr">
        <is>
          <t>SÖDERHAMN</t>
        </is>
      </c>
      <c r="F167" t="inlineStr">
        <is>
          <t>Bergvik skog väst AB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52091-2023</t>
        </is>
      </c>
      <c r="B168" s="1" t="n">
        <v>45223.78762731481</v>
      </c>
      <c r="C168" s="1" t="n">
        <v>46119</v>
      </c>
      <c r="D168" t="inlineStr">
        <is>
          <t>GÄVLEBORGS LÄN</t>
        </is>
      </c>
      <c r="E168" t="inlineStr">
        <is>
          <t>SÖDERHAMN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39879-2025</t>
        </is>
      </c>
      <c r="B169" s="1" t="n">
        <v>45891.61613425926</v>
      </c>
      <c r="C169" s="1" t="n">
        <v>46119</v>
      </c>
      <c r="D169" t="inlineStr">
        <is>
          <t>GÄVLEBORGS LÄN</t>
        </is>
      </c>
      <c r="E169" t="inlineStr">
        <is>
          <t>SÖDERHAMN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39784-2025</t>
        </is>
      </c>
      <c r="B170" s="1" t="n">
        <v>45891.47790509259</v>
      </c>
      <c r="C170" s="1" t="n">
        <v>46119</v>
      </c>
      <c r="D170" t="inlineStr">
        <is>
          <t>GÄVLEBORGS LÄN</t>
        </is>
      </c>
      <c r="E170" t="inlineStr">
        <is>
          <t>SÖDERHAMN</t>
        </is>
      </c>
      <c r="F170" t="inlineStr">
        <is>
          <t>Bergvik skog väst AB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58166-2024</t>
        </is>
      </c>
      <c r="B171" s="1" t="n">
        <v>45632.45820601852</v>
      </c>
      <c r="C171" s="1" t="n">
        <v>46119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39471-2025</t>
        </is>
      </c>
      <c r="B172" s="1" t="n">
        <v>45890.33939814815</v>
      </c>
      <c r="C172" s="1" t="n">
        <v>46119</v>
      </c>
      <c r="D172" t="inlineStr">
        <is>
          <t>GÄVLEBORGS LÄN</t>
        </is>
      </c>
      <c r="E172" t="inlineStr">
        <is>
          <t>SÖDERHAMN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38355-2022</t>
        </is>
      </c>
      <c r="B173" s="1" t="n">
        <v>44812</v>
      </c>
      <c r="C173" s="1" t="n">
        <v>46119</v>
      </c>
      <c r="D173" t="inlineStr">
        <is>
          <t>GÄVLEBORGS LÄN</t>
        </is>
      </c>
      <c r="E173" t="inlineStr">
        <is>
          <t>SÖDERHAMN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39496-2025</t>
        </is>
      </c>
      <c r="B174" s="1" t="n">
        <v>45890.37798611111</v>
      </c>
      <c r="C174" s="1" t="n">
        <v>46119</v>
      </c>
      <c r="D174" t="inlineStr">
        <is>
          <t>GÄVLEBORGS LÄN</t>
        </is>
      </c>
      <c r="E174" t="inlineStr">
        <is>
          <t>SÖDERHAMN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29802-2023</t>
        </is>
      </c>
      <c r="B175" s="1" t="n">
        <v>45107.54129629629</v>
      </c>
      <c r="C175" s="1" t="n">
        <v>46119</v>
      </c>
      <c r="D175" t="inlineStr">
        <is>
          <t>GÄVLEBORGS LÄN</t>
        </is>
      </c>
      <c r="E175" t="inlineStr">
        <is>
          <t>SÖDERHAMN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1075-2025</t>
        </is>
      </c>
      <c r="B176" s="1" t="n">
        <v>45666</v>
      </c>
      <c r="C176" s="1" t="n">
        <v>46119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37050-2025</t>
        </is>
      </c>
      <c r="B177" s="1" t="n">
        <v>45875.36291666667</v>
      </c>
      <c r="C177" s="1" t="n">
        <v>46119</v>
      </c>
      <c r="D177" t="inlineStr">
        <is>
          <t>GÄVLEBORGS LÄN</t>
        </is>
      </c>
      <c r="E177" t="inlineStr">
        <is>
          <t>SÖDERHAMN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40396-2025</t>
        </is>
      </c>
      <c r="B178" s="1" t="n">
        <v>45895.55916666667</v>
      </c>
      <c r="C178" s="1" t="n">
        <v>46119</v>
      </c>
      <c r="D178" t="inlineStr">
        <is>
          <t>GÄVLEBORGS LÄN</t>
        </is>
      </c>
      <c r="E178" t="inlineStr">
        <is>
          <t>SÖDERHAMN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37056-2025</t>
        </is>
      </c>
      <c r="B179" s="1" t="n">
        <v>45875.37350694444</v>
      </c>
      <c r="C179" s="1" t="n">
        <v>46119</v>
      </c>
      <c r="D179" t="inlineStr">
        <is>
          <t>GÄVLEBORGS LÄN</t>
        </is>
      </c>
      <c r="E179" t="inlineStr">
        <is>
          <t>SÖDERHAMN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24766-2023</t>
        </is>
      </c>
      <c r="B180" s="1" t="n">
        <v>45084</v>
      </c>
      <c r="C180" s="1" t="n">
        <v>46119</v>
      </c>
      <c r="D180" t="inlineStr">
        <is>
          <t>GÄVLEBORGS LÄN</t>
        </is>
      </c>
      <c r="E180" t="inlineStr">
        <is>
          <t>SÖDERHAMN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29821-2024</t>
        </is>
      </c>
      <c r="B181" s="1" t="n">
        <v>45485.55846064815</v>
      </c>
      <c r="C181" s="1" t="n">
        <v>46119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29474-2025</t>
        </is>
      </c>
      <c r="B182" s="1" t="n">
        <v>45824.70642361111</v>
      </c>
      <c r="C182" s="1" t="n">
        <v>46119</v>
      </c>
      <c r="D182" t="inlineStr">
        <is>
          <t>GÄVLEBORGS LÄN</t>
        </is>
      </c>
      <c r="E182" t="inlineStr">
        <is>
          <t>SÖDERHAMN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37055-2025</t>
        </is>
      </c>
      <c r="B183" s="1" t="n">
        <v>45875.37060185185</v>
      </c>
      <c r="C183" s="1" t="n">
        <v>46119</v>
      </c>
      <c r="D183" t="inlineStr">
        <is>
          <t>GÄVLEBORGS LÄN</t>
        </is>
      </c>
      <c r="E183" t="inlineStr">
        <is>
          <t>SÖDERHAMN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40042-2025</t>
        </is>
      </c>
      <c r="B184" s="1" t="n">
        <v>45894.40082175926</v>
      </c>
      <c r="C184" s="1" t="n">
        <v>46119</v>
      </c>
      <c r="D184" t="inlineStr">
        <is>
          <t>GÄVLEBORGS LÄN</t>
        </is>
      </c>
      <c r="E184" t="inlineStr">
        <is>
          <t>SÖDERHAMN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40400-2025</t>
        </is>
      </c>
      <c r="B185" s="1" t="n">
        <v>45895.56410879629</v>
      </c>
      <c r="C185" s="1" t="n">
        <v>46119</v>
      </c>
      <c r="D185" t="inlineStr">
        <is>
          <t>GÄVLEBORGS LÄN</t>
        </is>
      </c>
      <c r="E185" t="inlineStr">
        <is>
          <t>SÖDERHAMN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40162-2025</t>
        </is>
      </c>
      <c r="B186" s="1" t="n">
        <v>45894.61478009259</v>
      </c>
      <c r="C186" s="1" t="n">
        <v>46119</v>
      </c>
      <c r="D186" t="inlineStr">
        <is>
          <t>GÄVLEBORGS LÄN</t>
        </is>
      </c>
      <c r="E186" t="inlineStr">
        <is>
          <t>SÖDERHAMN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HYPERLINK("https://klasma.github.io/Logging_2182/knärot/A 40162-2025 karta knärot.png", "A 40162-2025")</f>
        <v/>
      </c>
      <c r="V186">
        <f>HYPERLINK("https://klasma.github.io/Logging_2182/klagomål/A 40162-2025 FSC-klagomål.docx", "A 40162-2025")</f>
        <v/>
      </c>
      <c r="W186">
        <f>HYPERLINK("https://klasma.github.io/Logging_2182/klagomålsmail/A 40162-2025 FSC-klagomål mail.docx", "A 40162-2025")</f>
        <v/>
      </c>
      <c r="X186">
        <f>HYPERLINK("https://klasma.github.io/Logging_2182/tillsyn/A 40162-2025 tillsynsbegäran.docx", "A 40162-2025")</f>
        <v/>
      </c>
      <c r="Y186">
        <f>HYPERLINK("https://klasma.github.io/Logging_2182/tillsynsmail/A 40162-2025 tillsynsbegäran mail.docx", "A 40162-2025")</f>
        <v/>
      </c>
    </row>
    <row r="187" ht="15" customHeight="1">
      <c r="A187" t="inlineStr">
        <is>
          <t>A 40575-2025</t>
        </is>
      </c>
      <c r="B187" s="1" t="n">
        <v>45896.50347222222</v>
      </c>
      <c r="C187" s="1" t="n">
        <v>46119</v>
      </c>
      <c r="D187" t="inlineStr">
        <is>
          <t>GÄVLEBORGS LÄN</t>
        </is>
      </c>
      <c r="E187" t="inlineStr">
        <is>
          <t>SÖDERHAMN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37338-2025</t>
        </is>
      </c>
      <c r="B188" s="1" t="n">
        <v>45876.68149305556</v>
      </c>
      <c r="C188" s="1" t="n">
        <v>46119</v>
      </c>
      <c r="D188" t="inlineStr">
        <is>
          <t>GÄVLEBORGS LÄN</t>
        </is>
      </c>
      <c r="E188" t="inlineStr">
        <is>
          <t>SÖDERHAMN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25365-2025</t>
        </is>
      </c>
      <c r="B189" s="1" t="n">
        <v>45800.62809027778</v>
      </c>
      <c r="C189" s="1" t="n">
        <v>46119</v>
      </c>
      <c r="D189" t="inlineStr">
        <is>
          <t>GÄVLEBORGS LÄN</t>
        </is>
      </c>
      <c r="E189" t="inlineStr">
        <is>
          <t>SÖDERHAMN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37538-2025</t>
        </is>
      </c>
      <c r="B190" s="1" t="n">
        <v>45879.42443287037</v>
      </c>
      <c r="C190" s="1" t="n">
        <v>46119</v>
      </c>
      <c r="D190" t="inlineStr">
        <is>
          <t>GÄVLEBORGS LÄN</t>
        </is>
      </c>
      <c r="E190" t="inlineStr">
        <is>
          <t>SÖDERHAMN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40536-2025</t>
        </is>
      </c>
      <c r="B191" s="1" t="n">
        <v>45896.40668981482</v>
      </c>
      <c r="C191" s="1" t="n">
        <v>46119</v>
      </c>
      <c r="D191" t="inlineStr">
        <is>
          <t>GÄVLEBORGS LÄN</t>
        </is>
      </c>
      <c r="E191" t="inlineStr">
        <is>
          <t>SÖDERHAMN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71645-2021</t>
        </is>
      </c>
      <c r="B192" s="1" t="n">
        <v>44543.34858796297</v>
      </c>
      <c r="C192" s="1" t="n">
        <v>46119</v>
      </c>
      <c r="D192" t="inlineStr">
        <is>
          <t>GÄVLEBORGS LÄN</t>
        </is>
      </c>
      <c r="E192" t="inlineStr">
        <is>
          <t>SÖDERHAMN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37541-2025</t>
        </is>
      </c>
      <c r="B193" s="1" t="n">
        <v>45879.45802083334</v>
      </c>
      <c r="C193" s="1" t="n">
        <v>46119</v>
      </c>
      <c r="D193" t="inlineStr">
        <is>
          <t>GÄVLEBORGS LÄN</t>
        </is>
      </c>
      <c r="E193" t="inlineStr">
        <is>
          <t>SÖDERHAMN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41221-2022</t>
        </is>
      </c>
      <c r="B194" s="1" t="n">
        <v>44826</v>
      </c>
      <c r="C194" s="1" t="n">
        <v>46119</v>
      </c>
      <c r="D194" t="inlineStr">
        <is>
          <t>GÄVLEBORGS LÄN</t>
        </is>
      </c>
      <c r="E194" t="inlineStr">
        <is>
          <t>SÖDERHAMN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29084-2025</t>
        </is>
      </c>
      <c r="B195" s="1" t="n">
        <v>45821.54072916666</v>
      </c>
      <c r="C195" s="1" t="n">
        <v>46119</v>
      </c>
      <c r="D195" t="inlineStr">
        <is>
          <t>GÄVLEBORGS LÄN</t>
        </is>
      </c>
      <c r="E195" t="inlineStr">
        <is>
          <t>SÖDERHAMN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41225-2025</t>
        </is>
      </c>
      <c r="B196" s="1" t="n">
        <v>45898.58877314815</v>
      </c>
      <c r="C196" s="1" t="n">
        <v>46119</v>
      </c>
      <c r="D196" t="inlineStr">
        <is>
          <t>GÄVLEBORGS LÄN</t>
        </is>
      </c>
      <c r="E196" t="inlineStr">
        <is>
          <t>SÖDERHAMN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38398-2025</t>
        </is>
      </c>
      <c r="B197" s="1" t="n">
        <v>45883.58484953704</v>
      </c>
      <c r="C197" s="1" t="n">
        <v>46119</v>
      </c>
      <c r="D197" t="inlineStr">
        <is>
          <t>GÄVLEBORGS LÄN</t>
        </is>
      </c>
      <c r="E197" t="inlineStr">
        <is>
          <t>SÖDERHAMN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38218-2025</t>
        </is>
      </c>
      <c r="B198" s="1" t="n">
        <v>45883.32168981482</v>
      </c>
      <c r="C198" s="1" t="n">
        <v>46119</v>
      </c>
      <c r="D198" t="inlineStr">
        <is>
          <t>GÄVLEBORGS LÄN</t>
        </is>
      </c>
      <c r="E198" t="inlineStr">
        <is>
          <t>SÖDERHAMN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41351-2025</t>
        </is>
      </c>
      <c r="B199" s="1" t="n">
        <v>45899.67356481482</v>
      </c>
      <c r="C199" s="1" t="n">
        <v>46119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18459-2025</t>
        </is>
      </c>
      <c r="B200" s="1" t="n">
        <v>45762</v>
      </c>
      <c r="C200" s="1" t="n">
        <v>46119</v>
      </c>
      <c r="D200" t="inlineStr">
        <is>
          <t>GÄVLEBORGS LÄN</t>
        </is>
      </c>
      <c r="E200" t="inlineStr">
        <is>
          <t>SÖDERHAMN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57044-2022</t>
        </is>
      </c>
      <c r="B201" s="1" t="n">
        <v>44895</v>
      </c>
      <c r="C201" s="1" t="n">
        <v>46119</v>
      </c>
      <c r="D201" t="inlineStr">
        <is>
          <t>GÄVLEBORGS LÄN</t>
        </is>
      </c>
      <c r="E201" t="inlineStr">
        <is>
          <t>SÖDERHAMN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42497-2025</t>
        </is>
      </c>
      <c r="B202" s="1" t="n">
        <v>45905.50929398148</v>
      </c>
      <c r="C202" s="1" t="n">
        <v>46119</v>
      </c>
      <c r="D202" t="inlineStr">
        <is>
          <t>GÄVLEBORGS LÄN</t>
        </is>
      </c>
      <c r="E202" t="inlineStr">
        <is>
          <t>SÖDERHAMN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30208-2022</t>
        </is>
      </c>
      <c r="B203" s="1" t="n">
        <v>44757.75127314815</v>
      </c>
      <c r="C203" s="1" t="n">
        <v>46119</v>
      </c>
      <c r="D203" t="inlineStr">
        <is>
          <t>GÄVLEBORGS LÄN</t>
        </is>
      </c>
      <c r="E203" t="inlineStr">
        <is>
          <t>SÖDERHAMN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42258-2025</t>
        </is>
      </c>
      <c r="B204" s="1" t="n">
        <v>45904.59408564815</v>
      </c>
      <c r="C204" s="1" t="n">
        <v>46119</v>
      </c>
      <c r="D204" t="inlineStr">
        <is>
          <t>GÄVLEBORGS LÄN</t>
        </is>
      </c>
      <c r="E204" t="inlineStr">
        <is>
          <t>SÖDERHAMN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42408-2025</t>
        </is>
      </c>
      <c r="B205" s="1" t="n">
        <v>45905.38579861111</v>
      </c>
      <c r="C205" s="1" t="n">
        <v>46119</v>
      </c>
      <c r="D205" t="inlineStr">
        <is>
          <t>GÄVLEBORGS LÄN</t>
        </is>
      </c>
      <c r="E205" t="inlineStr">
        <is>
          <t>SÖDERHAMN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42409-2025</t>
        </is>
      </c>
      <c r="B206" s="1" t="n">
        <v>45905</v>
      </c>
      <c r="C206" s="1" t="n">
        <v>46119</v>
      </c>
      <c r="D206" t="inlineStr">
        <is>
          <t>GÄVLEBORGS LÄN</t>
        </is>
      </c>
      <c r="E206" t="inlineStr">
        <is>
          <t>SÖDERHAMN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42501-2025</t>
        </is>
      </c>
      <c r="B207" s="1" t="n">
        <v>45905.52456018519</v>
      </c>
      <c r="C207" s="1" t="n">
        <v>46119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59772-2024</t>
        </is>
      </c>
      <c r="B208" s="1" t="n">
        <v>45639.56792824074</v>
      </c>
      <c r="C208" s="1" t="n">
        <v>46119</v>
      </c>
      <c r="D208" t="inlineStr">
        <is>
          <t>GÄVLEBORGS LÄN</t>
        </is>
      </c>
      <c r="E208" t="inlineStr">
        <is>
          <t>SÖDERHAMN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42519-2025</t>
        </is>
      </c>
      <c r="B209" s="1" t="n">
        <v>45905.54800925926</v>
      </c>
      <c r="C209" s="1" t="n">
        <v>46119</v>
      </c>
      <c r="D209" t="inlineStr">
        <is>
          <t>GÄVLEBORGS LÄN</t>
        </is>
      </c>
      <c r="E209" t="inlineStr">
        <is>
          <t>SÖDERHAMN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23448-2025</t>
        </is>
      </c>
      <c r="B210" s="1" t="n">
        <v>45792.39993055556</v>
      </c>
      <c r="C210" s="1" t="n">
        <v>46119</v>
      </c>
      <c r="D210" t="inlineStr">
        <is>
          <t>GÄVLEBORGS LÄN</t>
        </is>
      </c>
      <c r="E210" t="inlineStr">
        <is>
          <t>SÖDERHAMN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19851-2024</t>
        </is>
      </c>
      <c r="B211" s="1" t="n">
        <v>45433.39725694444</v>
      </c>
      <c r="C211" s="1" t="n">
        <v>46119</v>
      </c>
      <c r="D211" t="inlineStr">
        <is>
          <t>GÄVLEBORGS LÄN</t>
        </is>
      </c>
      <c r="E211" t="inlineStr">
        <is>
          <t>SÖDERHAMN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42469-2025</t>
        </is>
      </c>
      <c r="B212" s="1" t="n">
        <v>45905.46118055555</v>
      </c>
      <c r="C212" s="1" t="n">
        <v>46119</v>
      </c>
      <c r="D212" t="inlineStr">
        <is>
          <t>GÄVLEBORGS LÄN</t>
        </is>
      </c>
      <c r="E212" t="inlineStr">
        <is>
          <t>SÖDERHAMN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6792-2024</t>
        </is>
      </c>
      <c r="B213" s="1" t="n">
        <v>45342</v>
      </c>
      <c r="C213" s="1" t="n">
        <v>46119</v>
      </c>
      <c r="D213" t="inlineStr">
        <is>
          <t>GÄVLEBORGS LÄN</t>
        </is>
      </c>
      <c r="E213" t="inlineStr">
        <is>
          <t>SÖDERHAMN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34826-2024</t>
        </is>
      </c>
      <c r="B214" s="1" t="n">
        <v>45526.72263888889</v>
      </c>
      <c r="C214" s="1" t="n">
        <v>46119</v>
      </c>
      <c r="D214" t="inlineStr">
        <is>
          <t>GÄVLEBORGS LÄN</t>
        </is>
      </c>
      <c r="E214" t="inlineStr">
        <is>
          <t>SÖDERHAMN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48102-2022</t>
        </is>
      </c>
      <c r="B215" s="1" t="n">
        <v>44856.47353009259</v>
      </c>
      <c r="C215" s="1" t="n">
        <v>46119</v>
      </c>
      <c r="D215" t="inlineStr">
        <is>
          <t>GÄVLEBORGS LÄN</t>
        </is>
      </c>
      <c r="E215" t="inlineStr">
        <is>
          <t>SÖDERHAMN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7559-2025</t>
        </is>
      </c>
      <c r="B216" s="1" t="n">
        <v>45705.58496527778</v>
      </c>
      <c r="C216" s="1" t="n">
        <v>46119</v>
      </c>
      <c r="D216" t="inlineStr">
        <is>
          <t>GÄVLEBORGS LÄN</t>
        </is>
      </c>
      <c r="E216" t="inlineStr">
        <is>
          <t>SÖDERHAMN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6175-2025</t>
        </is>
      </c>
      <c r="B217" s="1" t="n">
        <v>45698.44600694445</v>
      </c>
      <c r="C217" s="1" t="n">
        <v>46119</v>
      </c>
      <c r="D217" t="inlineStr">
        <is>
          <t>GÄVLEBORGS LÄN</t>
        </is>
      </c>
      <c r="E217" t="inlineStr">
        <is>
          <t>SÖDERHAMN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43598-2025</t>
        </is>
      </c>
      <c r="B218" s="1" t="n">
        <v>45911.66398148148</v>
      </c>
      <c r="C218" s="1" t="n">
        <v>46119</v>
      </c>
      <c r="D218" t="inlineStr">
        <is>
          <t>GÄVLEBORGS LÄN</t>
        </is>
      </c>
      <c r="E218" t="inlineStr">
        <is>
          <t>SÖDERHAMN</t>
        </is>
      </c>
      <c r="G218" t="n">
        <v>7.5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38545-2025</t>
        </is>
      </c>
      <c r="B219" s="1" t="n">
        <v>45884.43402777778</v>
      </c>
      <c r="C219" s="1" t="n">
        <v>46119</v>
      </c>
      <c r="D219" t="inlineStr">
        <is>
          <t>GÄVLEBORGS LÄN</t>
        </is>
      </c>
      <c r="E219" t="inlineStr">
        <is>
          <t>SÖDERHAMN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HYPERLINK("https://klasma.github.io/Logging_2182/knärot/A 38545-2025 karta knärot.png", "A 38545-2025")</f>
        <v/>
      </c>
      <c r="V219">
        <f>HYPERLINK("https://klasma.github.io/Logging_2182/klagomål/A 38545-2025 FSC-klagomål.docx", "A 38545-2025")</f>
        <v/>
      </c>
      <c r="W219">
        <f>HYPERLINK("https://klasma.github.io/Logging_2182/klagomålsmail/A 38545-2025 FSC-klagomål mail.docx", "A 38545-2025")</f>
        <v/>
      </c>
      <c r="X219">
        <f>HYPERLINK("https://klasma.github.io/Logging_2182/tillsyn/A 38545-2025 tillsynsbegäran.docx", "A 38545-2025")</f>
        <v/>
      </c>
      <c r="Y219">
        <f>HYPERLINK("https://klasma.github.io/Logging_2182/tillsynsmail/A 38545-2025 tillsynsbegäran mail.docx", "A 38545-2025")</f>
        <v/>
      </c>
    </row>
    <row r="220" ht="15" customHeight="1">
      <c r="A220" t="inlineStr">
        <is>
          <t>A 43375-2025</t>
        </is>
      </c>
      <c r="B220" s="1" t="n">
        <v>45911.35146990741</v>
      </c>
      <c r="C220" s="1" t="n">
        <v>46119</v>
      </c>
      <c r="D220" t="inlineStr">
        <is>
          <t>GÄVLEBORGS LÄN</t>
        </is>
      </c>
      <c r="E220" t="inlineStr">
        <is>
          <t>SÖDERHAMN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43355-2025</t>
        </is>
      </c>
      <c r="B221" s="1" t="n">
        <v>45911.32771990741</v>
      </c>
      <c r="C221" s="1" t="n">
        <v>46119</v>
      </c>
      <c r="D221" t="inlineStr">
        <is>
          <t>GÄVLEBORGS LÄN</t>
        </is>
      </c>
      <c r="E221" t="inlineStr">
        <is>
          <t>SÖDERHAMN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24933-2024</t>
        </is>
      </c>
      <c r="B222" s="1" t="n">
        <v>45461</v>
      </c>
      <c r="C222" s="1" t="n">
        <v>46119</v>
      </c>
      <c r="D222" t="inlineStr">
        <is>
          <t>GÄVLEBORGS LÄN</t>
        </is>
      </c>
      <c r="E222" t="inlineStr">
        <is>
          <t>SÖDERHAMN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44181-2025</t>
        </is>
      </c>
      <c r="B223" s="1" t="n">
        <v>45915.60914351852</v>
      </c>
      <c r="C223" s="1" t="n">
        <v>46119</v>
      </c>
      <c r="D223" t="inlineStr">
        <is>
          <t>GÄVLEBORGS LÄN</t>
        </is>
      </c>
      <c r="E223" t="inlineStr">
        <is>
          <t>SÖDERHAMN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38537-2025</t>
        </is>
      </c>
      <c r="B224" s="1" t="n">
        <v>45884.42145833333</v>
      </c>
      <c r="C224" s="1" t="n">
        <v>46119</v>
      </c>
      <c r="D224" t="inlineStr">
        <is>
          <t>GÄVLEBORGS LÄN</t>
        </is>
      </c>
      <c r="E224" t="inlineStr">
        <is>
          <t>SÖDERHAMN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50059-2023</t>
        </is>
      </c>
      <c r="B225" s="1" t="n">
        <v>45215</v>
      </c>
      <c r="C225" s="1" t="n">
        <v>46119</v>
      </c>
      <c r="D225" t="inlineStr">
        <is>
          <t>GÄVLEBORGS LÄN</t>
        </is>
      </c>
      <c r="E225" t="inlineStr">
        <is>
          <t>SÖDERHAMN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58099-2024</t>
        </is>
      </c>
      <c r="B226" s="1" t="n">
        <v>45632.36650462963</v>
      </c>
      <c r="C226" s="1" t="n">
        <v>46119</v>
      </c>
      <c r="D226" t="inlineStr">
        <is>
          <t>GÄVLEBORGS LÄN</t>
        </is>
      </c>
      <c r="E226" t="inlineStr">
        <is>
          <t>SÖDERHAMN</t>
        </is>
      </c>
      <c r="F226" t="inlineStr">
        <is>
          <t>Bergvik skog väst AB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58142-2024</t>
        </is>
      </c>
      <c r="B227" s="1" t="n">
        <v>45632.43130787037</v>
      </c>
      <c r="C227" s="1" t="n">
        <v>46119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58156-2024</t>
        </is>
      </c>
      <c r="B228" s="1" t="n">
        <v>45632.44497685185</v>
      </c>
      <c r="C228" s="1" t="n">
        <v>46119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435-2024</t>
        </is>
      </c>
      <c r="B229" s="1" t="n">
        <v>45296</v>
      </c>
      <c r="C229" s="1" t="n">
        <v>46119</v>
      </c>
      <c r="D229" t="inlineStr">
        <is>
          <t>GÄVLEBORGS LÄN</t>
        </is>
      </c>
      <c r="E229" t="inlineStr">
        <is>
          <t>SÖDERHAMN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58867-2024</t>
        </is>
      </c>
      <c r="B230" s="1" t="n">
        <v>45636.4278125</v>
      </c>
      <c r="C230" s="1" t="n">
        <v>46119</v>
      </c>
      <c r="D230" t="inlineStr">
        <is>
          <t>GÄVLEBORGS LÄN</t>
        </is>
      </c>
      <c r="E230" t="inlineStr">
        <is>
          <t>SÖDERHAMN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36174-2024</t>
        </is>
      </c>
      <c r="B231" s="1" t="n">
        <v>45534.40605324074</v>
      </c>
      <c r="C231" s="1" t="n">
        <v>46119</v>
      </c>
      <c r="D231" t="inlineStr">
        <is>
          <t>GÄVLEBORGS LÄN</t>
        </is>
      </c>
      <c r="E231" t="inlineStr">
        <is>
          <t>SÖDERHAMN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45194-2025</t>
        </is>
      </c>
      <c r="B232" s="1" t="n">
        <v>45919.55409722222</v>
      </c>
      <c r="C232" s="1" t="n">
        <v>46119</v>
      </c>
      <c r="D232" t="inlineStr">
        <is>
          <t>GÄVLEBORGS LÄN</t>
        </is>
      </c>
      <c r="E232" t="inlineStr">
        <is>
          <t>SÖDERHAMN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26978-2022</t>
        </is>
      </c>
      <c r="B233" s="1" t="n">
        <v>44740.703125</v>
      </c>
      <c r="C233" s="1" t="n">
        <v>46119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58281-2024</t>
        </is>
      </c>
      <c r="B234" s="1" t="n">
        <v>45632.57706018518</v>
      </c>
      <c r="C234" s="1" t="n">
        <v>46119</v>
      </c>
      <c r="D234" t="inlineStr">
        <is>
          <t>GÄVLEBORGS LÄN</t>
        </is>
      </c>
      <c r="E234" t="inlineStr">
        <is>
          <t>SÖDERHAMN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19846-2024</t>
        </is>
      </c>
      <c r="B235" s="1" t="n">
        <v>45433.39193287037</v>
      </c>
      <c r="C235" s="1" t="n">
        <v>46119</v>
      </c>
      <c r="D235" t="inlineStr">
        <is>
          <t>GÄVLEBORGS LÄN</t>
        </is>
      </c>
      <c r="E235" t="inlineStr">
        <is>
          <t>SÖDERHAMN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15646-2022</t>
        </is>
      </c>
      <c r="B236" s="1" t="n">
        <v>44662.9243287037</v>
      </c>
      <c r="C236" s="1" t="n">
        <v>46119</v>
      </c>
      <c r="D236" t="inlineStr">
        <is>
          <t>GÄVLEBORGS LÄN</t>
        </is>
      </c>
      <c r="E236" t="inlineStr">
        <is>
          <t>SÖDERHAMN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52090-2023</t>
        </is>
      </c>
      <c r="B237" s="1" t="n">
        <v>45223.77371527778</v>
      </c>
      <c r="C237" s="1" t="n">
        <v>46119</v>
      </c>
      <c r="D237" t="inlineStr">
        <is>
          <t>GÄVLEBORGS LÄN</t>
        </is>
      </c>
      <c r="E237" t="inlineStr">
        <is>
          <t>SÖDERHAMN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52092-2023</t>
        </is>
      </c>
      <c r="B238" s="1" t="n">
        <v>45223.79653935185</v>
      </c>
      <c r="C238" s="1" t="n">
        <v>46119</v>
      </c>
      <c r="D238" t="inlineStr">
        <is>
          <t>GÄVLEBORGS LÄN</t>
        </is>
      </c>
      <c r="E238" t="inlineStr">
        <is>
          <t>SÖDERHAMN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39869-2025</t>
        </is>
      </c>
      <c r="B239" s="1" t="n">
        <v>45891.60927083333</v>
      </c>
      <c r="C239" s="1" t="n">
        <v>46119</v>
      </c>
      <c r="D239" t="inlineStr">
        <is>
          <t>GÄVLEBORGS LÄN</t>
        </is>
      </c>
      <c r="E239" t="inlineStr">
        <is>
          <t>SÖDERHAMN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15417-2025</t>
        </is>
      </c>
      <c r="B240" s="1" t="n">
        <v>45747.45960648148</v>
      </c>
      <c r="C240" s="1" t="n">
        <v>46119</v>
      </c>
      <c r="D240" t="inlineStr">
        <is>
          <t>GÄVLEBORGS LÄN</t>
        </is>
      </c>
      <c r="E240" t="inlineStr">
        <is>
          <t>SÖDERHAMN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43395-2023</t>
        </is>
      </c>
      <c r="B241" s="1" t="n">
        <v>45183.92149305555</v>
      </c>
      <c r="C241" s="1" t="n">
        <v>46119</v>
      </c>
      <c r="D241" t="inlineStr">
        <is>
          <t>GÄVLEBORGS LÄN</t>
        </is>
      </c>
      <c r="E241" t="inlineStr">
        <is>
          <t>SÖDERHAMN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6853-2024</t>
        </is>
      </c>
      <c r="B242" s="1" t="n">
        <v>45342</v>
      </c>
      <c r="C242" s="1" t="n">
        <v>46119</v>
      </c>
      <c r="D242" t="inlineStr">
        <is>
          <t>GÄVLEBORGS LÄN</t>
        </is>
      </c>
      <c r="E242" t="inlineStr">
        <is>
          <t>SÖDERHAMN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61680-2023</t>
        </is>
      </c>
      <c r="B243" s="1" t="n">
        <v>45265.63185185185</v>
      </c>
      <c r="C243" s="1" t="n">
        <v>46119</v>
      </c>
      <c r="D243" t="inlineStr">
        <is>
          <t>GÄVLEBORGS LÄN</t>
        </is>
      </c>
      <c r="E243" t="inlineStr">
        <is>
          <t>SÖDERHAMN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32729-2025</t>
        </is>
      </c>
      <c r="B244" s="1" t="n">
        <v>45839</v>
      </c>
      <c r="C244" s="1" t="n">
        <v>46119</v>
      </c>
      <c r="D244" t="inlineStr">
        <is>
          <t>GÄVLEBORGS LÄN</t>
        </is>
      </c>
      <c r="E244" t="inlineStr">
        <is>
          <t>SÖDERHAMN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46858-2025</t>
        </is>
      </c>
      <c r="B245" s="1" t="n">
        <v>45929.2461574074</v>
      </c>
      <c r="C245" s="1" t="n">
        <v>46119</v>
      </c>
      <c r="D245" t="inlineStr">
        <is>
          <t>GÄVLEBORGS LÄN</t>
        </is>
      </c>
      <c r="E245" t="inlineStr">
        <is>
          <t>SÖDERHAMN</t>
        </is>
      </c>
      <c r="G245" t="n">
        <v>10.9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64138-2023</t>
        </is>
      </c>
      <c r="B246" s="1" t="n">
        <v>45279</v>
      </c>
      <c r="C246" s="1" t="n">
        <v>46119</v>
      </c>
      <c r="D246" t="inlineStr">
        <is>
          <t>GÄVLEBORGS LÄN</t>
        </is>
      </c>
      <c r="E246" t="inlineStr">
        <is>
          <t>SÖDERHAMN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47057-2025</t>
        </is>
      </c>
      <c r="B247" s="1" t="n">
        <v>45929.62456018518</v>
      </c>
      <c r="C247" s="1" t="n">
        <v>46119</v>
      </c>
      <c r="D247" t="inlineStr">
        <is>
          <t>GÄVLEBORGS LÄN</t>
        </is>
      </c>
      <c r="E247" t="inlineStr">
        <is>
          <t>SÖDERHAMN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21316-2024</t>
        </is>
      </c>
      <c r="B248" s="1" t="n">
        <v>45440.70765046297</v>
      </c>
      <c r="C248" s="1" t="n">
        <v>46119</v>
      </c>
      <c r="D248" t="inlineStr">
        <is>
          <t>GÄVLEBORGS LÄN</t>
        </is>
      </c>
      <c r="E248" t="inlineStr">
        <is>
          <t>SÖDERHAMN</t>
        </is>
      </c>
      <c r="F248" t="inlineStr">
        <is>
          <t>Kommuner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47100-2025</t>
        </is>
      </c>
      <c r="B249" s="1" t="n">
        <v>45929.65726851852</v>
      </c>
      <c r="C249" s="1" t="n">
        <v>46119</v>
      </c>
      <c r="D249" t="inlineStr">
        <is>
          <t>GÄVLEBORGS LÄN</t>
        </is>
      </c>
      <c r="E249" t="inlineStr">
        <is>
          <t>SÖDERHAMN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46006-2024</t>
        </is>
      </c>
      <c r="B250" s="1" t="n">
        <v>45580</v>
      </c>
      <c r="C250" s="1" t="n">
        <v>46119</v>
      </c>
      <c r="D250" t="inlineStr">
        <is>
          <t>GÄVLEBORGS LÄN</t>
        </is>
      </c>
      <c r="E250" t="inlineStr">
        <is>
          <t>SÖDERHAMN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49935-2024</t>
        </is>
      </c>
      <c r="B251" s="1" t="n">
        <v>45597.58377314815</v>
      </c>
      <c r="C251" s="1" t="n">
        <v>46119</v>
      </c>
      <c r="D251" t="inlineStr">
        <is>
          <t>GÄVLEBORGS LÄN</t>
        </is>
      </c>
      <c r="E251" t="inlineStr">
        <is>
          <t>SÖDERHAMN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49942-2024</t>
        </is>
      </c>
      <c r="B252" s="1" t="n">
        <v>45597.5980324074</v>
      </c>
      <c r="C252" s="1" t="n">
        <v>46119</v>
      </c>
      <c r="D252" t="inlineStr">
        <is>
          <t>GÄVLEBORGS LÄN</t>
        </is>
      </c>
      <c r="E252" t="inlineStr">
        <is>
          <t>SÖDERHAMN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47347-2025</t>
        </is>
      </c>
      <c r="B253" s="1" t="n">
        <v>45930</v>
      </c>
      <c r="C253" s="1" t="n">
        <v>46119</v>
      </c>
      <c r="D253" t="inlineStr">
        <is>
          <t>GÄVLEBORGS LÄN</t>
        </is>
      </c>
      <c r="E253" t="inlineStr">
        <is>
          <t>SÖDERHAMN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18140-2023</t>
        </is>
      </c>
      <c r="B254" s="1" t="n">
        <v>45040.9262037037</v>
      </c>
      <c r="C254" s="1" t="n">
        <v>46119</v>
      </c>
      <c r="D254" t="inlineStr">
        <is>
          <t>GÄVLEBORGS LÄN</t>
        </is>
      </c>
      <c r="E254" t="inlineStr">
        <is>
          <t>SÖDERHAMN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55765-2025</t>
        </is>
      </c>
      <c r="B255" s="1" t="n">
        <v>45972.60929398148</v>
      </c>
      <c r="C255" s="1" t="n">
        <v>46119</v>
      </c>
      <c r="D255" t="inlineStr">
        <is>
          <t>GÄVLEBORGS LÄN</t>
        </is>
      </c>
      <c r="E255" t="inlineStr">
        <is>
          <t>SÖDERHAMN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59922-2023</t>
        </is>
      </c>
      <c r="B256" s="1" t="n">
        <v>45254</v>
      </c>
      <c r="C256" s="1" t="n">
        <v>46119</v>
      </c>
      <c r="D256" t="inlineStr">
        <is>
          <t>GÄVLEBORGS LÄN</t>
        </is>
      </c>
      <c r="E256" t="inlineStr">
        <is>
          <t>SÖDERHAMN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43723-2022</t>
        </is>
      </c>
      <c r="B257" s="1" t="n">
        <v>44837.67238425926</v>
      </c>
      <c r="C257" s="1" t="n">
        <v>46119</v>
      </c>
      <c r="D257" t="inlineStr">
        <is>
          <t>GÄVLEBORGS LÄN</t>
        </is>
      </c>
      <c r="E257" t="inlineStr">
        <is>
          <t>SÖDERHAMN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42265-2024</t>
        </is>
      </c>
      <c r="B258" s="1" t="n">
        <v>45562.59310185185</v>
      </c>
      <c r="C258" s="1" t="n">
        <v>46119</v>
      </c>
      <c r="D258" t="inlineStr">
        <is>
          <t>GÄVLEBORGS LÄN</t>
        </is>
      </c>
      <c r="E258" t="inlineStr">
        <is>
          <t>SÖDERHAMN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14321-2024</t>
        </is>
      </c>
      <c r="B259" s="1" t="n">
        <v>45393.69122685185</v>
      </c>
      <c r="C259" s="1" t="n">
        <v>46119</v>
      </c>
      <c r="D259" t="inlineStr">
        <is>
          <t>GÄVLEBORGS LÄN</t>
        </is>
      </c>
      <c r="E259" t="inlineStr">
        <is>
          <t>SÖDERHAMN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56502-2023</t>
        </is>
      </c>
      <c r="B260" s="1" t="n">
        <v>45243</v>
      </c>
      <c r="C260" s="1" t="n">
        <v>46119</v>
      </c>
      <c r="D260" t="inlineStr">
        <is>
          <t>GÄVLEBORGS LÄN</t>
        </is>
      </c>
      <c r="E260" t="inlineStr">
        <is>
          <t>SÖDERHAMN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26936-2023</t>
        </is>
      </c>
      <c r="B261" s="1" t="n">
        <v>45093.62740740741</v>
      </c>
      <c r="C261" s="1" t="n">
        <v>46119</v>
      </c>
      <c r="D261" t="inlineStr">
        <is>
          <t>GÄVLEBORGS LÄN</t>
        </is>
      </c>
      <c r="E261" t="inlineStr">
        <is>
          <t>SÖDERHAMN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48543-2025</t>
        </is>
      </c>
      <c r="B262" s="1" t="n">
        <v>45936.41565972222</v>
      </c>
      <c r="C262" s="1" t="n">
        <v>46119</v>
      </c>
      <c r="D262" t="inlineStr">
        <is>
          <t>GÄVLEBORGS LÄN</t>
        </is>
      </c>
      <c r="E262" t="inlineStr">
        <is>
          <t>SÖDERHAMN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48561-2025</t>
        </is>
      </c>
      <c r="B263" s="1" t="n">
        <v>45936.43376157407</v>
      </c>
      <c r="C263" s="1" t="n">
        <v>46119</v>
      </c>
      <c r="D263" t="inlineStr">
        <is>
          <t>GÄVLEBORGS LÄN</t>
        </is>
      </c>
      <c r="E263" t="inlineStr">
        <is>
          <t>SÖDERHAMN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48539-2025</t>
        </is>
      </c>
      <c r="B264" s="1" t="n">
        <v>45936.41141203704</v>
      </c>
      <c r="C264" s="1" t="n">
        <v>46119</v>
      </c>
      <c r="D264" t="inlineStr">
        <is>
          <t>GÄVLEBORGS LÄN</t>
        </is>
      </c>
      <c r="E264" t="inlineStr">
        <is>
          <t>SÖDERHAMN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48835-2025</t>
        </is>
      </c>
      <c r="B265" s="1" t="n">
        <v>45937.40071759259</v>
      </c>
      <c r="C265" s="1" t="n">
        <v>46119</v>
      </c>
      <c r="D265" t="inlineStr">
        <is>
          <t>GÄVLEBORGS LÄN</t>
        </is>
      </c>
      <c r="E265" t="inlineStr">
        <is>
          <t>SÖDERHAMN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49036-2025</t>
        </is>
      </c>
      <c r="B266" s="1" t="n">
        <v>45937.63039351852</v>
      </c>
      <c r="C266" s="1" t="n">
        <v>46119</v>
      </c>
      <c r="D266" t="inlineStr">
        <is>
          <t>GÄVLEBORGS LÄN</t>
        </is>
      </c>
      <c r="E266" t="inlineStr">
        <is>
          <t>SÖDERHAMN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2873-2025</t>
        </is>
      </c>
      <c r="B267" s="1" t="n">
        <v>45677.68695601852</v>
      </c>
      <c r="C267" s="1" t="n">
        <v>46119</v>
      </c>
      <c r="D267" t="inlineStr">
        <is>
          <t>GÄVLEBORGS LÄN</t>
        </is>
      </c>
      <c r="E267" t="inlineStr">
        <is>
          <t>SÖDERHAMN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45383-2025</t>
        </is>
      </c>
      <c r="B268" s="1" t="n">
        <v>45922.40482638889</v>
      </c>
      <c r="C268" s="1" t="n">
        <v>46119</v>
      </c>
      <c r="D268" t="inlineStr">
        <is>
          <t>GÄVLEBORGS LÄN</t>
        </is>
      </c>
      <c r="E268" t="inlineStr">
        <is>
          <t>SÖDERHAMN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49532-2025</t>
        </is>
      </c>
      <c r="B269" s="1" t="n">
        <v>45939</v>
      </c>
      <c r="C269" s="1" t="n">
        <v>46119</v>
      </c>
      <c r="D269" t="inlineStr">
        <is>
          <t>GÄVLEBORGS LÄN</t>
        </is>
      </c>
      <c r="E269" t="inlineStr">
        <is>
          <t>SÖDERHAMN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38079-2024</t>
        </is>
      </c>
      <c r="B270" s="1" t="n">
        <v>45545</v>
      </c>
      <c r="C270" s="1" t="n">
        <v>46119</v>
      </c>
      <c r="D270" t="inlineStr">
        <is>
          <t>GÄVLEBORGS LÄN</t>
        </is>
      </c>
      <c r="E270" t="inlineStr">
        <is>
          <t>SÖDERHAMN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31916-2024</t>
        </is>
      </c>
      <c r="B271" s="1" t="n">
        <v>45510.39054398148</v>
      </c>
      <c r="C271" s="1" t="n">
        <v>46119</v>
      </c>
      <c r="D271" t="inlineStr">
        <is>
          <t>GÄVLEBORGS LÄN</t>
        </is>
      </c>
      <c r="E271" t="inlineStr">
        <is>
          <t>SÖDERHAMN</t>
        </is>
      </c>
      <c r="F271" t="inlineStr">
        <is>
          <t>Bergvik skog väst AB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16750-2025</t>
        </is>
      </c>
      <c r="B272" s="1" t="n">
        <v>45754.56719907407</v>
      </c>
      <c r="C272" s="1" t="n">
        <v>46119</v>
      </c>
      <c r="D272" t="inlineStr">
        <is>
          <t>GÄVLEBORGS LÄN</t>
        </is>
      </c>
      <c r="E272" t="inlineStr">
        <is>
          <t>SÖDERHAMN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14850-2024</t>
        </is>
      </c>
      <c r="B273" s="1" t="n">
        <v>45398.43495370371</v>
      </c>
      <c r="C273" s="1" t="n">
        <v>46119</v>
      </c>
      <c r="D273" t="inlineStr">
        <is>
          <t>GÄVLEBORGS LÄN</t>
        </is>
      </c>
      <c r="E273" t="inlineStr">
        <is>
          <t>SÖDERHAMN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50007-2025</t>
        </is>
      </c>
      <c r="B274" s="1" t="n">
        <v>45943.34504629629</v>
      </c>
      <c r="C274" s="1" t="n">
        <v>46119</v>
      </c>
      <c r="D274" t="inlineStr">
        <is>
          <t>GÄVLEBORGS LÄN</t>
        </is>
      </c>
      <c r="E274" t="inlineStr">
        <is>
          <t>SÖDERHAMN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50633-2025</t>
        </is>
      </c>
      <c r="B275" s="1" t="n">
        <v>45945.6490162037</v>
      </c>
      <c r="C275" s="1" t="n">
        <v>46119</v>
      </c>
      <c r="D275" t="inlineStr">
        <is>
          <t>GÄVLEBORGS LÄN</t>
        </is>
      </c>
      <c r="E275" t="inlineStr">
        <is>
          <t>SÖDERHAMN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17526-2025</t>
        </is>
      </c>
      <c r="B276" s="1" t="n">
        <v>45757</v>
      </c>
      <c r="C276" s="1" t="n">
        <v>46119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50642-2025</t>
        </is>
      </c>
      <c r="B277" s="1" t="n">
        <v>45945.65640046296</v>
      </c>
      <c r="C277" s="1" t="n">
        <v>46119</v>
      </c>
      <c r="D277" t="inlineStr">
        <is>
          <t>GÄVLEBORGS LÄN</t>
        </is>
      </c>
      <c r="E277" t="inlineStr">
        <is>
          <t>SÖDERHAMN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16197-2025</t>
        </is>
      </c>
      <c r="B278" s="1" t="n">
        <v>45750.60393518519</v>
      </c>
      <c r="C278" s="1" t="n">
        <v>46119</v>
      </c>
      <c r="D278" t="inlineStr">
        <is>
          <t>GÄVLEBORGS LÄN</t>
        </is>
      </c>
      <c r="E278" t="inlineStr">
        <is>
          <t>SÖDERHAMN</t>
        </is>
      </c>
      <c r="F278" t="inlineStr">
        <is>
          <t>Kommuner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50246-2025</t>
        </is>
      </c>
      <c r="B279" s="1" t="n">
        <v>45944.30420138889</v>
      </c>
      <c r="C279" s="1" t="n">
        <v>46119</v>
      </c>
      <c r="D279" t="inlineStr">
        <is>
          <t>GÄVLEBORGS LÄN</t>
        </is>
      </c>
      <c r="E279" t="inlineStr">
        <is>
          <t>SÖDERHAMN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51132-2025</t>
        </is>
      </c>
      <c r="B280" s="1" t="n">
        <v>45947.55429398148</v>
      </c>
      <c r="C280" s="1" t="n">
        <v>46119</v>
      </c>
      <c r="D280" t="inlineStr">
        <is>
          <t>GÄVLEBORGS LÄN</t>
        </is>
      </c>
      <c r="E280" t="inlineStr">
        <is>
          <t>SÖDERHAMN</t>
        </is>
      </c>
      <c r="G280" t="n">
        <v>14.8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51153-2025</t>
        </is>
      </c>
      <c r="B281" s="1" t="n">
        <v>45947.5749074074</v>
      </c>
      <c r="C281" s="1" t="n">
        <v>46119</v>
      </c>
      <c r="D281" t="inlineStr">
        <is>
          <t>GÄVLEBORGS LÄN</t>
        </is>
      </c>
      <c r="E281" t="inlineStr">
        <is>
          <t>SÖDERHAMN</t>
        </is>
      </c>
      <c r="G281" t="n">
        <v>7.9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18800-2024</t>
        </is>
      </c>
      <c r="B282" s="1" t="n">
        <v>45426</v>
      </c>
      <c r="C282" s="1" t="n">
        <v>46119</v>
      </c>
      <c r="D282" t="inlineStr">
        <is>
          <t>GÄVLEBORGS LÄN</t>
        </is>
      </c>
      <c r="E282" t="inlineStr">
        <is>
          <t>SÖDERHAMN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49959-2024</t>
        </is>
      </c>
      <c r="B283" s="1" t="n">
        <v>45597.62274305556</v>
      </c>
      <c r="C283" s="1" t="n">
        <v>46119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51157-2025</t>
        </is>
      </c>
      <c r="B284" s="1" t="n">
        <v>45947.58068287037</v>
      </c>
      <c r="C284" s="1" t="n">
        <v>46119</v>
      </c>
      <c r="D284" t="inlineStr">
        <is>
          <t>GÄVLEBORGS LÄN</t>
        </is>
      </c>
      <c r="E284" t="inlineStr">
        <is>
          <t>SÖDERHAMN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48544-2025</t>
        </is>
      </c>
      <c r="B285" s="1" t="n">
        <v>45936.41883101852</v>
      </c>
      <c r="C285" s="1" t="n">
        <v>46119</v>
      </c>
      <c r="D285" t="inlineStr">
        <is>
          <t>GÄVLEBORGS LÄN</t>
        </is>
      </c>
      <c r="E285" t="inlineStr">
        <is>
          <t>SÖDERHAMN</t>
        </is>
      </c>
      <c r="G285" t="n">
        <v>6.4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51561-2025</t>
        </is>
      </c>
      <c r="B286" s="1" t="n">
        <v>45951.25780092592</v>
      </c>
      <c r="C286" s="1" t="n">
        <v>46119</v>
      </c>
      <c r="D286" t="inlineStr">
        <is>
          <t>GÄVLEBORGS LÄN</t>
        </is>
      </c>
      <c r="E286" t="inlineStr">
        <is>
          <t>SÖDERHAMN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18135-2025</t>
        </is>
      </c>
      <c r="B287" s="1" t="n">
        <v>45761.60195601852</v>
      </c>
      <c r="C287" s="1" t="n">
        <v>46119</v>
      </c>
      <c r="D287" t="inlineStr">
        <is>
          <t>GÄVLEBORGS LÄN</t>
        </is>
      </c>
      <c r="E287" t="inlineStr">
        <is>
          <t>SÖDERHAMN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53916-2024</t>
        </is>
      </c>
      <c r="B288" s="1" t="n">
        <v>45615.75822916667</v>
      </c>
      <c r="C288" s="1" t="n">
        <v>46119</v>
      </c>
      <c r="D288" t="inlineStr">
        <is>
          <t>GÄVLEBORGS LÄN</t>
        </is>
      </c>
      <c r="E288" t="inlineStr">
        <is>
          <t>SÖDERHAMN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16726-2025</t>
        </is>
      </c>
      <c r="B289" s="1" t="n">
        <v>45754.52270833333</v>
      </c>
      <c r="C289" s="1" t="n">
        <v>46119</v>
      </c>
      <c r="D289" t="inlineStr">
        <is>
          <t>GÄVLEBORGS LÄN</t>
        </is>
      </c>
      <c r="E289" t="inlineStr">
        <is>
          <t>SÖDERHAMN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15635-2025</t>
        </is>
      </c>
      <c r="B290" s="1" t="n">
        <v>45748.3718287037</v>
      </c>
      <c r="C290" s="1" t="n">
        <v>46119</v>
      </c>
      <c r="D290" t="inlineStr">
        <is>
          <t>GÄVLEBORGS LÄN</t>
        </is>
      </c>
      <c r="E290" t="inlineStr">
        <is>
          <t>SÖDERHAMN</t>
        </is>
      </c>
      <c r="F290" t="inlineStr">
        <is>
          <t>Kommuner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52494-2025</t>
        </is>
      </c>
      <c r="B291" s="1" t="n">
        <v>45954.48731481482</v>
      </c>
      <c r="C291" s="1" t="n">
        <v>46119</v>
      </c>
      <c r="D291" t="inlineStr">
        <is>
          <t>GÄVLEBORGS LÄN</t>
        </is>
      </c>
      <c r="E291" t="inlineStr">
        <is>
          <t>SÖDERHAMN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1649-2025</t>
        </is>
      </c>
      <c r="B292" s="1" t="n">
        <v>45670.6528587963</v>
      </c>
      <c r="C292" s="1" t="n">
        <v>46119</v>
      </c>
      <c r="D292" t="inlineStr">
        <is>
          <t>GÄVLEBORGS LÄN</t>
        </is>
      </c>
      <c r="E292" t="inlineStr">
        <is>
          <t>SÖDERHAMN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34752-2024</t>
        </is>
      </c>
      <c r="B293" s="1" t="n">
        <v>45526</v>
      </c>
      <c r="C293" s="1" t="n">
        <v>46119</v>
      </c>
      <c r="D293" t="inlineStr">
        <is>
          <t>GÄVLEBORGS LÄN</t>
        </is>
      </c>
      <c r="E293" t="inlineStr">
        <is>
          <t>SÖDERHAMN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52917-2025</t>
        </is>
      </c>
      <c r="B294" s="1" t="n">
        <v>45957.61104166666</v>
      </c>
      <c r="C294" s="1" t="n">
        <v>46119</v>
      </c>
      <c r="D294" t="inlineStr">
        <is>
          <t>GÄVLEBORGS LÄN</t>
        </is>
      </c>
      <c r="E294" t="inlineStr">
        <is>
          <t>SÖDERHAMN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49765-2024</t>
        </is>
      </c>
      <c r="B295" s="1" t="n">
        <v>45597.34137731481</v>
      </c>
      <c r="C295" s="1" t="n">
        <v>46119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52913-2025</t>
        </is>
      </c>
      <c r="B296" s="1" t="n">
        <v>45957.6062962963</v>
      </c>
      <c r="C296" s="1" t="n">
        <v>46119</v>
      </c>
      <c r="D296" t="inlineStr">
        <is>
          <t>GÄVLEBORGS LÄN</t>
        </is>
      </c>
      <c r="E296" t="inlineStr">
        <is>
          <t>SÖDERHAMN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52886-2025</t>
        </is>
      </c>
      <c r="B297" s="1" t="n">
        <v>45957.56458333333</v>
      </c>
      <c r="C297" s="1" t="n">
        <v>46119</v>
      </c>
      <c r="D297" t="inlineStr">
        <is>
          <t>GÄVLEBORGS LÄN</t>
        </is>
      </c>
      <c r="E297" t="inlineStr">
        <is>
          <t>SÖDERHAMN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1782-2023</t>
        </is>
      </c>
      <c r="B298" s="1" t="n">
        <v>44938.60140046296</v>
      </c>
      <c r="C298" s="1" t="n">
        <v>46119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7799-2025</t>
        </is>
      </c>
      <c r="B299" s="1" t="n">
        <v>45706.60534722222</v>
      </c>
      <c r="C299" s="1" t="n">
        <v>46119</v>
      </c>
      <c r="D299" t="inlineStr">
        <is>
          <t>GÄVLEBORGS LÄN</t>
        </is>
      </c>
      <c r="E299" t="inlineStr">
        <is>
          <t>SÖDERHAMN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13221-2025</t>
        </is>
      </c>
      <c r="B300" s="1" t="n">
        <v>45735</v>
      </c>
      <c r="C300" s="1" t="n">
        <v>46119</v>
      </c>
      <c r="D300" t="inlineStr">
        <is>
          <t>GÄVLEBORGS LÄN</t>
        </is>
      </c>
      <c r="E300" t="inlineStr">
        <is>
          <t>SÖDERHAMN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53781-2025</t>
        </is>
      </c>
      <c r="B301" s="1" t="n">
        <v>45960.69895833333</v>
      </c>
      <c r="C301" s="1" t="n">
        <v>46119</v>
      </c>
      <c r="D301" t="inlineStr">
        <is>
          <t>GÄVLEBORGS LÄN</t>
        </is>
      </c>
      <c r="E301" t="inlineStr">
        <is>
          <t>SÖDERHAMN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50281-2024</t>
        </is>
      </c>
      <c r="B302" s="1" t="n">
        <v>45600.61165509259</v>
      </c>
      <c r="C302" s="1" t="n">
        <v>46119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53628-2025</t>
        </is>
      </c>
      <c r="B303" s="1" t="n">
        <v>45960</v>
      </c>
      <c r="C303" s="1" t="n">
        <v>46119</v>
      </c>
      <c r="D303" t="inlineStr">
        <is>
          <t>GÄVLEBORGS LÄN</t>
        </is>
      </c>
      <c r="E303" t="inlineStr">
        <is>
          <t>SÖDERHAMN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53729-2025</t>
        </is>
      </c>
      <c r="B304" s="1" t="n">
        <v>45960.63787037037</v>
      </c>
      <c r="C304" s="1" t="n">
        <v>46119</v>
      </c>
      <c r="D304" t="inlineStr">
        <is>
          <t>GÄVLEBORGS LÄN</t>
        </is>
      </c>
      <c r="E304" t="inlineStr">
        <is>
          <t>SÖDERHAMN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53583-2025</t>
        </is>
      </c>
      <c r="B305" s="1" t="n">
        <v>45960.43071759259</v>
      </c>
      <c r="C305" s="1" t="n">
        <v>46119</v>
      </c>
      <c r="D305" t="inlineStr">
        <is>
          <t>GÄVLEBORGS LÄN</t>
        </is>
      </c>
      <c r="E305" t="inlineStr">
        <is>
          <t>SÖDERHAMN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53879-2025</t>
        </is>
      </c>
      <c r="B306" s="1" t="n">
        <v>45961.39596064815</v>
      </c>
      <c r="C306" s="1" t="n">
        <v>46119</v>
      </c>
      <c r="D306" t="inlineStr">
        <is>
          <t>GÄVLEBORGS LÄN</t>
        </is>
      </c>
      <c r="E306" t="inlineStr">
        <is>
          <t>SÖDERHAMN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53494-2025</t>
        </is>
      </c>
      <c r="B307" s="1" t="n">
        <v>45960.32569444444</v>
      </c>
      <c r="C307" s="1" t="n">
        <v>46119</v>
      </c>
      <c r="D307" t="inlineStr">
        <is>
          <t>GÄVLEBORGS LÄN</t>
        </is>
      </c>
      <c r="E307" t="inlineStr">
        <is>
          <t>SÖDERHAMN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53731-2025</t>
        </is>
      </c>
      <c r="B308" s="1" t="n">
        <v>45960.64208333333</v>
      </c>
      <c r="C308" s="1" t="n">
        <v>46119</v>
      </c>
      <c r="D308" t="inlineStr">
        <is>
          <t>GÄVLEBORGS LÄN</t>
        </is>
      </c>
      <c r="E308" t="inlineStr">
        <is>
          <t>SÖDERHAMN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39208-2024</t>
        </is>
      </c>
      <c r="B309" s="1" t="n">
        <v>45548.8325462963</v>
      </c>
      <c r="C309" s="1" t="n">
        <v>46119</v>
      </c>
      <c r="D309" t="inlineStr">
        <is>
          <t>GÄVLEBORGS LÄN</t>
        </is>
      </c>
      <c r="E309" t="inlineStr">
        <is>
          <t>SÖDERHAMN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21272-2023</t>
        </is>
      </c>
      <c r="B310" s="1" t="n">
        <v>45062.62559027778</v>
      </c>
      <c r="C310" s="1" t="n">
        <v>46119</v>
      </c>
      <c r="D310" t="inlineStr">
        <is>
          <t>GÄVLEBORGS LÄN</t>
        </is>
      </c>
      <c r="E310" t="inlineStr">
        <is>
          <t>SÖDERHAMN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54266-2025</t>
        </is>
      </c>
      <c r="B311" s="1" t="n">
        <v>45964.67049768518</v>
      </c>
      <c r="C311" s="1" t="n">
        <v>46119</v>
      </c>
      <c r="D311" t="inlineStr">
        <is>
          <t>GÄVLEBORGS LÄN</t>
        </is>
      </c>
      <c r="E311" t="inlineStr">
        <is>
          <t>SÖDERHAMN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40745-2023</t>
        </is>
      </c>
      <c r="B312" s="1" t="n">
        <v>45170</v>
      </c>
      <c r="C312" s="1" t="n">
        <v>46119</v>
      </c>
      <c r="D312" t="inlineStr">
        <is>
          <t>GÄVLEBORGS LÄN</t>
        </is>
      </c>
      <c r="E312" t="inlineStr">
        <is>
          <t>SÖDERHAMN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40097-2024</t>
        </is>
      </c>
      <c r="B313" s="1" t="n">
        <v>45554.41347222222</v>
      </c>
      <c r="C313" s="1" t="n">
        <v>46119</v>
      </c>
      <c r="D313" t="inlineStr">
        <is>
          <t>GÄVLEBORGS LÄN</t>
        </is>
      </c>
      <c r="E313" t="inlineStr">
        <is>
          <t>SÖDERHAMN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14472-2024</t>
        </is>
      </c>
      <c r="B314" s="1" t="n">
        <v>45394.55886574074</v>
      </c>
      <c r="C314" s="1" t="n">
        <v>46119</v>
      </c>
      <c r="D314" t="inlineStr">
        <is>
          <t>GÄVLEBORGS LÄN</t>
        </is>
      </c>
      <c r="E314" t="inlineStr">
        <is>
          <t>SÖDERHAMN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4557-2024</t>
        </is>
      </c>
      <c r="B315" s="1" t="n">
        <v>45327</v>
      </c>
      <c r="C315" s="1" t="n">
        <v>46119</v>
      </c>
      <c r="D315" t="inlineStr">
        <is>
          <t>GÄVLEBORGS LÄN</t>
        </is>
      </c>
      <c r="E315" t="inlineStr">
        <is>
          <t>SÖDERHAMN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54995-2025</t>
        </is>
      </c>
      <c r="B316" s="1" t="n">
        <v>45967.59489583333</v>
      </c>
      <c r="C316" s="1" t="n">
        <v>46119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54656-2025</t>
        </is>
      </c>
      <c r="B317" s="1" t="n">
        <v>45966.39697916667</v>
      </c>
      <c r="C317" s="1" t="n">
        <v>46119</v>
      </c>
      <c r="D317" t="inlineStr">
        <is>
          <t>GÄVLEBORGS LÄN</t>
        </is>
      </c>
      <c r="E317" t="inlineStr">
        <is>
          <t>SÖDERHAMN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54716-2025</t>
        </is>
      </c>
      <c r="B318" s="1" t="n">
        <v>45966.51038194444</v>
      </c>
      <c r="C318" s="1" t="n">
        <v>46119</v>
      </c>
      <c r="D318" t="inlineStr">
        <is>
          <t>GÄVLEBORGS LÄN</t>
        </is>
      </c>
      <c r="E318" t="inlineStr">
        <is>
          <t>SÖDERHAMN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55058-2025</t>
        </is>
      </c>
      <c r="B319" s="1" t="n">
        <v>45967.68291666666</v>
      </c>
      <c r="C319" s="1" t="n">
        <v>46119</v>
      </c>
      <c r="D319" t="inlineStr">
        <is>
          <t>GÄVLEBORGS LÄN</t>
        </is>
      </c>
      <c r="E319" t="inlineStr">
        <is>
          <t>SÖDERHAMN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54685-2025</t>
        </is>
      </c>
      <c r="B320" s="1" t="n">
        <v>45966.4406712963</v>
      </c>
      <c r="C320" s="1" t="n">
        <v>46119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16188-2025</t>
        </is>
      </c>
      <c r="B321" s="1" t="n">
        <v>45750.5878125</v>
      </c>
      <c r="C321" s="1" t="n">
        <v>46119</v>
      </c>
      <c r="D321" t="inlineStr">
        <is>
          <t>GÄVLEBORGS LÄN</t>
        </is>
      </c>
      <c r="E321" t="inlineStr">
        <is>
          <t>SÖDERHAMN</t>
        </is>
      </c>
      <c r="F321" t="inlineStr">
        <is>
          <t>Kommuner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54650-2025</t>
        </is>
      </c>
      <c r="B322" s="1" t="n">
        <v>45966.37739583333</v>
      </c>
      <c r="C322" s="1" t="n">
        <v>46119</v>
      </c>
      <c r="D322" t="inlineStr">
        <is>
          <t>GÄVLEBORGS LÄN</t>
        </is>
      </c>
      <c r="E322" t="inlineStr">
        <is>
          <t>SÖDERHAMN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55383-2025</t>
        </is>
      </c>
      <c r="B323" s="1" t="n">
        <v>45971.43109953704</v>
      </c>
      <c r="C323" s="1" t="n">
        <v>46119</v>
      </c>
      <c r="D323" t="inlineStr">
        <is>
          <t>GÄVLEBORGS LÄN</t>
        </is>
      </c>
      <c r="E323" t="inlineStr">
        <is>
          <t>SÖDERHAMN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55401-2025</t>
        </is>
      </c>
      <c r="B324" s="1" t="n">
        <v>45971.45069444444</v>
      </c>
      <c r="C324" s="1" t="n">
        <v>46119</v>
      </c>
      <c r="D324" t="inlineStr">
        <is>
          <t>GÄVLEBORGS LÄN</t>
        </is>
      </c>
      <c r="E324" t="inlineStr">
        <is>
          <t>SÖDERHAMN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55711-2025</t>
        </is>
      </c>
      <c r="B325" s="1" t="n">
        <v>45972.4805324074</v>
      </c>
      <c r="C325" s="1" t="n">
        <v>46119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55730-2025</t>
        </is>
      </c>
      <c r="B326" s="1" t="n">
        <v>45972.54152777778</v>
      </c>
      <c r="C326" s="1" t="n">
        <v>46119</v>
      </c>
      <c r="D326" t="inlineStr">
        <is>
          <t>GÄVLEBORGS LÄN</t>
        </is>
      </c>
      <c r="E326" t="inlineStr">
        <is>
          <t>SÖDERHAMN</t>
        </is>
      </c>
      <c r="F326" t="inlineStr">
        <is>
          <t>Bergvik skog väst AB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59301-2024</t>
        </is>
      </c>
      <c r="B327" s="1" t="n">
        <v>45637</v>
      </c>
      <c r="C327" s="1" t="n">
        <v>46119</v>
      </c>
      <c r="D327" t="inlineStr">
        <is>
          <t>GÄVLEBORGS LÄN</t>
        </is>
      </c>
      <c r="E327" t="inlineStr">
        <is>
          <t>SÖDERHAMN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24910-2024</t>
        </is>
      </c>
      <c r="B328" s="1" t="n">
        <v>45461.59956018518</v>
      </c>
      <c r="C328" s="1" t="n">
        <v>46119</v>
      </c>
      <c r="D328" t="inlineStr">
        <is>
          <t>GÄVLEBORGS LÄN</t>
        </is>
      </c>
      <c r="E328" t="inlineStr">
        <is>
          <t>SÖDERHAMN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56608-2025</t>
        </is>
      </c>
      <c r="B329" s="1" t="n">
        <v>45975.58508101852</v>
      </c>
      <c r="C329" s="1" t="n">
        <v>46119</v>
      </c>
      <c r="D329" t="inlineStr">
        <is>
          <t>GÄVLEBORGS LÄN</t>
        </is>
      </c>
      <c r="E329" t="inlineStr">
        <is>
          <t>SÖDERHAMN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56228-2025</t>
        </is>
      </c>
      <c r="B330" s="1" t="n">
        <v>45974</v>
      </c>
      <c r="C330" s="1" t="n">
        <v>46119</v>
      </c>
      <c r="D330" t="inlineStr">
        <is>
          <t>GÄVLEBORGS LÄN</t>
        </is>
      </c>
      <c r="E330" t="inlineStr">
        <is>
          <t>SÖDERHAMN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44897.49520833333</v>
      </c>
      <c r="C331" s="1" t="n">
        <v>46119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34976-2024</t>
        </is>
      </c>
      <c r="B332" s="1" t="n">
        <v>45527.5432175926</v>
      </c>
      <c r="C332" s="1" t="n">
        <v>46119</v>
      </c>
      <c r="D332" t="inlineStr">
        <is>
          <t>GÄVLEBORGS LÄN</t>
        </is>
      </c>
      <c r="E332" t="inlineStr">
        <is>
          <t>SÖDERHAMN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56945-2025</t>
        </is>
      </c>
      <c r="B333" s="1" t="n">
        <v>45978.63996527778</v>
      </c>
      <c r="C333" s="1" t="n">
        <v>46119</v>
      </c>
      <c r="D333" t="inlineStr">
        <is>
          <t>GÄVLEBORGS LÄN</t>
        </is>
      </c>
      <c r="E333" t="inlineStr">
        <is>
          <t>SÖDERHAMN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53918-2025</t>
        </is>
      </c>
      <c r="B334" s="1" t="n">
        <v>45961</v>
      </c>
      <c r="C334" s="1" t="n">
        <v>46119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57085-2025</t>
        </is>
      </c>
      <c r="B335" s="1" t="n">
        <v>45979.41935185185</v>
      </c>
      <c r="C335" s="1" t="n">
        <v>46119</v>
      </c>
      <c r="D335" t="inlineStr">
        <is>
          <t>GÄVLEBORGS LÄN</t>
        </is>
      </c>
      <c r="E335" t="inlineStr">
        <is>
          <t>SÖDERHAMN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56949-2025</t>
        </is>
      </c>
      <c r="B336" s="1" t="n">
        <v>45978.64606481481</v>
      </c>
      <c r="C336" s="1" t="n">
        <v>46119</v>
      </c>
      <c r="D336" t="inlineStr">
        <is>
          <t>GÄVLEBORGS LÄN</t>
        </is>
      </c>
      <c r="E336" t="inlineStr">
        <is>
          <t>SÖDERHAMN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57175-2025</t>
        </is>
      </c>
      <c r="B337" s="1" t="n">
        <v>45979.55052083333</v>
      </c>
      <c r="C337" s="1" t="n">
        <v>46119</v>
      </c>
      <c r="D337" t="inlineStr">
        <is>
          <t>GÄVLEBORGS LÄN</t>
        </is>
      </c>
      <c r="E337" t="inlineStr">
        <is>
          <t>SÖDERHAMN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14128-2022</t>
        </is>
      </c>
      <c r="B338" s="1" t="n">
        <v>44651.41497685185</v>
      </c>
      <c r="C338" s="1" t="n">
        <v>46119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56946-2025</t>
        </is>
      </c>
      <c r="B339" s="1" t="n">
        <v>45978.64278935185</v>
      </c>
      <c r="C339" s="1" t="n">
        <v>46119</v>
      </c>
      <c r="D339" t="inlineStr">
        <is>
          <t>GÄVLEBORGS LÄN</t>
        </is>
      </c>
      <c r="E339" t="inlineStr">
        <is>
          <t>SÖDERHAMN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57120-2025</t>
        </is>
      </c>
      <c r="B340" s="1" t="n">
        <v>45978</v>
      </c>
      <c r="C340" s="1" t="n">
        <v>46119</v>
      </c>
      <c r="D340" t="inlineStr">
        <is>
          <t>GÄVLEBORGS LÄN</t>
        </is>
      </c>
      <c r="E340" t="inlineStr">
        <is>
          <t>SÖDERHAMN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16340-2023</t>
        </is>
      </c>
      <c r="B341" s="1" t="n">
        <v>45028.64403935185</v>
      </c>
      <c r="C341" s="1" t="n">
        <v>46119</v>
      </c>
      <c r="D341" t="inlineStr">
        <is>
          <t>GÄVLEBORGS LÄN</t>
        </is>
      </c>
      <c r="E341" t="inlineStr">
        <is>
          <t>SÖDERHAMN</t>
        </is>
      </c>
      <c r="F341" t="inlineStr">
        <is>
          <t>Bergvik skog väst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58215-2025</t>
        </is>
      </c>
      <c r="B342" s="1" t="n">
        <v>45985.3565162037</v>
      </c>
      <c r="C342" s="1" t="n">
        <v>46119</v>
      </c>
      <c r="D342" t="inlineStr">
        <is>
          <t>GÄVLEBORGS LÄN</t>
        </is>
      </c>
      <c r="E342" t="inlineStr">
        <is>
          <t>SÖDERHAMN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58047-2025</t>
        </is>
      </c>
      <c r="B343" s="1" t="n">
        <v>45982.51212962963</v>
      </c>
      <c r="C343" s="1" t="n">
        <v>46119</v>
      </c>
      <c r="D343" t="inlineStr">
        <is>
          <t>GÄVLEBORGS LÄN</t>
        </is>
      </c>
      <c r="E343" t="inlineStr">
        <is>
          <t>SÖDERHAMN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63431-2021</t>
        </is>
      </c>
      <c r="B344" s="1" t="n">
        <v>44508.57627314814</v>
      </c>
      <c r="C344" s="1" t="n">
        <v>46119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58401-2025</t>
        </is>
      </c>
      <c r="B345" s="1" t="n">
        <v>45985.56396990741</v>
      </c>
      <c r="C345" s="1" t="n">
        <v>46119</v>
      </c>
      <c r="D345" t="inlineStr">
        <is>
          <t>GÄVLEBORGS LÄN</t>
        </is>
      </c>
      <c r="E345" t="inlineStr">
        <is>
          <t>SÖDERHAMN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58069-2025</t>
        </is>
      </c>
      <c r="B346" s="1" t="n">
        <v>45982.54618055555</v>
      </c>
      <c r="C346" s="1" t="n">
        <v>46119</v>
      </c>
      <c r="D346" t="inlineStr">
        <is>
          <t>GÄVLEBORGS LÄN</t>
        </is>
      </c>
      <c r="E346" t="inlineStr">
        <is>
          <t>SÖDERHAMN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39916-2021</t>
        </is>
      </c>
      <c r="B347" s="1" t="n">
        <v>44417.84194444444</v>
      </c>
      <c r="C347" s="1" t="n">
        <v>46119</v>
      </c>
      <c r="D347" t="inlineStr">
        <is>
          <t>GÄVLEBORGS LÄN</t>
        </is>
      </c>
      <c r="E347" t="inlineStr">
        <is>
          <t>SÖDERHAMN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13805-2022</t>
        </is>
      </c>
      <c r="B348" s="1" t="n">
        <v>44649.58061342593</v>
      </c>
      <c r="C348" s="1" t="n">
        <v>46119</v>
      </c>
      <c r="D348" t="inlineStr">
        <is>
          <t>GÄVLEBORGS LÄN</t>
        </is>
      </c>
      <c r="E348" t="inlineStr">
        <is>
          <t>SÖDERHAMN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15682-2025</t>
        </is>
      </c>
      <c r="B349" s="1" t="n">
        <v>45748.45584490741</v>
      </c>
      <c r="C349" s="1" t="n">
        <v>46119</v>
      </c>
      <c r="D349" t="inlineStr">
        <is>
          <t>GÄVLEBORGS LÄN</t>
        </is>
      </c>
      <c r="E349" t="inlineStr">
        <is>
          <t>SÖDERHAMN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46119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11653-2024</t>
        </is>
      </c>
      <c r="B351" s="1" t="n">
        <v>45373.53380787037</v>
      </c>
      <c r="C351" s="1" t="n">
        <v>46119</v>
      </c>
      <c r="D351" t="inlineStr">
        <is>
          <t>GÄVLEBORGS LÄN</t>
        </is>
      </c>
      <c r="E351" t="inlineStr">
        <is>
          <t>SÖDERHAMN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58499-2025</t>
        </is>
      </c>
      <c r="B352" s="1" t="n">
        <v>45985.68675925926</v>
      </c>
      <c r="C352" s="1" t="n">
        <v>46119</v>
      </c>
      <c r="D352" t="inlineStr">
        <is>
          <t>GÄVLEBORGS LÄN</t>
        </is>
      </c>
      <c r="E352" t="inlineStr">
        <is>
          <t>SÖDERHAMN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58502-2025</t>
        </is>
      </c>
      <c r="B353" s="1" t="n">
        <v>45985.6922337963</v>
      </c>
      <c r="C353" s="1" t="n">
        <v>46119</v>
      </c>
      <c r="D353" t="inlineStr">
        <is>
          <t>GÄVLEBORGS LÄN</t>
        </is>
      </c>
      <c r="E353" t="inlineStr">
        <is>
          <t>SÖDERHAMN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51986-2024</t>
        </is>
      </c>
      <c r="B354" s="1" t="n">
        <v>45607.68255787037</v>
      </c>
      <c r="C354" s="1" t="n">
        <v>46119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56933-2024</t>
        </is>
      </c>
      <c r="B355" s="1" t="n">
        <v>45628</v>
      </c>
      <c r="C355" s="1" t="n">
        <v>46119</v>
      </c>
      <c r="D355" t="inlineStr">
        <is>
          <t>GÄVLEBORGS LÄN</t>
        </is>
      </c>
      <c r="E355" t="inlineStr">
        <is>
          <t>SÖDERHAMN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8073-2022</t>
        </is>
      </c>
      <c r="B356" s="1" t="n">
        <v>44609.49275462963</v>
      </c>
      <c r="C356" s="1" t="n">
        <v>46119</v>
      </c>
      <c r="D356" t="inlineStr">
        <is>
          <t>GÄVLEBORGS LÄN</t>
        </is>
      </c>
      <c r="E356" t="inlineStr">
        <is>
          <t>SÖDERHAMN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55713-2024</t>
        </is>
      </c>
      <c r="B357" s="1" t="n">
        <v>45622.70282407408</v>
      </c>
      <c r="C357" s="1" t="n">
        <v>46119</v>
      </c>
      <c r="D357" t="inlineStr">
        <is>
          <t>GÄVLEBORGS LÄN</t>
        </is>
      </c>
      <c r="E357" t="inlineStr">
        <is>
          <t>SÖDERHAMN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55715-2024</t>
        </is>
      </c>
      <c r="B358" s="1" t="n">
        <v>45622.70284722222</v>
      </c>
      <c r="C358" s="1" t="n">
        <v>46119</v>
      </c>
      <c r="D358" t="inlineStr">
        <is>
          <t>GÄVLEBORGS LÄN</t>
        </is>
      </c>
      <c r="E358" t="inlineStr">
        <is>
          <t>SÖDERHAMN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16185-2025</t>
        </is>
      </c>
      <c r="B359" s="1" t="n">
        <v>45750.58597222222</v>
      </c>
      <c r="C359" s="1" t="n">
        <v>46119</v>
      </c>
      <c r="D359" t="inlineStr">
        <is>
          <t>GÄVLEBORGS LÄN</t>
        </is>
      </c>
      <c r="E359" t="inlineStr">
        <is>
          <t>SÖDERHAMN</t>
        </is>
      </c>
      <c r="F359" t="inlineStr">
        <is>
          <t>Kommuner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59420-2025</t>
        </is>
      </c>
      <c r="B360" s="1" t="n">
        <v>45989.52212962963</v>
      </c>
      <c r="C360" s="1" t="n">
        <v>46119</v>
      </c>
      <c r="D360" t="inlineStr">
        <is>
          <t>GÄVLEBORGS LÄN</t>
        </is>
      </c>
      <c r="E360" t="inlineStr">
        <is>
          <t>SÖDERHAMN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50842-2024</t>
        </is>
      </c>
      <c r="B361" s="1" t="n">
        <v>45602.60487268519</v>
      </c>
      <c r="C361" s="1" t="n">
        <v>46119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42035-2024</t>
        </is>
      </c>
      <c r="B362" s="1" t="n">
        <v>45561</v>
      </c>
      <c r="C362" s="1" t="n">
        <v>46119</v>
      </c>
      <c r="D362" t="inlineStr">
        <is>
          <t>GÄVLEBORGS LÄN</t>
        </is>
      </c>
      <c r="E362" t="inlineStr">
        <is>
          <t>SÖDERHAMN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59827-2025</t>
        </is>
      </c>
      <c r="B363" s="1" t="n">
        <v>45992.65472222222</v>
      </c>
      <c r="C363" s="1" t="n">
        <v>46119</v>
      </c>
      <c r="D363" t="inlineStr">
        <is>
          <t>GÄVLEBORGS LÄN</t>
        </is>
      </c>
      <c r="E363" t="inlineStr">
        <is>
          <t>SÖDERHAMN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59847-2025</t>
        </is>
      </c>
      <c r="B364" s="1" t="n">
        <v>45992.685625</v>
      </c>
      <c r="C364" s="1" t="n">
        <v>46119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59754-2025</t>
        </is>
      </c>
      <c r="B365" s="1" t="n">
        <v>45992.58619212963</v>
      </c>
      <c r="C365" s="1" t="n">
        <v>46119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59756-2025</t>
        </is>
      </c>
      <c r="B366" s="1" t="n">
        <v>45992.58737268519</v>
      </c>
      <c r="C366" s="1" t="n">
        <v>46119</v>
      </c>
      <c r="D366" t="inlineStr">
        <is>
          <t>GÄVLEBORGS LÄN</t>
        </is>
      </c>
      <c r="E366" t="inlineStr">
        <is>
          <t>SÖDERHAMN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59684-2025</t>
        </is>
      </c>
      <c r="B367" s="1" t="n">
        <v>45992.47364583334</v>
      </c>
      <c r="C367" s="1" t="n">
        <v>46119</v>
      </c>
      <c r="D367" t="inlineStr">
        <is>
          <t>GÄVLEBORGS LÄN</t>
        </is>
      </c>
      <c r="E367" t="inlineStr">
        <is>
          <t>SÖDERHAMN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15499-2025</t>
        </is>
      </c>
      <c r="B368" s="1" t="n">
        <v>45747.58306712963</v>
      </c>
      <c r="C368" s="1" t="n">
        <v>46119</v>
      </c>
      <c r="D368" t="inlineStr">
        <is>
          <t>GÄVLEBORGS LÄN</t>
        </is>
      </c>
      <c r="E368" t="inlineStr">
        <is>
          <t>SÖDERHAMN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60301-2025</t>
        </is>
      </c>
      <c r="B369" s="1" t="n">
        <v>45994.67194444445</v>
      </c>
      <c r="C369" s="1" t="n">
        <v>46119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18431-2025</t>
        </is>
      </c>
      <c r="B370" s="1" t="n">
        <v>45762.63586805556</v>
      </c>
      <c r="C370" s="1" t="n">
        <v>46119</v>
      </c>
      <c r="D370" t="inlineStr">
        <is>
          <t>GÄVLEBORGS LÄN</t>
        </is>
      </c>
      <c r="E370" t="inlineStr">
        <is>
          <t>SÖDERHAMN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60453-2025</t>
        </is>
      </c>
      <c r="B371" s="1" t="n">
        <v>45995</v>
      </c>
      <c r="C371" s="1" t="n">
        <v>46119</v>
      </c>
      <c r="D371" t="inlineStr">
        <is>
          <t>GÄVLEBORGS LÄN</t>
        </is>
      </c>
      <c r="E371" t="inlineStr">
        <is>
          <t>SÖDERHAMN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60501-2025</t>
        </is>
      </c>
      <c r="B372" s="1" t="n">
        <v>45995.61873842592</v>
      </c>
      <c r="C372" s="1" t="n">
        <v>46119</v>
      </c>
      <c r="D372" t="inlineStr">
        <is>
          <t>GÄVLEBORGS LÄN</t>
        </is>
      </c>
      <c r="E372" t="inlineStr">
        <is>
          <t>SÖDERHAMN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47288-2023</t>
        </is>
      </c>
      <c r="B373" s="1" t="n">
        <v>45202</v>
      </c>
      <c r="C373" s="1" t="n">
        <v>46119</v>
      </c>
      <c r="D373" t="inlineStr">
        <is>
          <t>GÄVLEBORGS LÄN</t>
        </is>
      </c>
      <c r="E373" t="inlineStr">
        <is>
          <t>SÖDERHAMN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60939-2025</t>
        </is>
      </c>
      <c r="B374" s="1" t="n">
        <v>45999.6430787037</v>
      </c>
      <c r="C374" s="1" t="n">
        <v>46119</v>
      </c>
      <c r="D374" t="inlineStr">
        <is>
          <t>GÄVLEBORGS LÄN</t>
        </is>
      </c>
      <c r="E374" t="inlineStr">
        <is>
          <t>SÖDERHAMN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14960-2024</t>
        </is>
      </c>
      <c r="B375" s="1" t="n">
        <v>45398</v>
      </c>
      <c r="C375" s="1" t="n">
        <v>46119</v>
      </c>
      <c r="D375" t="inlineStr">
        <is>
          <t>GÄVLEBORGS LÄN</t>
        </is>
      </c>
      <c r="E375" t="inlineStr">
        <is>
          <t>SÖDERHAMN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58212-2025</t>
        </is>
      </c>
      <c r="B376" s="1" t="n">
        <v>45985.34894675926</v>
      </c>
      <c r="C376" s="1" t="n">
        <v>46119</v>
      </c>
      <c r="D376" t="inlineStr">
        <is>
          <t>GÄVLEBORGS LÄN</t>
        </is>
      </c>
      <c r="E376" t="inlineStr">
        <is>
          <t>SÖDERHAMN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60937-2025</t>
        </is>
      </c>
      <c r="B377" s="1" t="n">
        <v>45999.64283564815</v>
      </c>
      <c r="C377" s="1" t="n">
        <v>46119</v>
      </c>
      <c r="D377" t="inlineStr">
        <is>
          <t>GÄVLEBORGS LÄN</t>
        </is>
      </c>
      <c r="E377" t="inlineStr">
        <is>
          <t>SÖDERHAMN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60935-2025</t>
        </is>
      </c>
      <c r="B378" s="1" t="n">
        <v>45999.64253472222</v>
      </c>
      <c r="C378" s="1" t="n">
        <v>46119</v>
      </c>
      <c r="D378" t="inlineStr">
        <is>
          <t>GÄVLEBORGS LÄN</t>
        </is>
      </c>
      <c r="E378" t="inlineStr">
        <is>
          <t>SÖDERHAMN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51553-2024</t>
        </is>
      </c>
      <c r="B379" s="1" t="n">
        <v>45604.60453703703</v>
      </c>
      <c r="C379" s="1" t="n">
        <v>46119</v>
      </c>
      <c r="D379" t="inlineStr">
        <is>
          <t>GÄVLEBORGS LÄN</t>
        </is>
      </c>
      <c r="E379" t="inlineStr">
        <is>
          <t>SÖDERHAMN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20312-2025</t>
        </is>
      </c>
      <c r="B380" s="1" t="n">
        <v>45775.30450231482</v>
      </c>
      <c r="C380" s="1" t="n">
        <v>46119</v>
      </c>
      <c r="D380" t="inlineStr">
        <is>
          <t>GÄVLEBORGS LÄN</t>
        </is>
      </c>
      <c r="E380" t="inlineStr">
        <is>
          <t>SÖDERHAMN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18920-2025</t>
        </is>
      </c>
      <c r="B381" s="1" t="n">
        <v>45764.47677083333</v>
      </c>
      <c r="C381" s="1" t="n">
        <v>46119</v>
      </c>
      <c r="D381" t="inlineStr">
        <is>
          <t>GÄVLEBORGS LÄN</t>
        </is>
      </c>
      <c r="E381" t="inlineStr">
        <is>
          <t>SÖDERHAMN</t>
        </is>
      </c>
      <c r="F381" t="inlineStr">
        <is>
          <t>Kommuner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25904-2024</t>
        </is>
      </c>
      <c r="B382" s="1" t="n">
        <v>45467.57811342592</v>
      </c>
      <c r="C382" s="1" t="n">
        <v>46119</v>
      </c>
      <c r="D382" t="inlineStr">
        <is>
          <t>GÄVLEBORGS LÄN</t>
        </is>
      </c>
      <c r="E382" t="inlineStr">
        <is>
          <t>SÖDERHAMN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61042-2025</t>
        </is>
      </c>
      <c r="B383" s="1" t="n">
        <v>46000.27725694444</v>
      </c>
      <c r="C383" s="1" t="n">
        <v>46119</v>
      </c>
      <c r="D383" t="inlineStr">
        <is>
          <t>GÄVLEBORGS LÄN</t>
        </is>
      </c>
      <c r="E383" t="inlineStr">
        <is>
          <t>SÖDERHAMN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16106-2023</t>
        </is>
      </c>
      <c r="B384" s="1" t="n">
        <v>45027</v>
      </c>
      <c r="C384" s="1" t="n">
        <v>46119</v>
      </c>
      <c r="D384" t="inlineStr">
        <is>
          <t>GÄVLEBORGS LÄN</t>
        </is>
      </c>
      <c r="E384" t="inlineStr">
        <is>
          <t>SÖDERHAMN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61416-2025</t>
        </is>
      </c>
      <c r="B385" s="1" t="n">
        <v>46001.53202546296</v>
      </c>
      <c r="C385" s="1" t="n">
        <v>46119</v>
      </c>
      <c r="D385" t="inlineStr">
        <is>
          <t>GÄVLEBORGS LÄN</t>
        </is>
      </c>
      <c r="E385" t="inlineStr">
        <is>
          <t>SÖDERHAMN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61396-2025</t>
        </is>
      </c>
      <c r="B386" s="1" t="n">
        <v>46001.47506944444</v>
      </c>
      <c r="C386" s="1" t="n">
        <v>46119</v>
      </c>
      <c r="D386" t="inlineStr">
        <is>
          <t>GÄVLEBORGS LÄN</t>
        </is>
      </c>
      <c r="E386" t="inlineStr">
        <is>
          <t>SÖDERHAMN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49305-2023</t>
        </is>
      </c>
      <c r="B387" s="1" t="n">
        <v>45210</v>
      </c>
      <c r="C387" s="1" t="n">
        <v>46119</v>
      </c>
      <c r="D387" t="inlineStr">
        <is>
          <t>GÄVLEBORGS LÄN</t>
        </is>
      </c>
      <c r="E387" t="inlineStr">
        <is>
          <t>SÖDERHAMN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49306-2023</t>
        </is>
      </c>
      <c r="B388" s="1" t="n">
        <v>45210</v>
      </c>
      <c r="C388" s="1" t="n">
        <v>46119</v>
      </c>
      <c r="D388" t="inlineStr">
        <is>
          <t>GÄVLEBORGS LÄN</t>
        </is>
      </c>
      <c r="E388" t="inlineStr">
        <is>
          <t>SÖDERHAMN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1888-2026</t>
        </is>
      </c>
      <c r="B389" s="1" t="n">
        <v>46035</v>
      </c>
      <c r="C389" s="1" t="n">
        <v>46119</v>
      </c>
      <c r="D389" t="inlineStr">
        <is>
          <t>GÄVLEBORGS LÄN</t>
        </is>
      </c>
      <c r="E389" t="inlineStr">
        <is>
          <t>SÖDERHAMN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44681-2024</t>
        </is>
      </c>
      <c r="B390" s="1" t="n">
        <v>45574.54585648148</v>
      </c>
      <c r="C390" s="1" t="n">
        <v>46119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46119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62414-2025</t>
        </is>
      </c>
      <c r="B392" s="1" t="n">
        <v>46007.44385416667</v>
      </c>
      <c r="C392" s="1" t="n">
        <v>46119</v>
      </c>
      <c r="D392" t="inlineStr">
        <is>
          <t>GÄVLEBORGS LÄN</t>
        </is>
      </c>
      <c r="E392" t="inlineStr">
        <is>
          <t>SÖDERHAMN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55240-2024</t>
        </is>
      </c>
      <c r="B393" s="1" t="n">
        <v>45621</v>
      </c>
      <c r="C393" s="1" t="n">
        <v>46119</v>
      </c>
      <c r="D393" t="inlineStr">
        <is>
          <t>GÄVLEBORGS LÄN</t>
        </is>
      </c>
      <c r="E393" t="inlineStr">
        <is>
          <t>SÖDERHAMN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27862-2023</t>
        </is>
      </c>
      <c r="B394" s="1" t="n">
        <v>45098</v>
      </c>
      <c r="C394" s="1" t="n">
        <v>46119</v>
      </c>
      <c r="D394" t="inlineStr">
        <is>
          <t>GÄVLEBORGS LÄN</t>
        </is>
      </c>
      <c r="E394" t="inlineStr">
        <is>
          <t>SÖDERHAMN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62613-2025</t>
        </is>
      </c>
      <c r="B395" s="1" t="n">
        <v>46008.31300925926</v>
      </c>
      <c r="C395" s="1" t="n">
        <v>46119</v>
      </c>
      <c r="D395" t="inlineStr">
        <is>
          <t>GÄVLEBORGS LÄN</t>
        </is>
      </c>
      <c r="E395" t="inlineStr">
        <is>
          <t>SÖDERHAMN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24083-2025</t>
        </is>
      </c>
      <c r="B396" s="1" t="n">
        <v>45796</v>
      </c>
      <c r="C396" s="1" t="n">
        <v>46119</v>
      </c>
      <c r="D396" t="inlineStr">
        <is>
          <t>GÄVLEBORGS LÄN</t>
        </is>
      </c>
      <c r="E396" t="inlineStr">
        <is>
          <t>SÖDERHAMN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5886-2023</t>
        </is>
      </c>
      <c r="B397" s="1" t="n">
        <v>44963.64210648148</v>
      </c>
      <c r="C397" s="1" t="n">
        <v>46119</v>
      </c>
      <c r="D397" t="inlineStr">
        <is>
          <t>GÄVLEBORGS LÄN</t>
        </is>
      </c>
      <c r="E397" t="inlineStr">
        <is>
          <t>SÖDERHAMN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43191-2024</t>
        </is>
      </c>
      <c r="B398" s="1" t="n">
        <v>45567.67518518519</v>
      </c>
      <c r="C398" s="1" t="n">
        <v>46119</v>
      </c>
      <c r="D398" t="inlineStr">
        <is>
          <t>GÄVLEBORGS LÄN</t>
        </is>
      </c>
      <c r="E398" t="inlineStr">
        <is>
          <t>SÖDERHAMN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62616-2025</t>
        </is>
      </c>
      <c r="B399" s="1" t="n">
        <v>46008.32385416667</v>
      </c>
      <c r="C399" s="1" t="n">
        <v>46119</v>
      </c>
      <c r="D399" t="inlineStr">
        <is>
          <t>GÄVLEBORGS LÄN</t>
        </is>
      </c>
      <c r="E399" t="inlineStr">
        <is>
          <t>SÖDERHAMN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22227-2024</t>
        </is>
      </c>
      <c r="B400" s="1" t="n">
        <v>45446.42173611111</v>
      </c>
      <c r="C400" s="1" t="n">
        <v>46119</v>
      </c>
      <c r="D400" t="inlineStr">
        <is>
          <t>GÄVLEBORGS LÄN</t>
        </is>
      </c>
      <c r="E400" t="inlineStr">
        <is>
          <t>SÖDERHAMN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16224-2025</t>
        </is>
      </c>
      <c r="B401" s="1" t="n">
        <v>45750</v>
      </c>
      <c r="C401" s="1" t="n">
        <v>46119</v>
      </c>
      <c r="D401" t="inlineStr">
        <is>
          <t>GÄVLEBORGS LÄN</t>
        </is>
      </c>
      <c r="E401" t="inlineStr">
        <is>
          <t>SÖDERHAMN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16235-2025</t>
        </is>
      </c>
      <c r="B402" s="1" t="n">
        <v>45750.65936342593</v>
      </c>
      <c r="C402" s="1" t="n">
        <v>46119</v>
      </c>
      <c r="D402" t="inlineStr">
        <is>
          <t>GÄVLEBORGS LÄN</t>
        </is>
      </c>
      <c r="E402" t="inlineStr">
        <is>
          <t>SÖDERHAMN</t>
        </is>
      </c>
      <c r="F402" t="inlineStr">
        <is>
          <t>Kommuner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4843-2023</t>
        </is>
      </c>
      <c r="B403" s="1" t="n">
        <v>44957</v>
      </c>
      <c r="C403" s="1" t="n">
        <v>46119</v>
      </c>
      <c r="D403" t="inlineStr">
        <is>
          <t>GÄVLEBORGS LÄN</t>
        </is>
      </c>
      <c r="E403" t="inlineStr">
        <is>
          <t>SÖDERHAMN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46119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58610-2023</t>
        </is>
      </c>
      <c r="B405" s="1" t="n">
        <v>45251.49936342592</v>
      </c>
      <c r="C405" s="1" t="n">
        <v>46119</v>
      </c>
      <c r="D405" t="inlineStr">
        <is>
          <t>GÄVLEBORGS LÄN</t>
        </is>
      </c>
      <c r="E405" t="inlineStr">
        <is>
          <t>SÖDERHAMN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204-2026</t>
        </is>
      </c>
      <c r="B406" s="1" t="n">
        <v>46026</v>
      </c>
      <c r="C406" s="1" t="n">
        <v>46119</v>
      </c>
      <c r="D406" t="inlineStr">
        <is>
          <t>GÄVLEBORGS LÄN</t>
        </is>
      </c>
      <c r="E406" t="inlineStr">
        <is>
          <t>SÖDERHAMN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206-2026</t>
        </is>
      </c>
      <c r="B407" s="1" t="n">
        <v>46026</v>
      </c>
      <c r="C407" s="1" t="n">
        <v>46119</v>
      </c>
      <c r="D407" t="inlineStr">
        <is>
          <t>GÄVLEBORGS LÄN</t>
        </is>
      </c>
      <c r="E407" t="inlineStr">
        <is>
          <t>SÖDERHAMN</t>
        </is>
      </c>
      <c r="G407" t="n">
        <v>12.9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57753-2023</t>
        </is>
      </c>
      <c r="B408" s="1" t="n">
        <v>45246.78600694444</v>
      </c>
      <c r="C408" s="1" t="n">
        <v>46119</v>
      </c>
      <c r="D408" t="inlineStr">
        <is>
          <t>GÄVLEBORGS LÄN</t>
        </is>
      </c>
      <c r="E408" t="inlineStr">
        <is>
          <t>SÖDERHAMN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42-2026</t>
        </is>
      </c>
      <c r="B409" s="1" t="n">
        <v>46024.4025</v>
      </c>
      <c r="C409" s="1" t="n">
        <v>46119</v>
      </c>
      <c r="D409" t="inlineStr">
        <is>
          <t>GÄVLEBORGS LÄN</t>
        </is>
      </c>
      <c r="E409" t="inlineStr">
        <is>
          <t>SÖDERHAMN</t>
        </is>
      </c>
      <c r="G409" t="n">
        <v>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73-2026</t>
        </is>
      </c>
      <c r="B410" s="1" t="n">
        <v>46024.46342592593</v>
      </c>
      <c r="C410" s="1" t="n">
        <v>46119</v>
      </c>
      <c r="D410" t="inlineStr">
        <is>
          <t>GÄVLEBORGS LÄN</t>
        </is>
      </c>
      <c r="E410" t="inlineStr">
        <is>
          <t>SÖDERHAMN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71-2026</t>
        </is>
      </c>
      <c r="B411" s="1" t="n">
        <v>46024.45932870371</v>
      </c>
      <c r="C411" s="1" t="n">
        <v>46119</v>
      </c>
      <c r="D411" t="inlineStr">
        <is>
          <t>GÄVLEBORGS LÄN</t>
        </is>
      </c>
      <c r="E411" t="inlineStr">
        <is>
          <t>SÖDERHAMN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72644-2021</t>
        </is>
      </c>
      <c r="B412" s="1" t="n">
        <v>44546.58009259259</v>
      </c>
      <c r="C412" s="1" t="n">
        <v>46119</v>
      </c>
      <c r="D412" t="inlineStr">
        <is>
          <t>GÄVLEBORGS LÄN</t>
        </is>
      </c>
      <c r="E412" t="inlineStr">
        <is>
          <t>SÖDERHAMN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300-2024</t>
        </is>
      </c>
      <c r="B413" s="1" t="n">
        <v>45295.47097222223</v>
      </c>
      <c r="C413" s="1" t="n">
        <v>46119</v>
      </c>
      <c r="D413" t="inlineStr">
        <is>
          <t>GÄVLEBORGS LÄN</t>
        </is>
      </c>
      <c r="E413" t="inlineStr">
        <is>
          <t>SÖDERHAMN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17517-2025</t>
        </is>
      </c>
      <c r="B414" s="1" t="n">
        <v>45757.57515046297</v>
      </c>
      <c r="C414" s="1" t="n">
        <v>46119</v>
      </c>
      <c r="D414" t="inlineStr">
        <is>
          <t>GÄVLEBORGS LÄN</t>
        </is>
      </c>
      <c r="E414" t="inlineStr">
        <is>
          <t>SÖDERHAMN</t>
        </is>
      </c>
      <c r="F414" t="inlineStr">
        <is>
          <t>Kommuner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207-2026</t>
        </is>
      </c>
      <c r="B415" s="1" t="n">
        <v>46026</v>
      </c>
      <c r="C415" s="1" t="n">
        <v>46119</v>
      </c>
      <c r="D415" t="inlineStr">
        <is>
          <t>GÄVLEBORGS LÄN</t>
        </is>
      </c>
      <c r="E415" t="inlineStr">
        <is>
          <t>SÖDERHAMN</t>
        </is>
      </c>
      <c r="G415" t="n">
        <v>9.5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201-2026</t>
        </is>
      </c>
      <c r="B416" s="1" t="n">
        <v>46026</v>
      </c>
      <c r="C416" s="1" t="n">
        <v>46119</v>
      </c>
      <c r="D416" t="inlineStr">
        <is>
          <t>GÄVLEBORGS LÄN</t>
        </is>
      </c>
      <c r="E416" t="inlineStr">
        <is>
          <t>SÖDERHAMN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66-2026</t>
        </is>
      </c>
      <c r="B417" s="1" t="n">
        <v>46024.45108796296</v>
      </c>
      <c r="C417" s="1" t="n">
        <v>46119</v>
      </c>
      <c r="D417" t="inlineStr">
        <is>
          <t>GÄVLEBORGS LÄN</t>
        </is>
      </c>
      <c r="E417" t="inlineStr">
        <is>
          <t>SÖDERHAMN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125-2026</t>
        </is>
      </c>
      <c r="B418" s="1" t="n">
        <v>46024</v>
      </c>
      <c r="C418" s="1" t="n">
        <v>46119</v>
      </c>
      <c r="D418" t="inlineStr">
        <is>
          <t>GÄVLEBORGS LÄN</t>
        </is>
      </c>
      <c r="E418" t="inlineStr">
        <is>
          <t>SÖDERHAMN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130-2026</t>
        </is>
      </c>
      <c r="B419" s="1" t="n">
        <v>46024</v>
      </c>
      <c r="C419" s="1" t="n">
        <v>46119</v>
      </c>
      <c r="D419" t="inlineStr">
        <is>
          <t>GÄVLEBORGS LÄN</t>
        </is>
      </c>
      <c r="E419" t="inlineStr">
        <is>
          <t>SÖDERHAMN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357-2026</t>
        </is>
      </c>
      <c r="B420" s="1" t="n">
        <v>46027.65784722222</v>
      </c>
      <c r="C420" s="1" t="n">
        <v>46119</v>
      </c>
      <c r="D420" t="inlineStr">
        <is>
          <t>GÄVLEBORGS LÄN</t>
        </is>
      </c>
      <c r="E420" t="inlineStr">
        <is>
          <t>SÖDERHAMN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372-2026</t>
        </is>
      </c>
      <c r="B421" s="1" t="n">
        <v>46027.69054398148</v>
      </c>
      <c r="C421" s="1" t="n">
        <v>46119</v>
      </c>
      <c r="D421" t="inlineStr">
        <is>
          <t>GÄVLEBORGS LÄN</t>
        </is>
      </c>
      <c r="E421" t="inlineStr">
        <is>
          <t>SÖDERHAMN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86-2026</t>
        </is>
      </c>
      <c r="B422" s="1" t="n">
        <v>46024.4765625</v>
      </c>
      <c r="C422" s="1" t="n">
        <v>46119</v>
      </c>
      <c r="D422" t="inlineStr">
        <is>
          <t>GÄVLEBORGS LÄN</t>
        </is>
      </c>
      <c r="E422" t="inlineStr">
        <is>
          <t>SÖDERHAMN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375-2026</t>
        </is>
      </c>
      <c r="B423" s="1" t="n">
        <v>46027.71767361111</v>
      </c>
      <c r="C423" s="1" t="n">
        <v>46119</v>
      </c>
      <c r="D423" t="inlineStr">
        <is>
          <t>GÄVLEBORGS LÄN</t>
        </is>
      </c>
      <c r="E423" t="inlineStr">
        <is>
          <t>SÖDERHAMN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200-2026</t>
        </is>
      </c>
      <c r="B424" s="1" t="n">
        <v>46026</v>
      </c>
      <c r="C424" s="1" t="n">
        <v>46119</v>
      </c>
      <c r="D424" t="inlineStr">
        <is>
          <t>GÄVLEBORGS LÄN</t>
        </is>
      </c>
      <c r="E424" t="inlineStr">
        <is>
          <t>SÖDERHAMN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202-2026</t>
        </is>
      </c>
      <c r="B425" s="1" t="n">
        <v>46026</v>
      </c>
      <c r="C425" s="1" t="n">
        <v>46119</v>
      </c>
      <c r="D425" t="inlineStr">
        <is>
          <t>GÄVLEBORGS LÄN</t>
        </is>
      </c>
      <c r="E425" t="inlineStr">
        <is>
          <t>SÖDERHAMN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49762-2024</t>
        </is>
      </c>
      <c r="B426" s="1" t="n">
        <v>45597.33159722222</v>
      </c>
      <c r="C426" s="1" t="n">
        <v>46119</v>
      </c>
      <c r="D426" t="inlineStr">
        <is>
          <t>GÄVLEBORGS LÄN</t>
        </is>
      </c>
      <c r="E426" t="inlineStr">
        <is>
          <t>SÖDERHAMN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58141-2024</t>
        </is>
      </c>
      <c r="B427" s="1" t="n">
        <v>45632.42275462963</v>
      </c>
      <c r="C427" s="1" t="n">
        <v>46119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429-2026</t>
        </is>
      </c>
      <c r="B428" s="1" t="n">
        <v>46029</v>
      </c>
      <c r="C428" s="1" t="n">
        <v>46119</v>
      </c>
      <c r="D428" t="inlineStr">
        <is>
          <t>GÄVLEBORGS LÄN</t>
        </is>
      </c>
      <c r="E428" t="inlineStr">
        <is>
          <t>SÖDERHAMN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437-2026</t>
        </is>
      </c>
      <c r="B429" s="1" t="n">
        <v>46029.34428240741</v>
      </c>
      <c r="C429" s="1" t="n">
        <v>46119</v>
      </c>
      <c r="D429" t="inlineStr">
        <is>
          <t>GÄVLEBORGS LÄN</t>
        </is>
      </c>
      <c r="E429" t="inlineStr">
        <is>
          <t>SÖDERHAMN</t>
        </is>
      </c>
      <c r="G429" t="n">
        <v>13.8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21283-2023</t>
        </is>
      </c>
      <c r="B430" s="1" t="n">
        <v>45062.64236111111</v>
      </c>
      <c r="C430" s="1" t="n">
        <v>46119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624-2026</t>
        </is>
      </c>
      <c r="B431" s="1" t="n">
        <v>46029</v>
      </c>
      <c r="C431" s="1" t="n">
        <v>46119</v>
      </c>
      <c r="D431" t="inlineStr">
        <is>
          <t>GÄVLEBORGS LÄN</t>
        </is>
      </c>
      <c r="E431" t="inlineStr">
        <is>
          <t>SÖDERHAMN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31927-2021</t>
        </is>
      </c>
      <c r="B432" s="1" t="n">
        <v>44370.49378472222</v>
      </c>
      <c r="C432" s="1" t="n">
        <v>46119</v>
      </c>
      <c r="D432" t="inlineStr">
        <is>
          <t>GÄVLEBORGS LÄN</t>
        </is>
      </c>
      <c r="E432" t="inlineStr">
        <is>
          <t>SÖDERHAMN</t>
        </is>
      </c>
      <c r="F432" t="inlineStr">
        <is>
          <t>Bergvik skog väst AB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31176-2023</t>
        </is>
      </c>
      <c r="B433" s="1" t="n">
        <v>45113.90611111111</v>
      </c>
      <c r="C433" s="1" t="n">
        <v>46119</v>
      </c>
      <c r="D433" t="inlineStr">
        <is>
          <t>GÄVLEBORGS LÄN</t>
        </is>
      </c>
      <c r="E433" t="inlineStr">
        <is>
          <t>SÖDERHAMN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1001-2026</t>
        </is>
      </c>
      <c r="B434" s="1" t="n">
        <v>46030.59501157407</v>
      </c>
      <c r="C434" s="1" t="n">
        <v>46119</v>
      </c>
      <c r="D434" t="inlineStr">
        <is>
          <t>GÄVLEBORGS LÄN</t>
        </is>
      </c>
      <c r="E434" t="inlineStr">
        <is>
          <t>SÖDERHAMN</t>
        </is>
      </c>
      <c r="G434" t="n">
        <v>9.1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967-2026</t>
        </is>
      </c>
      <c r="B435" s="1" t="n">
        <v>46030.56107638889</v>
      </c>
      <c r="C435" s="1" t="n">
        <v>46119</v>
      </c>
      <c r="D435" t="inlineStr">
        <is>
          <t>GÄVLEBORGS LÄN</t>
        </is>
      </c>
      <c r="E435" t="inlineStr">
        <is>
          <t>SÖDERHAMN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1010-2026</t>
        </is>
      </c>
      <c r="B436" s="1" t="n">
        <v>46030.60059027778</v>
      </c>
      <c r="C436" s="1" t="n">
        <v>46119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2755-2022</t>
        </is>
      </c>
      <c r="B437" s="1" t="n">
        <v>44580.92254629629</v>
      </c>
      <c r="C437" s="1" t="n">
        <v>46119</v>
      </c>
      <c r="D437" t="inlineStr">
        <is>
          <t>GÄVLEBORGS LÄN</t>
        </is>
      </c>
      <c r="E437" t="inlineStr">
        <is>
          <t>SÖDERHAMN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1404-2026</t>
        </is>
      </c>
      <c r="B438" s="1" t="n">
        <v>46031.64481481481</v>
      </c>
      <c r="C438" s="1" t="n">
        <v>46119</v>
      </c>
      <c r="D438" t="inlineStr">
        <is>
          <t>GÄVLEBORGS LÄN</t>
        </is>
      </c>
      <c r="E438" t="inlineStr">
        <is>
          <t>SÖDERHAMN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58810-2024</t>
        </is>
      </c>
      <c r="B439" s="1" t="n">
        <v>45636.34581018519</v>
      </c>
      <c r="C439" s="1" t="n">
        <v>46119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1399-2026</t>
        </is>
      </c>
      <c r="B440" s="1" t="n">
        <v>46031.64197916666</v>
      </c>
      <c r="C440" s="1" t="n">
        <v>46119</v>
      </c>
      <c r="D440" t="inlineStr">
        <is>
          <t>GÄVLEBORGS LÄN</t>
        </is>
      </c>
      <c r="E440" t="inlineStr">
        <is>
          <t>SÖDERHAMN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1405-2026</t>
        </is>
      </c>
      <c r="B441" s="1" t="n">
        <v>46031.64569444444</v>
      </c>
      <c r="C441" s="1" t="n">
        <v>46119</v>
      </c>
      <c r="D441" t="inlineStr">
        <is>
          <t>GÄVLEBORGS LÄN</t>
        </is>
      </c>
      <c r="E441" t="inlineStr">
        <is>
          <t>SÖDERHAMN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996-2026</t>
        </is>
      </c>
      <c r="B442" s="1" t="n">
        <v>46030.59027777778</v>
      </c>
      <c r="C442" s="1" t="n">
        <v>46119</v>
      </c>
      <c r="D442" t="inlineStr">
        <is>
          <t>GÄVLEBORGS LÄN</t>
        </is>
      </c>
      <c r="E442" t="inlineStr">
        <is>
          <t>SÖDERHAMN</t>
        </is>
      </c>
      <c r="G442" t="n">
        <v>8.699999999999999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7979-2025</t>
        </is>
      </c>
      <c r="B443" s="1" t="n">
        <v>45707</v>
      </c>
      <c r="C443" s="1" t="n">
        <v>46119</v>
      </c>
      <c r="D443" t="inlineStr">
        <is>
          <t>GÄVLEBORGS LÄN</t>
        </is>
      </c>
      <c r="E443" t="inlineStr">
        <is>
          <t>SÖDERHAMN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1512-2026</t>
        </is>
      </c>
      <c r="B444" s="1" t="n">
        <v>46034</v>
      </c>
      <c r="C444" s="1" t="n">
        <v>46119</v>
      </c>
      <c r="D444" t="inlineStr">
        <is>
          <t>GÄVLEBORGS LÄN</t>
        </is>
      </c>
      <c r="E444" t="inlineStr">
        <is>
          <t>SÖDERHAMN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19843-2024</t>
        </is>
      </c>
      <c r="B445" s="1" t="n">
        <v>45433.38668981481</v>
      </c>
      <c r="C445" s="1" t="n">
        <v>46119</v>
      </c>
      <c r="D445" t="inlineStr">
        <is>
          <t>GÄVLEBORGS LÄN</t>
        </is>
      </c>
      <c r="E445" t="inlineStr">
        <is>
          <t>SÖDERHAMN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48797-2024</t>
        </is>
      </c>
      <c r="B446" s="1" t="n">
        <v>45593.65616898148</v>
      </c>
      <c r="C446" s="1" t="n">
        <v>46119</v>
      </c>
      <c r="D446" t="inlineStr">
        <is>
          <t>GÄVLEBORGS LÄN</t>
        </is>
      </c>
      <c r="E446" t="inlineStr">
        <is>
          <t>SÖDERHAMN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1701-2026</t>
        </is>
      </c>
      <c r="B447" s="1" t="n">
        <v>46034.59444444445</v>
      </c>
      <c r="C447" s="1" t="n">
        <v>46119</v>
      </c>
      <c r="D447" t="inlineStr">
        <is>
          <t>GÄVLEBORGS LÄN</t>
        </is>
      </c>
      <c r="E447" t="inlineStr">
        <is>
          <t>SÖDERHAMN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53-2026</t>
        </is>
      </c>
      <c r="B448" s="1" t="n">
        <v>46024</v>
      </c>
      <c r="C448" s="1" t="n">
        <v>46119</v>
      </c>
      <c r="D448" t="inlineStr">
        <is>
          <t>GÄVLEBORGS LÄN</t>
        </is>
      </c>
      <c r="E448" t="inlineStr">
        <is>
          <t>SÖDERHAMN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1518-2026</t>
        </is>
      </c>
      <c r="B449" s="1" t="n">
        <v>46034</v>
      </c>
      <c r="C449" s="1" t="n">
        <v>46119</v>
      </c>
      <c r="D449" t="inlineStr">
        <is>
          <t>GÄVLEBORGS LÄN</t>
        </is>
      </c>
      <c r="E449" t="inlineStr">
        <is>
          <t>SÖDERHAMN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1980-2026</t>
        </is>
      </c>
      <c r="B450" s="1" t="n">
        <v>46035.65548611111</v>
      </c>
      <c r="C450" s="1" t="n">
        <v>46119</v>
      </c>
      <c r="D450" t="inlineStr">
        <is>
          <t>GÄVLEBORGS LÄN</t>
        </is>
      </c>
      <c r="E450" t="inlineStr">
        <is>
          <t>SÖDERHAMN</t>
        </is>
      </c>
      <c r="G450" t="n">
        <v>12.5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2001-2026</t>
        </is>
      </c>
      <c r="B451" s="1" t="n">
        <v>46035.68237268519</v>
      </c>
      <c r="C451" s="1" t="n">
        <v>46119</v>
      </c>
      <c r="D451" t="inlineStr">
        <is>
          <t>GÄVLEBORGS LÄN</t>
        </is>
      </c>
      <c r="E451" t="inlineStr">
        <is>
          <t>SÖDERHAMN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10137-2026</t>
        </is>
      </c>
      <c r="B452" s="1" t="n">
        <v>46076</v>
      </c>
      <c r="C452" s="1" t="n">
        <v>46119</v>
      </c>
      <c r="D452" t="inlineStr">
        <is>
          <t>GÄVLEBORGS LÄN</t>
        </is>
      </c>
      <c r="E452" t="inlineStr">
        <is>
          <t>SÖDERHAMN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10138-2026</t>
        </is>
      </c>
      <c r="B453" s="1" t="n">
        <v>46076</v>
      </c>
      <c r="C453" s="1" t="n">
        <v>46119</v>
      </c>
      <c r="D453" t="inlineStr">
        <is>
          <t>GÄVLEBORGS LÄN</t>
        </is>
      </c>
      <c r="E453" t="inlineStr">
        <is>
          <t>SÖDERHAMN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10483-2026</t>
        </is>
      </c>
      <c r="B454" s="1" t="n">
        <v>46077.51069444444</v>
      </c>
      <c r="C454" s="1" t="n">
        <v>46119</v>
      </c>
      <c r="D454" t="inlineStr">
        <is>
          <t>GÄVLEBORGS LÄN</t>
        </is>
      </c>
      <c r="E454" t="inlineStr">
        <is>
          <t>SÖDERHAMN</t>
        </is>
      </c>
      <c r="F454" t="inlineStr">
        <is>
          <t>Kyrkan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167-2026</t>
        </is>
      </c>
      <c r="B455" s="1" t="n">
        <v>46024</v>
      </c>
      <c r="C455" s="1" t="n">
        <v>46119</v>
      </c>
      <c r="D455" t="inlineStr">
        <is>
          <t>GÄVLEBORGS LÄN</t>
        </is>
      </c>
      <c r="E455" t="inlineStr">
        <is>
          <t>SÖDERHAMN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18466-2024</t>
        </is>
      </c>
      <c r="B456" s="1" t="n">
        <v>45425.49216435185</v>
      </c>
      <c r="C456" s="1" t="n">
        <v>46119</v>
      </c>
      <c r="D456" t="inlineStr">
        <is>
          <t>GÄVLEBORGS LÄN</t>
        </is>
      </c>
      <c r="E456" t="inlineStr">
        <is>
          <t>SÖDERHAMN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10167-2026</t>
        </is>
      </c>
      <c r="B457" s="1" t="n">
        <v>46076.41307870371</v>
      </c>
      <c r="C457" s="1" t="n">
        <v>46119</v>
      </c>
      <c r="D457" t="inlineStr">
        <is>
          <t>GÄVLEBORGS LÄN</t>
        </is>
      </c>
      <c r="E457" t="inlineStr">
        <is>
          <t>SÖDERHAMN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47794-2024</t>
        </is>
      </c>
      <c r="B458" s="1" t="n">
        <v>45588.59930555556</v>
      </c>
      <c r="C458" s="1" t="n">
        <v>46119</v>
      </c>
      <c r="D458" t="inlineStr">
        <is>
          <t>GÄVLEBORGS LÄN</t>
        </is>
      </c>
      <c r="E458" t="inlineStr">
        <is>
          <t>SÖDERHAMN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10406-2026</t>
        </is>
      </c>
      <c r="B459" s="1" t="n">
        <v>46077.34399305555</v>
      </c>
      <c r="C459" s="1" t="n">
        <v>46119</v>
      </c>
      <c r="D459" t="inlineStr">
        <is>
          <t>GÄVLEBORGS LÄN</t>
        </is>
      </c>
      <c r="E459" t="inlineStr">
        <is>
          <t>SÖDERHAMN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1537-2026</t>
        </is>
      </c>
      <c r="B460" s="1" t="n">
        <v>46034.38321759259</v>
      </c>
      <c r="C460" s="1" t="n">
        <v>46119</v>
      </c>
      <c r="D460" t="inlineStr">
        <is>
          <t>GÄVLEBORGS LÄN</t>
        </is>
      </c>
      <c r="E460" t="inlineStr">
        <is>
          <t>SÖDERHAMN</t>
        </is>
      </c>
      <c r="G460" t="n">
        <v>9.699999999999999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10594-2026</t>
        </is>
      </c>
      <c r="B461" s="1" t="n">
        <v>46077.70635416666</v>
      </c>
      <c r="C461" s="1" t="n">
        <v>46119</v>
      </c>
      <c r="D461" t="inlineStr">
        <is>
          <t>GÄVLEBORGS LÄN</t>
        </is>
      </c>
      <c r="E461" t="inlineStr">
        <is>
          <t>SÖDERHAMN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1990-2026</t>
        </is>
      </c>
      <c r="B462" s="1" t="n">
        <v>46035.6619212963</v>
      </c>
      <c r="C462" s="1" t="n">
        <v>46119</v>
      </c>
      <c r="D462" t="inlineStr">
        <is>
          <t>GÄVLEBORGS LÄN</t>
        </is>
      </c>
      <c r="E462" t="inlineStr">
        <is>
          <t>SÖDERHAMN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40811-2022</t>
        </is>
      </c>
      <c r="B463" s="1" t="n">
        <v>44824</v>
      </c>
      <c r="C463" s="1" t="n">
        <v>46119</v>
      </c>
      <c r="D463" t="inlineStr">
        <is>
          <t>GÄVLEBORGS LÄN</t>
        </is>
      </c>
      <c r="E463" t="inlineStr">
        <is>
          <t>SÖDERHAMN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168-2026</t>
        </is>
      </c>
      <c r="B464" s="1" t="n">
        <v>46024</v>
      </c>
      <c r="C464" s="1" t="n">
        <v>46119</v>
      </c>
      <c r="D464" t="inlineStr">
        <is>
          <t>GÄVLEBORGS LÄN</t>
        </is>
      </c>
      <c r="E464" t="inlineStr">
        <is>
          <t>SÖDERHAMN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1991-2026</t>
        </is>
      </c>
      <c r="B465" s="1" t="n">
        <v>46035.66672453703</v>
      </c>
      <c r="C465" s="1" t="n">
        <v>46119</v>
      </c>
      <c r="D465" t="inlineStr">
        <is>
          <t>GÄVLEBORGS LÄN</t>
        </is>
      </c>
      <c r="E465" t="inlineStr">
        <is>
          <t>SÖDERHAMN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102-2026</t>
        </is>
      </c>
      <c r="B466" s="1" t="n">
        <v>46024</v>
      </c>
      <c r="C466" s="1" t="n">
        <v>46119</v>
      </c>
      <c r="D466" t="inlineStr">
        <is>
          <t>GÄVLEBORGS LÄN</t>
        </is>
      </c>
      <c r="E466" t="inlineStr">
        <is>
          <t>SÖDERHAMN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10345-2026</t>
        </is>
      </c>
      <c r="B467" s="1" t="n">
        <v>46076.68724537037</v>
      </c>
      <c r="C467" s="1" t="n">
        <v>46119</v>
      </c>
      <c r="D467" t="inlineStr">
        <is>
          <t>GÄVLEBORGS LÄN</t>
        </is>
      </c>
      <c r="E467" t="inlineStr">
        <is>
          <t>SÖDERHAMN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10877-2026</t>
        </is>
      </c>
      <c r="B468" s="1" t="n">
        <v>46078.71739583334</v>
      </c>
      <c r="C468" s="1" t="n">
        <v>46119</v>
      </c>
      <c r="D468" t="inlineStr">
        <is>
          <t>GÄVLEBORGS LÄN</t>
        </is>
      </c>
      <c r="E468" t="inlineStr">
        <is>
          <t>SÖDERHAMN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2560-2026</t>
        </is>
      </c>
      <c r="B469" s="1" t="n">
        <v>46037</v>
      </c>
      <c r="C469" s="1" t="n">
        <v>46119</v>
      </c>
      <c r="D469" t="inlineStr">
        <is>
          <t>GÄVLEBORGS LÄN</t>
        </is>
      </c>
      <c r="E469" t="inlineStr">
        <is>
          <t>SÖDERHAMN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2622-2026</t>
        </is>
      </c>
      <c r="B470" s="1" t="n">
        <v>46037.59346064815</v>
      </c>
      <c r="C470" s="1" t="n">
        <v>46119</v>
      </c>
      <c r="D470" t="inlineStr">
        <is>
          <t>GÄVLEBORGS LÄN</t>
        </is>
      </c>
      <c r="E470" t="inlineStr">
        <is>
          <t>SÖDERHAMN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10690-2026</t>
        </is>
      </c>
      <c r="B471" s="1" t="n">
        <v>46078.42818287037</v>
      </c>
      <c r="C471" s="1" t="n">
        <v>46119</v>
      </c>
      <c r="D471" t="inlineStr">
        <is>
          <t>GÄVLEBORGS LÄN</t>
        </is>
      </c>
      <c r="E471" t="inlineStr">
        <is>
          <t>SÖDERHAMN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26693-2024</t>
        </is>
      </c>
      <c r="B472" s="1" t="n">
        <v>45470.3715162037</v>
      </c>
      <c r="C472" s="1" t="n">
        <v>46119</v>
      </c>
      <c r="D472" t="inlineStr">
        <is>
          <t>GÄVLEBORGS LÄN</t>
        </is>
      </c>
      <c r="E472" t="inlineStr">
        <is>
          <t>SÖDERHAMN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42549-2024</t>
        </is>
      </c>
      <c r="B473" s="1" t="n">
        <v>45565.60444444444</v>
      </c>
      <c r="C473" s="1" t="n">
        <v>46119</v>
      </c>
      <c r="D473" t="inlineStr">
        <is>
          <t>GÄVLEBORGS LÄN</t>
        </is>
      </c>
      <c r="E473" t="inlineStr">
        <is>
          <t>SÖDERHAMN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10139-2026</t>
        </is>
      </c>
      <c r="B474" s="1" t="n">
        <v>46076</v>
      </c>
      <c r="C474" s="1" t="n">
        <v>46119</v>
      </c>
      <c r="D474" t="inlineStr">
        <is>
          <t>GÄVLEBORGS LÄN</t>
        </is>
      </c>
      <c r="E474" t="inlineStr">
        <is>
          <t>SÖDERHAMN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42902-2024</t>
        </is>
      </c>
      <c r="B475" s="1" t="n">
        <v>45566.87280092593</v>
      </c>
      <c r="C475" s="1" t="n">
        <v>46119</v>
      </c>
      <c r="D475" t="inlineStr">
        <is>
          <t>GÄVLEBORGS LÄN</t>
        </is>
      </c>
      <c r="E475" t="inlineStr">
        <is>
          <t>SÖDERHAMN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10781-2026</t>
        </is>
      </c>
      <c r="B476" s="1" t="n">
        <v>46078.57745370371</v>
      </c>
      <c r="C476" s="1" t="n">
        <v>46119</v>
      </c>
      <c r="D476" t="inlineStr">
        <is>
          <t>GÄVLEBORGS LÄN</t>
        </is>
      </c>
      <c r="E476" t="inlineStr">
        <is>
          <t>SÖDERHAMN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10785-2026</t>
        </is>
      </c>
      <c r="B477" s="1" t="n">
        <v>46078.58021990741</v>
      </c>
      <c r="C477" s="1" t="n">
        <v>46119</v>
      </c>
      <c r="D477" t="inlineStr">
        <is>
          <t>GÄVLEBORGS LÄN</t>
        </is>
      </c>
      <c r="E477" t="inlineStr">
        <is>
          <t>SÖDERHAMN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2227-2026</t>
        </is>
      </c>
      <c r="B478" s="1" t="n">
        <v>46036.5197800926</v>
      </c>
      <c r="C478" s="1" t="n">
        <v>46119</v>
      </c>
      <c r="D478" t="inlineStr">
        <is>
          <t>GÄVLEBORGS LÄN</t>
        </is>
      </c>
      <c r="E478" t="inlineStr">
        <is>
          <t>SÖDERHAMN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10135-2026</t>
        </is>
      </c>
      <c r="B479" s="1" t="n">
        <v>46076</v>
      </c>
      <c r="C479" s="1" t="n">
        <v>46119</v>
      </c>
      <c r="D479" t="inlineStr">
        <is>
          <t>GÄVLEBORGS LÄN</t>
        </is>
      </c>
      <c r="E479" t="inlineStr">
        <is>
          <t>SÖDERHAMN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7972-2025</t>
        </is>
      </c>
      <c r="B480" s="1" t="n">
        <v>45707</v>
      </c>
      <c r="C480" s="1" t="n">
        <v>46119</v>
      </c>
      <c r="D480" t="inlineStr">
        <is>
          <t>GÄVLEBORGS LÄN</t>
        </is>
      </c>
      <c r="E480" t="inlineStr">
        <is>
          <t>SÖDERHAMN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57814-2022</t>
        </is>
      </c>
      <c r="B481" s="1" t="n">
        <v>44897.91680555556</v>
      </c>
      <c r="C481" s="1" t="n">
        <v>46119</v>
      </c>
      <c r="D481" t="inlineStr">
        <is>
          <t>GÄVLEBORGS LÄN</t>
        </is>
      </c>
      <c r="E481" t="inlineStr">
        <is>
          <t>SÖDERHAMN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2231-2026</t>
        </is>
      </c>
      <c r="B482" s="1" t="n">
        <v>46036.52355324074</v>
      </c>
      <c r="C482" s="1" t="n">
        <v>46119</v>
      </c>
      <c r="D482" t="inlineStr">
        <is>
          <t>GÄVLEBORGS LÄN</t>
        </is>
      </c>
      <c r="E482" t="inlineStr">
        <is>
          <t>SÖDERHAMN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2266-2026</t>
        </is>
      </c>
      <c r="B483" s="1" t="n">
        <v>46036.57084490741</v>
      </c>
      <c r="C483" s="1" t="n">
        <v>46119</v>
      </c>
      <c r="D483" t="inlineStr">
        <is>
          <t>GÄVLEBORGS LÄN</t>
        </is>
      </c>
      <c r="E483" t="inlineStr">
        <is>
          <t>SÖDERHAMN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2275-2026</t>
        </is>
      </c>
      <c r="B484" s="1" t="n">
        <v>46036.5737962963</v>
      </c>
      <c r="C484" s="1" t="n">
        <v>46119</v>
      </c>
      <c r="D484" t="inlineStr">
        <is>
          <t>GÄVLEBORGS LÄN</t>
        </is>
      </c>
      <c r="E484" t="inlineStr">
        <is>
          <t>SÖDERHAMN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51458-2022</t>
        </is>
      </c>
      <c r="B485" s="1" t="n">
        <v>44869.53126157408</v>
      </c>
      <c r="C485" s="1" t="n">
        <v>46119</v>
      </c>
      <c r="D485" t="inlineStr">
        <is>
          <t>GÄVLEBORGS LÄN</t>
        </is>
      </c>
      <c r="E485" t="inlineStr">
        <is>
          <t>SÖDERHAMN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2398-2026</t>
        </is>
      </c>
      <c r="B486" s="1" t="n">
        <v>46036</v>
      </c>
      <c r="C486" s="1" t="n">
        <v>46119</v>
      </c>
      <c r="D486" t="inlineStr">
        <is>
          <t>GÄVLEBORGS LÄN</t>
        </is>
      </c>
      <c r="E486" t="inlineStr">
        <is>
          <t>SÖDERHAMN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10876-2026</t>
        </is>
      </c>
      <c r="B487" s="1" t="n">
        <v>46078.71497685185</v>
      </c>
      <c r="C487" s="1" t="n">
        <v>46119</v>
      </c>
      <c r="D487" t="inlineStr">
        <is>
          <t>GÄVLEBORGS LÄN</t>
        </is>
      </c>
      <c r="E487" t="inlineStr">
        <is>
          <t>SÖDERHAMN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57500-2023</t>
        </is>
      </c>
      <c r="B488" s="1" t="n">
        <v>45246</v>
      </c>
      <c r="C488" s="1" t="n">
        <v>46119</v>
      </c>
      <c r="D488" t="inlineStr">
        <is>
          <t>GÄVLEBORGS LÄN</t>
        </is>
      </c>
      <c r="E488" t="inlineStr">
        <is>
          <t>SÖDERHAMN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2619-2026</t>
        </is>
      </c>
      <c r="B489" s="1" t="n">
        <v>46037.59047453704</v>
      </c>
      <c r="C489" s="1" t="n">
        <v>46119</v>
      </c>
      <c r="D489" t="inlineStr">
        <is>
          <t>GÄVLEBORGS LÄN</t>
        </is>
      </c>
      <c r="E489" t="inlineStr">
        <is>
          <t>SÖDERHAMN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10767-2026</t>
        </is>
      </c>
      <c r="B490" s="1" t="n">
        <v>46078.56730324074</v>
      </c>
      <c r="C490" s="1" t="n">
        <v>46119</v>
      </c>
      <c r="D490" t="inlineStr">
        <is>
          <t>GÄVLEBORGS LÄN</t>
        </is>
      </c>
      <c r="E490" t="inlineStr">
        <is>
          <t>SÖDERHAMN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2621-2026</t>
        </is>
      </c>
      <c r="B491" s="1" t="n">
        <v>46037.59212962963</v>
      </c>
      <c r="C491" s="1" t="n">
        <v>46119</v>
      </c>
      <c r="D491" t="inlineStr">
        <is>
          <t>GÄVLEBORGS LÄN</t>
        </is>
      </c>
      <c r="E491" t="inlineStr">
        <is>
          <t>SÖDERHAMN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11186-2026</t>
        </is>
      </c>
      <c r="B492" s="1" t="n">
        <v>46080.3987037037</v>
      </c>
      <c r="C492" s="1" t="n">
        <v>46119</v>
      </c>
      <c r="D492" t="inlineStr">
        <is>
          <t>GÄVLEBORGS LÄN</t>
        </is>
      </c>
      <c r="E492" t="inlineStr">
        <is>
          <t>SÖDERHAMN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11163-2026</t>
        </is>
      </c>
      <c r="B493" s="1" t="n">
        <v>46080.3455787037</v>
      </c>
      <c r="C493" s="1" t="n">
        <v>46119</v>
      </c>
      <c r="D493" t="inlineStr">
        <is>
          <t>GÄVLEBORGS LÄN</t>
        </is>
      </c>
      <c r="E493" t="inlineStr">
        <is>
          <t>SÖDERHAMN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3167-2026</t>
        </is>
      </c>
      <c r="B494" s="1" t="n">
        <v>46041</v>
      </c>
      <c r="C494" s="1" t="n">
        <v>46119</v>
      </c>
      <c r="D494" t="inlineStr">
        <is>
          <t>GÄVLEBORGS LÄN</t>
        </is>
      </c>
      <c r="E494" t="inlineStr">
        <is>
          <t>SÖDERHAMN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3309-2026</t>
        </is>
      </c>
      <c r="B495" s="1" t="n">
        <v>46041.66802083333</v>
      </c>
      <c r="C495" s="1" t="n">
        <v>46119</v>
      </c>
      <c r="D495" t="inlineStr">
        <is>
          <t>GÄVLEBORGS LÄN</t>
        </is>
      </c>
      <c r="E495" t="inlineStr">
        <is>
          <t>SÖDERHAMN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11147-2026</t>
        </is>
      </c>
      <c r="B496" s="1" t="n">
        <v>46080.2556712963</v>
      </c>
      <c r="C496" s="1" t="n">
        <v>46119</v>
      </c>
      <c r="D496" t="inlineStr">
        <is>
          <t>GÄVLEBORGS LÄN</t>
        </is>
      </c>
      <c r="E496" t="inlineStr">
        <is>
          <t>SÖDERHAMN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3118-2026</t>
        </is>
      </c>
      <c r="B497" s="1" t="n">
        <v>46041.3713425926</v>
      </c>
      <c r="C497" s="1" t="n">
        <v>46119</v>
      </c>
      <c r="D497" t="inlineStr">
        <is>
          <t>GÄVLEBORGS LÄN</t>
        </is>
      </c>
      <c r="E497" t="inlineStr">
        <is>
          <t>SÖDERHAMN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54135-2024</t>
        </is>
      </c>
      <c r="B498" s="1" t="n">
        <v>45616.5928125</v>
      </c>
      <c r="C498" s="1" t="n">
        <v>46119</v>
      </c>
      <c r="D498" t="inlineStr">
        <is>
          <t>GÄVLEBORGS LÄN</t>
        </is>
      </c>
      <c r="E498" t="inlineStr">
        <is>
          <t>SÖDERHAMN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11239-2026</t>
        </is>
      </c>
      <c r="B499" s="1" t="n">
        <v>46080.51871527778</v>
      </c>
      <c r="C499" s="1" t="n">
        <v>46119</v>
      </c>
      <c r="D499" t="inlineStr">
        <is>
          <t>GÄVLEBORGS LÄN</t>
        </is>
      </c>
      <c r="E499" t="inlineStr">
        <is>
          <t>SÖDERHAMN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3329-2026</t>
        </is>
      </c>
      <c r="B500" s="1" t="n">
        <v>46041</v>
      </c>
      <c r="C500" s="1" t="n">
        <v>46119</v>
      </c>
      <c r="D500" t="inlineStr">
        <is>
          <t>GÄVLEBORGS LÄN</t>
        </is>
      </c>
      <c r="E500" t="inlineStr">
        <is>
          <t>SÖDERHAMN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31935-2024</t>
        </is>
      </c>
      <c r="B501" s="1" t="n">
        <v>45510.41490740741</v>
      </c>
      <c r="C501" s="1" t="n">
        <v>46119</v>
      </c>
      <c r="D501" t="inlineStr">
        <is>
          <t>GÄVLEBORGS LÄN</t>
        </is>
      </c>
      <c r="E501" t="inlineStr">
        <is>
          <t>SÖDERHAMN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3840-2026</t>
        </is>
      </c>
      <c r="B502" s="1" t="n">
        <v>46043</v>
      </c>
      <c r="C502" s="1" t="n">
        <v>46119</v>
      </c>
      <c r="D502" t="inlineStr">
        <is>
          <t>GÄVLEBORGS LÄN</t>
        </is>
      </c>
      <c r="E502" t="inlineStr">
        <is>
          <t>SÖDERHAMN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51492-2023</t>
        </is>
      </c>
      <c r="B503" s="1" t="n">
        <v>45222.33164351852</v>
      </c>
      <c r="C503" s="1" t="n">
        <v>46119</v>
      </c>
      <c r="D503" t="inlineStr">
        <is>
          <t>GÄVLEBORGS LÄN</t>
        </is>
      </c>
      <c r="E503" t="inlineStr">
        <is>
          <t>SÖDERHAMN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11620-2026</t>
        </is>
      </c>
      <c r="B504" s="1" t="n">
        <v>46084.46612268518</v>
      </c>
      <c r="C504" s="1" t="n">
        <v>46119</v>
      </c>
      <c r="D504" t="inlineStr">
        <is>
          <t>GÄVLEBORGS LÄN</t>
        </is>
      </c>
      <c r="E504" t="inlineStr">
        <is>
          <t>SÖDERHAMN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3753-2026</t>
        </is>
      </c>
      <c r="B505" s="1" t="n">
        <v>46043.5499537037</v>
      </c>
      <c r="C505" s="1" t="n">
        <v>46119</v>
      </c>
      <c r="D505" t="inlineStr">
        <is>
          <t>GÄVLEBORGS LÄN</t>
        </is>
      </c>
      <c r="E505" t="inlineStr">
        <is>
          <t>SÖDERHAMN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3698-2026</t>
        </is>
      </c>
      <c r="B506" s="1" t="n">
        <v>46043.46753472222</v>
      </c>
      <c r="C506" s="1" t="n">
        <v>46119</v>
      </c>
      <c r="D506" t="inlineStr">
        <is>
          <t>GÄVLEBORGS LÄN</t>
        </is>
      </c>
      <c r="E506" t="inlineStr">
        <is>
          <t>SÖDERHAMN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3855-2026</t>
        </is>
      </c>
      <c r="B507" s="1" t="n">
        <v>46043.61354166667</v>
      </c>
      <c r="C507" s="1" t="n">
        <v>46119</v>
      </c>
      <c r="D507" t="inlineStr">
        <is>
          <t>GÄVLEBORGS LÄN</t>
        </is>
      </c>
      <c r="E507" t="inlineStr">
        <is>
          <t>SÖDERHAMN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3370-2026</t>
        </is>
      </c>
      <c r="B508" s="1" t="n">
        <v>46042</v>
      </c>
      <c r="C508" s="1" t="n">
        <v>46119</v>
      </c>
      <c r="D508" t="inlineStr">
        <is>
          <t>GÄVLEBORGS LÄN</t>
        </is>
      </c>
      <c r="E508" t="inlineStr">
        <is>
          <t>SÖDERHAMN</t>
        </is>
      </c>
      <c r="G508" t="n">
        <v>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4298-2024</t>
        </is>
      </c>
      <c r="B509" s="1" t="n">
        <v>45324.62356481481</v>
      </c>
      <c r="C509" s="1" t="n">
        <v>46119</v>
      </c>
      <c r="D509" t="inlineStr">
        <is>
          <t>GÄVLEBORGS LÄN</t>
        </is>
      </c>
      <c r="E509" t="inlineStr">
        <is>
          <t>SÖDERHAMN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3857-2026</t>
        </is>
      </c>
      <c r="B510" s="1" t="n">
        <v>46043.61600694444</v>
      </c>
      <c r="C510" s="1" t="n">
        <v>46119</v>
      </c>
      <c r="D510" t="inlineStr">
        <is>
          <t>GÄVLEBORGS LÄN</t>
        </is>
      </c>
      <c r="E510" t="inlineStr">
        <is>
          <t>SÖDERHAMN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11858-2026</t>
        </is>
      </c>
      <c r="B511" s="1" t="n">
        <v>46085.47041666666</v>
      </c>
      <c r="C511" s="1" t="n">
        <v>46119</v>
      </c>
      <c r="D511" t="inlineStr">
        <is>
          <t>GÄVLEBORGS LÄN</t>
        </is>
      </c>
      <c r="E511" t="inlineStr">
        <is>
          <t>SÖDERHAMN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10130-2026</t>
        </is>
      </c>
      <c r="B512" s="1" t="n">
        <v>46076</v>
      </c>
      <c r="C512" s="1" t="n">
        <v>46119</v>
      </c>
      <c r="D512" t="inlineStr">
        <is>
          <t>GÄVLEBORGS LÄN</t>
        </is>
      </c>
      <c r="E512" t="inlineStr">
        <is>
          <t>SÖDERHAMN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11793-2026</t>
        </is>
      </c>
      <c r="B513" s="1" t="n">
        <v>46085.31236111111</v>
      </c>
      <c r="C513" s="1" t="n">
        <v>46119</v>
      </c>
      <c r="D513" t="inlineStr">
        <is>
          <t>GÄVLEBORGS LÄN</t>
        </is>
      </c>
      <c r="E513" t="inlineStr">
        <is>
          <t>SÖDERHAMN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11794-2026</t>
        </is>
      </c>
      <c r="B514" s="1" t="n">
        <v>46085.3227662037</v>
      </c>
      <c r="C514" s="1" t="n">
        <v>46119</v>
      </c>
      <c r="D514" t="inlineStr">
        <is>
          <t>GÄVLEBORGS LÄN</t>
        </is>
      </c>
      <c r="E514" t="inlineStr">
        <is>
          <t>SÖDERHAMN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11795-2026</t>
        </is>
      </c>
      <c r="B515" s="1" t="n">
        <v>46085.32547453704</v>
      </c>
      <c r="C515" s="1" t="n">
        <v>46119</v>
      </c>
      <c r="D515" t="inlineStr">
        <is>
          <t>GÄVLEBORGS LÄN</t>
        </is>
      </c>
      <c r="E515" t="inlineStr">
        <is>
          <t>SÖDERHAMN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51292-2023</t>
        </is>
      </c>
      <c r="B516" s="1" t="n">
        <v>45219</v>
      </c>
      <c r="C516" s="1" t="n">
        <v>46119</v>
      </c>
      <c r="D516" t="inlineStr">
        <is>
          <t>GÄVLEBORGS LÄN</t>
        </is>
      </c>
      <c r="E516" t="inlineStr">
        <is>
          <t>SÖDERHAMN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3793-2026</t>
        </is>
      </c>
      <c r="B517" s="1" t="n">
        <v>46043</v>
      </c>
      <c r="C517" s="1" t="n">
        <v>46119</v>
      </c>
      <c r="D517" t="inlineStr">
        <is>
          <t>GÄVLEBORGS LÄN</t>
        </is>
      </c>
      <c r="E517" t="inlineStr">
        <is>
          <t>SÖDERHAMN</t>
        </is>
      </c>
      <c r="G517" t="n">
        <v>20.9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10366-2026</t>
        </is>
      </c>
      <c r="B518" s="1" t="n">
        <v>46076</v>
      </c>
      <c r="C518" s="1" t="n">
        <v>46119</v>
      </c>
      <c r="D518" t="inlineStr">
        <is>
          <t>GÄVLEBORGS LÄN</t>
        </is>
      </c>
      <c r="E518" t="inlineStr">
        <is>
          <t>SÖDERHAMN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3369-2026</t>
        </is>
      </c>
      <c r="B519" s="1" t="n">
        <v>46042</v>
      </c>
      <c r="C519" s="1" t="n">
        <v>46119</v>
      </c>
      <c r="D519" t="inlineStr">
        <is>
          <t>GÄVLEBORGS LÄN</t>
        </is>
      </c>
      <c r="E519" t="inlineStr">
        <is>
          <t>SÖDERHAMN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10511-2026</t>
        </is>
      </c>
      <c r="B520" s="1" t="n">
        <v>46077</v>
      </c>
      <c r="C520" s="1" t="n">
        <v>46119</v>
      </c>
      <c r="D520" t="inlineStr">
        <is>
          <t>GÄVLEBORGS LÄN</t>
        </is>
      </c>
      <c r="E520" t="inlineStr">
        <is>
          <t>SÖDERHAMN</t>
        </is>
      </c>
      <c r="F520" t="inlineStr">
        <is>
          <t>Kyrkan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12158-2026</t>
        </is>
      </c>
      <c r="B521" s="1" t="n">
        <v>46086.62700231482</v>
      </c>
      <c r="C521" s="1" t="n">
        <v>46119</v>
      </c>
      <c r="D521" t="inlineStr">
        <is>
          <t>GÄVLEBORGS LÄN</t>
        </is>
      </c>
      <c r="E521" t="inlineStr">
        <is>
          <t>SÖDERHAMN</t>
        </is>
      </c>
      <c r="F521" t="inlineStr">
        <is>
          <t>Kommuner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12240-2026</t>
        </is>
      </c>
      <c r="B522" s="1" t="n">
        <v>46087.41952546296</v>
      </c>
      <c r="C522" s="1" t="n">
        <v>46119</v>
      </c>
      <c r="D522" t="inlineStr">
        <is>
          <t>GÄVLEBORGS LÄN</t>
        </is>
      </c>
      <c r="E522" t="inlineStr">
        <is>
          <t>SÖDERHAMN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12270-2026</t>
        </is>
      </c>
      <c r="B523" s="1" t="n">
        <v>46087.5156712963</v>
      </c>
      <c r="C523" s="1" t="n">
        <v>46119</v>
      </c>
      <c r="D523" t="inlineStr">
        <is>
          <t>GÄVLEBORGS LÄN</t>
        </is>
      </c>
      <c r="E523" t="inlineStr">
        <is>
          <t>SÖDERHAMN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12204-2026</t>
        </is>
      </c>
      <c r="B524" s="1" t="n">
        <v>46087.27184027778</v>
      </c>
      <c r="C524" s="1" t="n">
        <v>46119</v>
      </c>
      <c r="D524" t="inlineStr">
        <is>
          <t>GÄVLEBORGS LÄN</t>
        </is>
      </c>
      <c r="E524" t="inlineStr">
        <is>
          <t>SÖDERHAMN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12274-2026</t>
        </is>
      </c>
      <c r="B525" s="1" t="n">
        <v>46087.52442129629</v>
      </c>
      <c r="C525" s="1" t="n">
        <v>46119</v>
      </c>
      <c r="D525" t="inlineStr">
        <is>
          <t>GÄVLEBORGS LÄN</t>
        </is>
      </c>
      <c r="E525" t="inlineStr">
        <is>
          <t>SÖDERHAMN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3985-2026</t>
        </is>
      </c>
      <c r="B526" s="1" t="n">
        <v>46044.37353009259</v>
      </c>
      <c r="C526" s="1" t="n">
        <v>46119</v>
      </c>
      <c r="D526" t="inlineStr">
        <is>
          <t>GÄVLEBORGS LÄN</t>
        </is>
      </c>
      <c r="E526" t="inlineStr">
        <is>
          <t>SÖDERHAMN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12276-2026</t>
        </is>
      </c>
      <c r="B527" s="1" t="n">
        <v>46087.52885416667</v>
      </c>
      <c r="C527" s="1" t="n">
        <v>46119</v>
      </c>
      <c r="D527" t="inlineStr">
        <is>
          <t>GÄVLEBORGS LÄN</t>
        </is>
      </c>
      <c r="E527" t="inlineStr">
        <is>
          <t>SÖDERHAMN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4356-2026</t>
        </is>
      </c>
      <c r="B528" s="1" t="n">
        <v>46045.53640046297</v>
      </c>
      <c r="C528" s="1" t="n">
        <v>46119</v>
      </c>
      <c r="D528" t="inlineStr">
        <is>
          <t>GÄVLEBORGS LÄN</t>
        </is>
      </c>
      <c r="E528" t="inlineStr">
        <is>
          <t>SÖDERHAMN</t>
        </is>
      </c>
      <c r="G528" t="n">
        <v>12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10831-2026</t>
        </is>
      </c>
      <c r="B529" s="1" t="n">
        <v>46078</v>
      </c>
      <c r="C529" s="1" t="n">
        <v>46119</v>
      </c>
      <c r="D529" t="inlineStr">
        <is>
          <t>GÄVLEBORGS LÄN</t>
        </is>
      </c>
      <c r="E529" t="inlineStr">
        <is>
          <t>SÖDERHAMN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3945-2026</t>
        </is>
      </c>
      <c r="B530" s="1" t="n">
        <v>46043.94076388889</v>
      </c>
      <c r="C530" s="1" t="n">
        <v>46119</v>
      </c>
      <c r="D530" t="inlineStr">
        <is>
          <t>GÄVLEBORGS LÄN</t>
        </is>
      </c>
      <c r="E530" t="inlineStr">
        <is>
          <t>SÖDERHAMN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4060-2026</t>
        </is>
      </c>
      <c r="B531" s="1" t="n">
        <v>46044.50009259259</v>
      </c>
      <c r="C531" s="1" t="n">
        <v>46119</v>
      </c>
      <c r="D531" t="inlineStr">
        <is>
          <t>GÄVLEBORGS LÄN</t>
        </is>
      </c>
      <c r="E531" t="inlineStr">
        <is>
          <t>SÖDERHAMN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4031-2026</t>
        </is>
      </c>
      <c r="B532" s="1" t="n">
        <v>46044.44237268518</v>
      </c>
      <c r="C532" s="1" t="n">
        <v>46119</v>
      </c>
      <c r="D532" t="inlineStr">
        <is>
          <t>GÄVLEBORGS LÄN</t>
        </is>
      </c>
      <c r="E532" t="inlineStr">
        <is>
          <t>SÖDERHAMN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12096-2026</t>
        </is>
      </c>
      <c r="B533" s="1" t="n">
        <v>46086.47903935185</v>
      </c>
      <c r="C533" s="1" t="n">
        <v>46119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10356-2026</t>
        </is>
      </c>
      <c r="B534" s="1" t="n">
        <v>46076</v>
      </c>
      <c r="C534" s="1" t="n">
        <v>46119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4353-2026</t>
        </is>
      </c>
      <c r="B535" s="1" t="n">
        <v>46045.53200231482</v>
      </c>
      <c r="C535" s="1" t="n">
        <v>46119</v>
      </c>
      <c r="D535" t="inlineStr">
        <is>
          <t>GÄVLEBORGS LÄN</t>
        </is>
      </c>
      <c r="E535" t="inlineStr">
        <is>
          <t>SÖDERHAMN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4377-2026</t>
        </is>
      </c>
      <c r="B536" s="1" t="n">
        <v>46045.55574074074</v>
      </c>
      <c r="C536" s="1" t="n">
        <v>46119</v>
      </c>
      <c r="D536" t="inlineStr">
        <is>
          <t>GÄVLEBORGS LÄN</t>
        </is>
      </c>
      <c r="E536" t="inlineStr">
        <is>
          <t>SÖDERHAMN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12055-2026</t>
        </is>
      </c>
      <c r="B537" s="1" t="n">
        <v>46086.36856481482</v>
      </c>
      <c r="C537" s="1" t="n">
        <v>46119</v>
      </c>
      <c r="D537" t="inlineStr">
        <is>
          <t>GÄVLEBORGS LÄN</t>
        </is>
      </c>
      <c r="E537" t="inlineStr">
        <is>
          <t>SÖDERHAMN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3955-2026</t>
        </is>
      </c>
      <c r="B538" s="1" t="n">
        <v>46044</v>
      </c>
      <c r="C538" s="1" t="n">
        <v>46119</v>
      </c>
      <c r="D538" t="inlineStr">
        <is>
          <t>GÄVLEBORGS LÄN</t>
        </is>
      </c>
      <c r="E538" t="inlineStr">
        <is>
          <t>SÖDERHAMN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3976-2026</t>
        </is>
      </c>
      <c r="B539" s="1" t="n">
        <v>46044</v>
      </c>
      <c r="C539" s="1" t="n">
        <v>46119</v>
      </c>
      <c r="D539" t="inlineStr">
        <is>
          <t>GÄVLEBORGS LÄN</t>
        </is>
      </c>
      <c r="E539" t="inlineStr">
        <is>
          <t>SÖDERHAMN</t>
        </is>
      </c>
      <c r="G539" t="n">
        <v>5.3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804-2026</t>
        </is>
      </c>
      <c r="B540" s="1" t="n">
        <v>46030</v>
      </c>
      <c r="C540" s="1" t="n">
        <v>46119</v>
      </c>
      <c r="D540" t="inlineStr">
        <is>
          <t>GÄVLEBORGS LÄN</t>
        </is>
      </c>
      <c r="E540" t="inlineStr">
        <is>
          <t>SÖDERHAMN</t>
        </is>
      </c>
      <c r="G540" t="n">
        <v>9.199999999999999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11912-2026</t>
        </is>
      </c>
      <c r="B541" s="1" t="n">
        <v>46085</v>
      </c>
      <c r="C541" s="1" t="n">
        <v>46119</v>
      </c>
      <c r="D541" t="inlineStr">
        <is>
          <t>GÄVLEBORGS LÄN</t>
        </is>
      </c>
      <c r="E541" t="inlineStr">
        <is>
          <t>SÖDERHAMN</t>
        </is>
      </c>
      <c r="G541" t="n">
        <v>10.3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12063-2026</t>
        </is>
      </c>
      <c r="B542" s="1" t="n">
        <v>46086.38886574074</v>
      </c>
      <c r="C542" s="1" t="n">
        <v>46119</v>
      </c>
      <c r="D542" t="inlineStr">
        <is>
          <t>GÄVLEBORGS LÄN</t>
        </is>
      </c>
      <c r="E542" t="inlineStr">
        <is>
          <t>SÖDERHAMN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3974-2026</t>
        </is>
      </c>
      <c r="B543" s="1" t="n">
        <v>46044</v>
      </c>
      <c r="C543" s="1" t="n">
        <v>46119</v>
      </c>
      <c r="D543" t="inlineStr">
        <is>
          <t>GÄVLEBORGS LÄN</t>
        </is>
      </c>
      <c r="E543" t="inlineStr">
        <is>
          <t>SÖDERHAMN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64144-2025</t>
        </is>
      </c>
      <c r="B544" s="1" t="n">
        <v>46022</v>
      </c>
      <c r="C544" s="1" t="n">
        <v>46119</v>
      </c>
      <c r="D544" t="inlineStr">
        <is>
          <t>GÄVLEBORGS LÄN</t>
        </is>
      </c>
      <c r="E544" t="inlineStr">
        <is>
          <t>SÖDERHAMN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11025-2026</t>
        </is>
      </c>
      <c r="B545" s="1" t="n">
        <v>46079</v>
      </c>
      <c r="C545" s="1" t="n">
        <v>46119</v>
      </c>
      <c r="D545" t="inlineStr">
        <is>
          <t>GÄVLEBORGS LÄN</t>
        </is>
      </c>
      <c r="E545" t="inlineStr">
        <is>
          <t>SÖDERHAMN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4903-2026</t>
        </is>
      </c>
      <c r="B546" s="1" t="n">
        <v>46048.69645833333</v>
      </c>
      <c r="C546" s="1" t="n">
        <v>46119</v>
      </c>
      <c r="D546" t="inlineStr">
        <is>
          <t>GÄVLEBORGS LÄN</t>
        </is>
      </c>
      <c r="E546" t="inlineStr">
        <is>
          <t>SÖDERHAMN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49948-2024</t>
        </is>
      </c>
      <c r="B547" s="1" t="n">
        <v>45597.6052662037</v>
      </c>
      <c r="C547" s="1" t="n">
        <v>46119</v>
      </c>
      <c r="D547" t="inlineStr">
        <is>
          <t>GÄVLEBORGS LÄN</t>
        </is>
      </c>
      <c r="E547" t="inlineStr">
        <is>
          <t>SÖDERHAMN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5119-2026</t>
        </is>
      </c>
      <c r="B548" s="1" t="n">
        <v>46049.57929398148</v>
      </c>
      <c r="C548" s="1" t="n">
        <v>46119</v>
      </c>
      <c r="D548" t="inlineStr">
        <is>
          <t>GÄVLEBORGS LÄN</t>
        </is>
      </c>
      <c r="E548" t="inlineStr">
        <is>
          <t>SÖDERHAMN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60698-2023</t>
        </is>
      </c>
      <c r="B549" s="1" t="n">
        <v>45260.5078587963</v>
      </c>
      <c r="C549" s="1" t="n">
        <v>46119</v>
      </c>
      <c r="D549" t="inlineStr">
        <is>
          <t>GÄVLEBORGS LÄN</t>
        </is>
      </c>
      <c r="E549" t="inlineStr">
        <is>
          <t>SÖDERHAMN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5105-2026</t>
        </is>
      </c>
      <c r="B550" s="1" t="n">
        <v>46049.57107638889</v>
      </c>
      <c r="C550" s="1" t="n">
        <v>46119</v>
      </c>
      <c r="D550" t="inlineStr">
        <is>
          <t>GÄVLEBORGS LÄN</t>
        </is>
      </c>
      <c r="E550" t="inlineStr">
        <is>
          <t>SÖDERHAMN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5123-2026</t>
        </is>
      </c>
      <c r="B551" s="1" t="n">
        <v>46049.5827662037</v>
      </c>
      <c r="C551" s="1" t="n">
        <v>46119</v>
      </c>
      <c r="D551" t="inlineStr">
        <is>
          <t>GÄVLEBORGS LÄN</t>
        </is>
      </c>
      <c r="E551" t="inlineStr">
        <is>
          <t>SÖDERHAMN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4700-2026</t>
        </is>
      </c>
      <c r="B552" s="1" t="n">
        <v>46048</v>
      </c>
      <c r="C552" s="1" t="n">
        <v>46119</v>
      </c>
      <c r="D552" t="inlineStr">
        <is>
          <t>GÄVLEBORGS LÄN</t>
        </is>
      </c>
      <c r="E552" t="inlineStr">
        <is>
          <t>SÖDERHAMN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26839-2024</t>
        </is>
      </c>
      <c r="B553" s="1" t="n">
        <v>45470.57621527778</v>
      </c>
      <c r="C553" s="1" t="n">
        <v>46119</v>
      </c>
      <c r="D553" t="inlineStr">
        <is>
          <t>GÄVLEBORGS LÄN</t>
        </is>
      </c>
      <c r="E553" t="inlineStr">
        <is>
          <t>SÖDERHAMN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30556-2024</t>
        </is>
      </c>
      <c r="B554" s="1" t="n">
        <v>45492</v>
      </c>
      <c r="C554" s="1" t="n">
        <v>46119</v>
      </c>
      <c r="D554" t="inlineStr">
        <is>
          <t>GÄVLEBORGS LÄN</t>
        </is>
      </c>
      <c r="E554" t="inlineStr">
        <is>
          <t>SÖDERHAMN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5077-2026</t>
        </is>
      </c>
      <c r="B555" s="1" t="n">
        <v>46048</v>
      </c>
      <c r="C555" s="1" t="n">
        <v>46119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5328-2026</t>
        </is>
      </c>
      <c r="B556" s="1" t="n">
        <v>46050.39603009259</v>
      </c>
      <c r="C556" s="1" t="n">
        <v>46119</v>
      </c>
      <c r="D556" t="inlineStr">
        <is>
          <t>GÄVLEBORGS LÄN</t>
        </is>
      </c>
      <c r="E556" t="inlineStr">
        <is>
          <t>SÖDERHAMN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13126-2026</t>
        </is>
      </c>
      <c r="B557" s="1" t="n">
        <v>46093.4640625</v>
      </c>
      <c r="C557" s="1" t="n">
        <v>46119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16731-2025</t>
        </is>
      </c>
      <c r="B558" s="1" t="n">
        <v>45754.53108796296</v>
      </c>
      <c r="C558" s="1" t="n">
        <v>46119</v>
      </c>
      <c r="D558" t="inlineStr">
        <is>
          <t>GÄVLEBORGS LÄN</t>
        </is>
      </c>
      <c r="E558" t="inlineStr">
        <is>
          <t>SÖDERHAMN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52518-2024</t>
        </is>
      </c>
      <c r="B559" s="1" t="n">
        <v>45609</v>
      </c>
      <c r="C559" s="1" t="n">
        <v>46119</v>
      </c>
      <c r="D559" t="inlineStr">
        <is>
          <t>GÄVLEBORGS LÄN</t>
        </is>
      </c>
      <c r="E559" t="inlineStr">
        <is>
          <t>SÖDERHAMN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5321-2026</t>
        </is>
      </c>
      <c r="B560" s="1" t="n">
        <v>46050.38663194444</v>
      </c>
      <c r="C560" s="1" t="n">
        <v>46119</v>
      </c>
      <c r="D560" t="inlineStr">
        <is>
          <t>GÄVLEBORGS LÄN</t>
        </is>
      </c>
      <c r="E560" t="inlineStr">
        <is>
          <t>SÖDERHAMN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254-2022</t>
        </is>
      </c>
      <c r="B561" s="1" t="n">
        <v>44564</v>
      </c>
      <c r="C561" s="1" t="n">
        <v>46119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13124-2026</t>
        </is>
      </c>
      <c r="B562" s="1" t="n">
        <v>46093.45974537037</v>
      </c>
      <c r="C562" s="1" t="n">
        <v>46119</v>
      </c>
      <c r="D562" t="inlineStr">
        <is>
          <t>GÄVLEBORGS LÄN</t>
        </is>
      </c>
      <c r="E562" t="inlineStr">
        <is>
          <t>SÖDERHAMN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13117-2026</t>
        </is>
      </c>
      <c r="B563" s="1" t="n">
        <v>46093.44844907407</v>
      </c>
      <c r="C563" s="1" t="n">
        <v>46119</v>
      </c>
      <c r="D563" t="inlineStr">
        <is>
          <t>GÄVLEBORGS LÄN</t>
        </is>
      </c>
      <c r="E563" t="inlineStr">
        <is>
          <t>SÖDERHAMN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6336-2026</t>
        </is>
      </c>
      <c r="B564" s="1" t="n">
        <v>46055.59658564815</v>
      </c>
      <c r="C564" s="1" t="n">
        <v>46119</v>
      </c>
      <c r="D564" t="inlineStr">
        <is>
          <t>GÄVLEBORGS LÄN</t>
        </is>
      </c>
      <c r="E564" t="inlineStr">
        <is>
          <t>SÖDERHAMN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13289-2026</t>
        </is>
      </c>
      <c r="B565" s="1" t="n">
        <v>46094.27991898148</v>
      </c>
      <c r="C565" s="1" t="n">
        <v>46119</v>
      </c>
      <c r="D565" t="inlineStr">
        <is>
          <t>GÄVLEBORGS LÄN</t>
        </is>
      </c>
      <c r="E565" t="inlineStr">
        <is>
          <t>SÖDERHAMN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6403-2026</t>
        </is>
      </c>
      <c r="B566" s="1" t="n">
        <v>46055.65849537037</v>
      </c>
      <c r="C566" s="1" t="n">
        <v>46119</v>
      </c>
      <c r="D566" t="inlineStr">
        <is>
          <t>GÄVLEBORGS LÄN</t>
        </is>
      </c>
      <c r="E566" t="inlineStr">
        <is>
          <t>SÖDERHAMN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2724-2025</t>
        </is>
      </c>
      <c r="B567" s="1" t="n">
        <v>45677.43975694444</v>
      </c>
      <c r="C567" s="1" t="n">
        <v>46119</v>
      </c>
      <c r="D567" t="inlineStr">
        <is>
          <t>GÄVLEBORGS LÄN</t>
        </is>
      </c>
      <c r="E567" t="inlineStr">
        <is>
          <t>SÖDERHAMN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56500-2023</t>
        </is>
      </c>
      <c r="B568" s="1" t="n">
        <v>45243</v>
      </c>
      <c r="C568" s="1" t="n">
        <v>46119</v>
      </c>
      <c r="D568" t="inlineStr">
        <is>
          <t>GÄVLEBORGS LÄN</t>
        </is>
      </c>
      <c r="E568" t="inlineStr">
        <is>
          <t>SÖDERHAMN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11823-2026</t>
        </is>
      </c>
      <c r="B569" s="1" t="n">
        <v>46085</v>
      </c>
      <c r="C569" s="1" t="n">
        <v>46119</v>
      </c>
      <c r="D569" t="inlineStr">
        <is>
          <t>GÄVLEBORGS LÄN</t>
        </is>
      </c>
      <c r="E569" t="inlineStr">
        <is>
          <t>SÖDERHAMN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13288-2026</t>
        </is>
      </c>
      <c r="B570" s="1" t="n">
        <v>46094.26336805556</v>
      </c>
      <c r="C570" s="1" t="n">
        <v>46119</v>
      </c>
      <c r="D570" t="inlineStr">
        <is>
          <t>GÄVLEBORGS LÄN</t>
        </is>
      </c>
      <c r="E570" t="inlineStr">
        <is>
          <t>SÖDERHAMN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5954-2026</t>
        </is>
      </c>
      <c r="B571" s="1" t="n">
        <v>46052.49340277778</v>
      </c>
      <c r="C571" s="1" t="n">
        <v>46119</v>
      </c>
      <c r="D571" t="inlineStr">
        <is>
          <t>GÄVLEBORGS LÄN</t>
        </is>
      </c>
      <c r="E571" t="inlineStr">
        <is>
          <t>SÖDERHAMN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24161-2021</t>
        </is>
      </c>
      <c r="B572" s="1" t="n">
        <v>44336.60329861111</v>
      </c>
      <c r="C572" s="1" t="n">
        <v>46119</v>
      </c>
      <c r="D572" t="inlineStr">
        <is>
          <t>GÄVLEBORGS LÄN</t>
        </is>
      </c>
      <c r="E572" t="inlineStr">
        <is>
          <t>SÖDERHAMN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13394-2026</t>
        </is>
      </c>
      <c r="B573" s="1" t="n">
        <v>46094.44193287037</v>
      </c>
      <c r="C573" s="1" t="n">
        <v>46119</v>
      </c>
      <c r="D573" t="inlineStr">
        <is>
          <t>GÄVLEBORGS LÄN</t>
        </is>
      </c>
      <c r="E573" t="inlineStr">
        <is>
          <t>SÖDERHAMN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6230-2026</t>
        </is>
      </c>
      <c r="B574" s="1" t="n">
        <v>46055</v>
      </c>
      <c r="C574" s="1" t="n">
        <v>46119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13287-2026</t>
        </is>
      </c>
      <c r="B575" s="1" t="n">
        <v>46093.87535879629</v>
      </c>
      <c r="C575" s="1" t="n">
        <v>46119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6232-2026</t>
        </is>
      </c>
      <c r="B576" s="1" t="n">
        <v>46055</v>
      </c>
      <c r="C576" s="1" t="n">
        <v>46119</v>
      </c>
      <c r="D576" t="inlineStr">
        <is>
          <t>GÄVLEBORGS LÄN</t>
        </is>
      </c>
      <c r="E576" t="inlineStr">
        <is>
          <t>SÖDERHAMN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13599-2026</t>
        </is>
      </c>
      <c r="B577" s="1" t="n">
        <v>46097.2775</v>
      </c>
      <c r="C577" s="1" t="n">
        <v>46119</v>
      </c>
      <c r="D577" t="inlineStr">
        <is>
          <t>GÄVLEBORGS LÄN</t>
        </is>
      </c>
      <c r="E577" t="inlineStr">
        <is>
          <t>SÖDERHAMN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13398-2026</t>
        </is>
      </c>
      <c r="B578" s="1" t="n">
        <v>46094.44508101852</v>
      </c>
      <c r="C578" s="1" t="n">
        <v>46119</v>
      </c>
      <c r="D578" t="inlineStr">
        <is>
          <t>GÄVLEBORGS LÄN</t>
        </is>
      </c>
      <c r="E578" t="inlineStr">
        <is>
          <t>SÖDERHAMN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6267-2026</t>
        </is>
      </c>
      <c r="B579" s="1" t="n">
        <v>46055</v>
      </c>
      <c r="C579" s="1" t="n">
        <v>46119</v>
      </c>
      <c r="D579" t="inlineStr">
        <is>
          <t>GÄVLEBORGS LÄN</t>
        </is>
      </c>
      <c r="E579" t="inlineStr">
        <is>
          <t>SÖDERHAMN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6268-2026</t>
        </is>
      </c>
      <c r="B580" s="1" t="n">
        <v>46055</v>
      </c>
      <c r="C580" s="1" t="n">
        <v>46119</v>
      </c>
      <c r="D580" t="inlineStr">
        <is>
          <t>GÄVLEBORGS LÄN</t>
        </is>
      </c>
      <c r="E580" t="inlineStr">
        <is>
          <t>SÖDERHAMN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6228-2026</t>
        </is>
      </c>
      <c r="B581" s="1" t="n">
        <v>46055</v>
      </c>
      <c r="C581" s="1" t="n">
        <v>46119</v>
      </c>
      <c r="D581" t="inlineStr">
        <is>
          <t>GÄVLEBORGS LÄN</t>
        </is>
      </c>
      <c r="E581" t="inlineStr">
        <is>
          <t>SÖDERHAMN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5946-2026</t>
        </is>
      </c>
      <c r="B582" s="1" t="n">
        <v>46052.48829861111</v>
      </c>
      <c r="C582" s="1" t="n">
        <v>46119</v>
      </c>
      <c r="D582" t="inlineStr">
        <is>
          <t>GÄVLEBORGS LÄN</t>
        </is>
      </c>
      <c r="E582" t="inlineStr">
        <is>
          <t>SÖDERHAMN</t>
        </is>
      </c>
      <c r="G582" t="n">
        <v>8.800000000000001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6095-2026</t>
        </is>
      </c>
      <c r="B583" s="1" t="n">
        <v>46052.7244212963</v>
      </c>
      <c r="C583" s="1" t="n">
        <v>46119</v>
      </c>
      <c r="D583" t="inlineStr">
        <is>
          <t>GÄVLEBORGS LÄN</t>
        </is>
      </c>
      <c r="E583" t="inlineStr">
        <is>
          <t>SÖDERHAMN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12358-2026</t>
        </is>
      </c>
      <c r="B584" s="1" t="n">
        <v>46088</v>
      </c>
      <c r="C584" s="1" t="n">
        <v>46119</v>
      </c>
      <c r="D584" t="inlineStr">
        <is>
          <t>GÄVLEBORGS LÄN</t>
        </is>
      </c>
      <c r="E584" t="inlineStr">
        <is>
          <t>SÖDERHAMN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14200-2026</t>
        </is>
      </c>
      <c r="B585" s="1" t="n">
        <v>46099.54800925926</v>
      </c>
      <c r="C585" s="1" t="n">
        <v>46119</v>
      </c>
      <c r="D585" t="inlineStr">
        <is>
          <t>GÄVLEBORGS LÄN</t>
        </is>
      </c>
      <c r="E585" t="inlineStr">
        <is>
          <t>SÖDERHAMN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18195-2023</t>
        </is>
      </c>
      <c r="B586" s="1" t="n">
        <v>45041.3624537037</v>
      </c>
      <c r="C586" s="1" t="n">
        <v>46119</v>
      </c>
      <c r="D586" t="inlineStr">
        <is>
          <t>GÄVLEBORGS LÄN</t>
        </is>
      </c>
      <c r="E586" t="inlineStr">
        <is>
          <t>SÖDERHAMN</t>
        </is>
      </c>
      <c r="F586" t="inlineStr">
        <is>
          <t>Bergvik skog väst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10817-2026</t>
        </is>
      </c>
      <c r="B587" s="1" t="n">
        <v>46078</v>
      </c>
      <c r="C587" s="1" t="n">
        <v>46119</v>
      </c>
      <c r="D587" t="inlineStr">
        <is>
          <t>GÄVLEBORGS LÄN</t>
        </is>
      </c>
      <c r="E587" t="inlineStr">
        <is>
          <t>SÖDERHAMN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62206-2023</t>
        </is>
      </c>
      <c r="B588" s="1" t="n">
        <v>45267.48489583333</v>
      </c>
      <c r="C588" s="1" t="n">
        <v>46119</v>
      </c>
      <c r="D588" t="inlineStr">
        <is>
          <t>GÄVLEBORGS LÄN</t>
        </is>
      </c>
      <c r="E588" t="inlineStr">
        <is>
          <t>SÖDERHAMN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6939-2026</t>
        </is>
      </c>
      <c r="B589" s="1" t="n">
        <v>46057.56375</v>
      </c>
      <c r="C589" s="1" t="n">
        <v>46119</v>
      </c>
      <c r="D589" t="inlineStr">
        <is>
          <t>GÄVLEBORGS LÄN</t>
        </is>
      </c>
      <c r="E589" t="inlineStr">
        <is>
          <t>SÖDERHAMN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6713-2026</t>
        </is>
      </c>
      <c r="B590" s="1" t="n">
        <v>46056</v>
      </c>
      <c r="C590" s="1" t="n">
        <v>46119</v>
      </c>
      <c r="D590" t="inlineStr">
        <is>
          <t>GÄVLEBORGS LÄN</t>
        </is>
      </c>
      <c r="E590" t="inlineStr">
        <is>
          <t>SÖDERHAMN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7012-2026</t>
        </is>
      </c>
      <c r="B591" s="1" t="n">
        <v>46057</v>
      </c>
      <c r="C591" s="1" t="n">
        <v>46119</v>
      </c>
      <c r="D591" t="inlineStr">
        <is>
          <t>GÄVLEBORGS LÄN</t>
        </is>
      </c>
      <c r="E591" t="inlineStr">
        <is>
          <t>SÖDERHAMN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13974-2026</t>
        </is>
      </c>
      <c r="B592" s="1" t="n">
        <v>46098.58383101852</v>
      </c>
      <c r="C592" s="1" t="n">
        <v>46119</v>
      </c>
      <c r="D592" t="inlineStr">
        <is>
          <t>GÄVLEBORGS LÄN</t>
        </is>
      </c>
      <c r="E592" t="inlineStr">
        <is>
          <t>SÖDERHAMN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14061-2026</t>
        </is>
      </c>
      <c r="B593" s="1" t="n">
        <v>46099.33041666666</v>
      </c>
      <c r="C593" s="1" t="n">
        <v>46119</v>
      </c>
      <c r="D593" t="inlineStr">
        <is>
          <t>GÄVLEBORGS LÄN</t>
        </is>
      </c>
      <c r="E593" t="inlineStr">
        <is>
          <t>SÖDERHAMN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12227-2026</t>
        </is>
      </c>
      <c r="B594" s="1" t="n">
        <v>46087</v>
      </c>
      <c r="C594" s="1" t="n">
        <v>46119</v>
      </c>
      <c r="D594" t="inlineStr">
        <is>
          <t>GÄVLEBORGS LÄN</t>
        </is>
      </c>
      <c r="E594" t="inlineStr">
        <is>
          <t>SÖDERHAMN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7011-2026</t>
        </is>
      </c>
      <c r="B595" s="1" t="n">
        <v>46057</v>
      </c>
      <c r="C595" s="1" t="n">
        <v>46119</v>
      </c>
      <c r="D595" t="inlineStr">
        <is>
          <t>GÄVLEBORGS LÄN</t>
        </is>
      </c>
      <c r="E595" t="inlineStr">
        <is>
          <t>SÖDERHAMN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13968-2026</t>
        </is>
      </c>
      <c r="B596" s="1" t="n">
        <v>46098.5756712963</v>
      </c>
      <c r="C596" s="1" t="n">
        <v>46119</v>
      </c>
      <c r="D596" t="inlineStr">
        <is>
          <t>GÄVLEBORGS LÄN</t>
        </is>
      </c>
      <c r="E596" t="inlineStr">
        <is>
          <t>SÖDERHAMN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7017-2026</t>
        </is>
      </c>
      <c r="B597" s="1" t="n">
        <v>46057</v>
      </c>
      <c r="C597" s="1" t="n">
        <v>46119</v>
      </c>
      <c r="D597" t="inlineStr">
        <is>
          <t>GÄVLEBORGS LÄN</t>
        </is>
      </c>
      <c r="E597" t="inlineStr">
        <is>
          <t>SÖDERHAMN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49954-2024</t>
        </is>
      </c>
      <c r="B598" s="1" t="n">
        <v>45597.61638888889</v>
      </c>
      <c r="C598" s="1" t="n">
        <v>46119</v>
      </c>
      <c r="D598" t="inlineStr">
        <is>
          <t>GÄVLEBORGS LÄN</t>
        </is>
      </c>
      <c r="E598" t="inlineStr">
        <is>
          <t>SÖDERHAMN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49961-2024</t>
        </is>
      </c>
      <c r="B599" s="1" t="n">
        <v>45597.62934027778</v>
      </c>
      <c r="C599" s="1" t="n">
        <v>46119</v>
      </c>
      <c r="D599" t="inlineStr">
        <is>
          <t>GÄVLEBORGS LÄN</t>
        </is>
      </c>
      <c r="E599" t="inlineStr">
        <is>
          <t>SÖDERHAMN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14073-2026</t>
        </is>
      </c>
      <c r="B600" s="1" t="n">
        <v>46099.35715277777</v>
      </c>
      <c r="C600" s="1" t="n">
        <v>46119</v>
      </c>
      <c r="D600" t="inlineStr">
        <is>
          <t>GÄVLEBORGS LÄN</t>
        </is>
      </c>
      <c r="E600" t="inlineStr">
        <is>
          <t>SÖDERHAMN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3979-2026</t>
        </is>
      </c>
      <c r="B601" s="1" t="n">
        <v>46044</v>
      </c>
      <c r="C601" s="1" t="n">
        <v>46119</v>
      </c>
      <c r="D601" t="inlineStr">
        <is>
          <t>GÄVLEBORGS LÄN</t>
        </is>
      </c>
      <c r="E601" t="inlineStr">
        <is>
          <t>SÖDERHAMN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50066-2023</t>
        </is>
      </c>
      <c r="B602" s="1" t="n">
        <v>45215</v>
      </c>
      <c r="C602" s="1" t="n">
        <v>46119</v>
      </c>
      <c r="D602" t="inlineStr">
        <is>
          <t>GÄVLEBORGS LÄN</t>
        </is>
      </c>
      <c r="E602" t="inlineStr">
        <is>
          <t>SÖDERHAMN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6867-2026</t>
        </is>
      </c>
      <c r="B603" s="1" t="n">
        <v>46057</v>
      </c>
      <c r="C603" s="1" t="n">
        <v>46119</v>
      </c>
      <c r="D603" t="inlineStr">
        <is>
          <t>GÄVLEBORGS LÄN</t>
        </is>
      </c>
      <c r="E603" t="inlineStr">
        <is>
          <t>SÖDERHAMN</t>
        </is>
      </c>
      <c r="F603" t="inlineStr">
        <is>
          <t>Bergvik skog väst AB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1528-2026</t>
        </is>
      </c>
      <c r="B604" s="1" t="n">
        <v>46034</v>
      </c>
      <c r="C604" s="1" t="n">
        <v>46119</v>
      </c>
      <c r="D604" t="inlineStr">
        <is>
          <t>GÄVLEBORGS LÄN</t>
        </is>
      </c>
      <c r="E604" t="inlineStr">
        <is>
          <t>SÖDERHAMN</t>
        </is>
      </c>
      <c r="G604" t="n">
        <v>12.8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12465-2026</t>
        </is>
      </c>
      <c r="B605" s="1" t="n">
        <v>46090</v>
      </c>
      <c r="C605" s="1" t="n">
        <v>46119</v>
      </c>
      <c r="D605" t="inlineStr">
        <is>
          <t>GÄVLEBORGS LÄN</t>
        </is>
      </c>
      <c r="E605" t="inlineStr">
        <is>
          <t>SÖDERHAMN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6592-2026</t>
        </is>
      </c>
      <c r="B606" s="1" t="n">
        <v>46056</v>
      </c>
      <c r="C606" s="1" t="n">
        <v>46119</v>
      </c>
      <c r="D606" t="inlineStr">
        <is>
          <t>GÄVLEBORGS LÄN</t>
        </is>
      </c>
      <c r="E606" t="inlineStr">
        <is>
          <t>SÖDERHAMN</t>
        </is>
      </c>
      <c r="F606" t="inlineStr">
        <is>
          <t>Bergvik skog väst AB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13965-2026</t>
        </is>
      </c>
      <c r="B607" s="1" t="n">
        <v>46098.57376157407</v>
      </c>
      <c r="C607" s="1" t="n">
        <v>46119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6871-2026</t>
        </is>
      </c>
      <c r="B608" s="1" t="n">
        <v>46057.45179398148</v>
      </c>
      <c r="C608" s="1" t="n">
        <v>46119</v>
      </c>
      <c r="D608" t="inlineStr">
        <is>
          <t>GÄVLEBORGS LÄN</t>
        </is>
      </c>
      <c r="E608" t="inlineStr">
        <is>
          <t>SÖDERHAMN</t>
        </is>
      </c>
      <c r="G608" t="n">
        <v>12.8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7018-2026</t>
        </is>
      </c>
      <c r="B609" s="1" t="n">
        <v>46057</v>
      </c>
      <c r="C609" s="1" t="n">
        <v>46119</v>
      </c>
      <c r="D609" t="inlineStr">
        <is>
          <t>GÄVLEBORGS LÄN</t>
        </is>
      </c>
      <c r="E609" t="inlineStr">
        <is>
          <t>SÖDERHAMN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14195-2026</t>
        </is>
      </c>
      <c r="B610" s="1" t="n">
        <v>46099.54126157407</v>
      </c>
      <c r="C610" s="1" t="n">
        <v>46119</v>
      </c>
      <c r="D610" t="inlineStr">
        <is>
          <t>GÄVLEBORGS LÄN</t>
        </is>
      </c>
      <c r="E610" t="inlineStr">
        <is>
          <t>SÖDERHAMN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14194-2026</t>
        </is>
      </c>
      <c r="B611" s="1" t="n">
        <v>46099.53837962963</v>
      </c>
      <c r="C611" s="1" t="n">
        <v>46119</v>
      </c>
      <c r="D611" t="inlineStr">
        <is>
          <t>GÄVLEBORGS LÄN</t>
        </is>
      </c>
      <c r="E611" t="inlineStr">
        <is>
          <t>SÖDERHAMN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12464-2026</t>
        </is>
      </c>
      <c r="B612" s="1" t="n">
        <v>46090</v>
      </c>
      <c r="C612" s="1" t="n">
        <v>46119</v>
      </c>
      <c r="D612" t="inlineStr">
        <is>
          <t>GÄVLEBORGS LÄN</t>
        </is>
      </c>
      <c r="E612" t="inlineStr">
        <is>
          <t>SÖDERHAMN</t>
        </is>
      </c>
      <c r="G612" t="n">
        <v>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7114-2026</t>
        </is>
      </c>
      <c r="B613" s="1" t="n">
        <v>46058.37604166667</v>
      </c>
      <c r="C613" s="1" t="n">
        <v>46119</v>
      </c>
      <c r="D613" t="inlineStr">
        <is>
          <t>GÄVLEBORGS LÄN</t>
        </is>
      </c>
      <c r="E613" t="inlineStr">
        <is>
          <t>SÖDERHAMN</t>
        </is>
      </c>
      <c r="F613" t="inlineStr">
        <is>
          <t>Övriga statliga verk och myndigheter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14689-2026</t>
        </is>
      </c>
      <c r="B614" s="1" t="n">
        <v>46101.49800925926</v>
      </c>
      <c r="C614" s="1" t="n">
        <v>46119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46007-2024</t>
        </is>
      </c>
      <c r="B615" s="1" t="n">
        <v>45580</v>
      </c>
      <c r="C615" s="1" t="n">
        <v>46119</v>
      </c>
      <c r="D615" t="inlineStr">
        <is>
          <t>GÄVLEBORGS LÄN</t>
        </is>
      </c>
      <c r="E615" t="inlineStr">
        <is>
          <t>SÖDERHAMN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13274-2026</t>
        </is>
      </c>
      <c r="B616" s="1" t="n">
        <v>46093</v>
      </c>
      <c r="C616" s="1" t="n">
        <v>46119</v>
      </c>
      <c r="D616" t="inlineStr">
        <is>
          <t>GÄVLEBORGS LÄN</t>
        </is>
      </c>
      <c r="E616" t="inlineStr">
        <is>
          <t>SÖDERHAMN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7111-2026</t>
        </is>
      </c>
      <c r="B617" s="1" t="n">
        <v>46058.37325231481</v>
      </c>
      <c r="C617" s="1" t="n">
        <v>46119</v>
      </c>
      <c r="D617" t="inlineStr">
        <is>
          <t>GÄVLEBORGS LÄN</t>
        </is>
      </c>
      <c r="E617" t="inlineStr">
        <is>
          <t>SÖDERHAMN</t>
        </is>
      </c>
      <c r="F617" t="inlineStr">
        <is>
          <t>Övriga statliga verk och myndigheter</t>
        </is>
      </c>
      <c r="G617" t="n">
        <v>11.3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166-2026</t>
        </is>
      </c>
      <c r="B618" s="1" t="n">
        <v>46024</v>
      </c>
      <c r="C618" s="1" t="n">
        <v>46119</v>
      </c>
      <c r="D618" t="inlineStr">
        <is>
          <t>GÄVLEBORGS LÄN</t>
        </is>
      </c>
      <c r="E618" t="inlineStr">
        <is>
          <t>SÖDERHAMN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11046-2026</t>
        </is>
      </c>
      <c r="B619" s="1" t="n">
        <v>46079</v>
      </c>
      <c r="C619" s="1" t="n">
        <v>46119</v>
      </c>
      <c r="D619" t="inlineStr">
        <is>
          <t>GÄVLEBORGS LÄN</t>
        </is>
      </c>
      <c r="E619" t="inlineStr">
        <is>
          <t>SÖDERHAMN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14283-2026</t>
        </is>
      </c>
      <c r="B620" s="1" t="n">
        <v>46099</v>
      </c>
      <c r="C620" s="1" t="n">
        <v>46119</v>
      </c>
      <c r="D620" t="inlineStr">
        <is>
          <t>GÄVLEBORGS LÄN</t>
        </is>
      </c>
      <c r="E620" t="inlineStr">
        <is>
          <t>SÖDERHAMN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14175-2026</t>
        </is>
      </c>
      <c r="B621" s="1" t="n">
        <v>46099</v>
      </c>
      <c r="C621" s="1" t="n">
        <v>46119</v>
      </c>
      <c r="D621" t="inlineStr">
        <is>
          <t>GÄVLEBORGS LÄN</t>
        </is>
      </c>
      <c r="E621" t="inlineStr">
        <is>
          <t>SÖDERHAMN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41649-2024</t>
        </is>
      </c>
      <c r="B622" s="1" t="n">
        <v>45560.63702546297</v>
      </c>
      <c r="C622" s="1" t="n">
        <v>46119</v>
      </c>
      <c r="D622" t="inlineStr">
        <is>
          <t>GÄVLEBORGS LÄN</t>
        </is>
      </c>
      <c r="E622" t="inlineStr">
        <is>
          <t>SÖDERHAMN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41650-2024</t>
        </is>
      </c>
      <c r="B623" s="1" t="n">
        <v>45560.63703703704</v>
      </c>
      <c r="C623" s="1" t="n">
        <v>46119</v>
      </c>
      <c r="D623" t="inlineStr">
        <is>
          <t>GÄVLEBORGS LÄN</t>
        </is>
      </c>
      <c r="E623" t="inlineStr">
        <is>
          <t>SÖDERHAMN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7221-2026</t>
        </is>
      </c>
      <c r="B624" s="1" t="n">
        <v>46058.56152777778</v>
      </c>
      <c r="C624" s="1" t="n">
        <v>46119</v>
      </c>
      <c r="D624" t="inlineStr">
        <is>
          <t>GÄVLEBORGS LÄN</t>
        </is>
      </c>
      <c r="E624" t="inlineStr">
        <is>
          <t>SÖDERHAMN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29818-2023</t>
        </is>
      </c>
      <c r="B625" s="1" t="n">
        <v>45107.55921296297</v>
      </c>
      <c r="C625" s="1" t="n">
        <v>46119</v>
      </c>
      <c r="D625" t="inlineStr">
        <is>
          <t>GÄVLEBORGS LÄN</t>
        </is>
      </c>
      <c r="E625" t="inlineStr">
        <is>
          <t>SÖDERHAMN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51273-2021</t>
        </is>
      </c>
      <c r="B626" s="1" t="n">
        <v>44460</v>
      </c>
      <c r="C626" s="1" t="n">
        <v>46119</v>
      </c>
      <c r="D626" t="inlineStr">
        <is>
          <t>GÄVLEBORGS LÄN</t>
        </is>
      </c>
      <c r="E626" t="inlineStr">
        <is>
          <t>SÖDERHAMN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7378-2026</t>
        </is>
      </c>
      <c r="B627" s="1" t="n">
        <v>46059</v>
      </c>
      <c r="C627" s="1" t="n">
        <v>46119</v>
      </c>
      <c r="D627" t="inlineStr">
        <is>
          <t>GÄVLEBORGS LÄN</t>
        </is>
      </c>
      <c r="E627" t="inlineStr">
        <is>
          <t>SÖDERHAMN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11075-2023</t>
        </is>
      </c>
      <c r="B628" s="1" t="n">
        <v>44992</v>
      </c>
      <c r="C628" s="1" t="n">
        <v>46119</v>
      </c>
      <c r="D628" t="inlineStr">
        <is>
          <t>GÄVLEBORGS LÄN</t>
        </is>
      </c>
      <c r="E628" t="inlineStr">
        <is>
          <t>SÖDERHAMN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14710-2026</t>
        </is>
      </c>
      <c r="B629" s="1" t="n">
        <v>46101.55189814815</v>
      </c>
      <c r="C629" s="1" t="n">
        <v>46119</v>
      </c>
      <c r="D629" t="inlineStr">
        <is>
          <t>GÄVLEBORGS LÄN</t>
        </is>
      </c>
      <c r="E629" t="inlineStr">
        <is>
          <t>SÖDERHAMN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7341-2026</t>
        </is>
      </c>
      <c r="B630" s="1" t="n">
        <v>46058</v>
      </c>
      <c r="C630" s="1" t="n">
        <v>46119</v>
      </c>
      <c r="D630" t="inlineStr">
        <is>
          <t>GÄVLEBORGS LÄN</t>
        </is>
      </c>
      <c r="E630" t="inlineStr">
        <is>
          <t>SÖDERHAMN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7881-2026</t>
        </is>
      </c>
      <c r="B631" s="1" t="n">
        <v>46063.28967592592</v>
      </c>
      <c r="C631" s="1" t="n">
        <v>46119</v>
      </c>
      <c r="D631" t="inlineStr">
        <is>
          <t>GÄVLEBORGS LÄN</t>
        </is>
      </c>
      <c r="E631" t="inlineStr">
        <is>
          <t>SÖDERHAMN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7891-2026</t>
        </is>
      </c>
      <c r="B632" s="1" t="n">
        <v>46063.31457175926</v>
      </c>
      <c r="C632" s="1" t="n">
        <v>46119</v>
      </c>
      <c r="D632" t="inlineStr">
        <is>
          <t>GÄVLEBORGS LÄN</t>
        </is>
      </c>
      <c r="E632" t="inlineStr">
        <is>
          <t>SÖDERHAMN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7629-2026</t>
        </is>
      </c>
      <c r="B633" s="1" t="n">
        <v>46062.36005787037</v>
      </c>
      <c r="C633" s="1" t="n">
        <v>46119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13661-2026</t>
        </is>
      </c>
      <c r="B634" s="1" t="n">
        <v>46097.46215277778</v>
      </c>
      <c r="C634" s="1" t="n">
        <v>46119</v>
      </c>
      <c r="D634" t="inlineStr">
        <is>
          <t>GÄVLEBORGS LÄN</t>
        </is>
      </c>
      <c r="E634" t="inlineStr">
        <is>
          <t>SÖDERHAMN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30336-2022</t>
        </is>
      </c>
      <c r="B635" s="1" t="n">
        <v>44760.47226851852</v>
      </c>
      <c r="C635" s="1" t="n">
        <v>46119</v>
      </c>
      <c r="D635" t="inlineStr">
        <is>
          <t>GÄVLEBORGS LÄN</t>
        </is>
      </c>
      <c r="E635" t="inlineStr">
        <is>
          <t>SÖDERHAMN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30359-2024</t>
        </is>
      </c>
      <c r="B636" s="1" t="n">
        <v>45491.34340277778</v>
      </c>
      <c r="C636" s="1" t="n">
        <v>46119</v>
      </c>
      <c r="D636" t="inlineStr">
        <is>
          <t>GÄVLEBORGS LÄN</t>
        </is>
      </c>
      <c r="E636" t="inlineStr">
        <is>
          <t>SÖDERHAMN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7837-2026</t>
        </is>
      </c>
      <c r="B637" s="1" t="n">
        <v>46062.64984953704</v>
      </c>
      <c r="C637" s="1" t="n">
        <v>46119</v>
      </c>
      <c r="D637" t="inlineStr">
        <is>
          <t>GÄVLEBORGS LÄN</t>
        </is>
      </c>
      <c r="E637" t="inlineStr">
        <is>
          <t>SÖDERHAMN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7861-2026</t>
        </is>
      </c>
      <c r="B638" s="1" t="n">
        <v>46062.68954861111</v>
      </c>
      <c r="C638" s="1" t="n">
        <v>46119</v>
      </c>
      <c r="D638" t="inlineStr">
        <is>
          <t>GÄVLEBORGS LÄN</t>
        </is>
      </c>
      <c r="E638" t="inlineStr">
        <is>
          <t>SÖDERHAMN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7737-2026</t>
        </is>
      </c>
      <c r="B639" s="1" t="n">
        <v>46062.53140046296</v>
      </c>
      <c r="C639" s="1" t="n">
        <v>46119</v>
      </c>
      <c r="D639" t="inlineStr">
        <is>
          <t>GÄVLEBORGS LÄN</t>
        </is>
      </c>
      <c r="E639" t="inlineStr">
        <is>
          <t>SÖDERHAMN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7605-2026</t>
        </is>
      </c>
      <c r="B640" s="1" t="n">
        <v>46062.30194444444</v>
      </c>
      <c r="C640" s="1" t="n">
        <v>46119</v>
      </c>
      <c r="D640" t="inlineStr">
        <is>
          <t>GÄVLEBORGS LÄN</t>
        </is>
      </c>
      <c r="E640" t="inlineStr">
        <is>
          <t>SÖDERHAMN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7608-2026</t>
        </is>
      </c>
      <c r="B641" s="1" t="n">
        <v>46062.30583333333</v>
      </c>
      <c r="C641" s="1" t="n">
        <v>46119</v>
      </c>
      <c r="D641" t="inlineStr">
        <is>
          <t>GÄVLEBORGS LÄN</t>
        </is>
      </c>
      <c r="E641" t="inlineStr">
        <is>
          <t>SÖDERHAMN</t>
        </is>
      </c>
      <c r="G641" t="n">
        <v>11.8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15024-2026</t>
        </is>
      </c>
      <c r="B642" s="1" t="n">
        <v>46104.63579861111</v>
      </c>
      <c r="C642" s="1" t="n">
        <v>46119</v>
      </c>
      <c r="D642" t="inlineStr">
        <is>
          <t>GÄVLEBORGS LÄN</t>
        </is>
      </c>
      <c r="E642" t="inlineStr">
        <is>
          <t>SÖDERHAMN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7882-2026</t>
        </is>
      </c>
      <c r="B643" s="1" t="n">
        <v>46063.29253472222</v>
      </c>
      <c r="C643" s="1" t="n">
        <v>46119</v>
      </c>
      <c r="D643" t="inlineStr">
        <is>
          <t>GÄVLEBORGS LÄN</t>
        </is>
      </c>
      <c r="E643" t="inlineStr">
        <is>
          <t>SÖDERHAMN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18913-2025</t>
        </is>
      </c>
      <c r="B644" s="1" t="n">
        <v>45764.46673611111</v>
      </c>
      <c r="C644" s="1" t="n">
        <v>46119</v>
      </c>
      <c r="D644" t="inlineStr">
        <is>
          <t>GÄVLEBORGS LÄN</t>
        </is>
      </c>
      <c r="E644" t="inlineStr">
        <is>
          <t>SÖDERHAMN</t>
        </is>
      </c>
      <c r="F644" t="inlineStr">
        <is>
          <t>Kommuner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18924-2025</t>
        </is>
      </c>
      <c r="B645" s="1" t="n">
        <v>45764.48153935185</v>
      </c>
      <c r="C645" s="1" t="n">
        <v>46119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15066-2026</t>
        </is>
      </c>
      <c r="B646" s="1" t="n">
        <v>46104.72486111111</v>
      </c>
      <c r="C646" s="1" t="n">
        <v>46119</v>
      </c>
      <c r="D646" t="inlineStr">
        <is>
          <t>GÄVLEBORGS LÄN</t>
        </is>
      </c>
      <c r="E646" t="inlineStr">
        <is>
          <t>SÖDERHAMN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15084-2026</t>
        </is>
      </c>
      <c r="B647" s="1" t="n">
        <v>46105.31209490741</v>
      </c>
      <c r="C647" s="1" t="n">
        <v>46119</v>
      </c>
      <c r="D647" t="inlineStr">
        <is>
          <t>GÄVLEBORGS LÄN</t>
        </is>
      </c>
      <c r="E647" t="inlineStr">
        <is>
          <t>SÖDERHAMN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7889-2026</t>
        </is>
      </c>
      <c r="B648" s="1" t="n">
        <v>46063.31143518518</v>
      </c>
      <c r="C648" s="1" t="n">
        <v>46119</v>
      </c>
      <c r="D648" t="inlineStr">
        <is>
          <t>GÄVLEBORGS LÄN</t>
        </is>
      </c>
      <c r="E648" t="inlineStr">
        <is>
          <t>SÖDERHAMN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13664-2026</t>
        </is>
      </c>
      <c r="B649" s="1" t="n">
        <v>46097.46859953704</v>
      </c>
      <c r="C649" s="1" t="n">
        <v>46119</v>
      </c>
      <c r="D649" t="inlineStr">
        <is>
          <t>GÄVLEBORGS LÄN</t>
        </is>
      </c>
      <c r="E649" t="inlineStr">
        <is>
          <t>SÖDERHAMN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63932-2023</t>
        </is>
      </c>
      <c r="B650" s="1" t="n">
        <v>45278.6055324074</v>
      </c>
      <c r="C650" s="1" t="n">
        <v>46119</v>
      </c>
      <c r="D650" t="inlineStr">
        <is>
          <t>GÄVLEBORGS LÄN</t>
        </is>
      </c>
      <c r="E650" t="inlineStr">
        <is>
          <t>SÖDERHAMN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7742-2026</t>
        </is>
      </c>
      <c r="B651" s="1" t="n">
        <v>46062.53787037037</v>
      </c>
      <c r="C651" s="1" t="n">
        <v>46119</v>
      </c>
      <c r="D651" t="inlineStr">
        <is>
          <t>GÄVLEBORGS LÄN</t>
        </is>
      </c>
      <c r="E651" t="inlineStr">
        <is>
          <t>SÖDERHAMN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7893-2026</t>
        </is>
      </c>
      <c r="B652" s="1" t="n">
        <v>46063.32108796296</v>
      </c>
      <c r="C652" s="1" t="n">
        <v>46119</v>
      </c>
      <c r="D652" t="inlineStr">
        <is>
          <t>GÄVLEBORGS LÄN</t>
        </is>
      </c>
      <c r="E652" t="inlineStr">
        <is>
          <t>SÖDERHAMN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23125-2021</t>
        </is>
      </c>
      <c r="B653" s="1" t="n">
        <v>44330.69190972222</v>
      </c>
      <c r="C653" s="1" t="n">
        <v>46119</v>
      </c>
      <c r="D653" t="inlineStr">
        <is>
          <t>GÄVLEBORGS LÄN</t>
        </is>
      </c>
      <c r="E653" t="inlineStr">
        <is>
          <t>SÖDERHAMN</t>
        </is>
      </c>
      <c r="G653" t="n">
        <v>9.5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23230-2024</t>
        </is>
      </c>
      <c r="B654" s="1" t="n">
        <v>45453</v>
      </c>
      <c r="C654" s="1" t="n">
        <v>46119</v>
      </c>
      <c r="D654" t="inlineStr">
        <is>
          <t>GÄVLEBORGS LÄN</t>
        </is>
      </c>
      <c r="E654" t="inlineStr">
        <is>
          <t>SÖDERHAMN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15636-2026</t>
        </is>
      </c>
      <c r="B655" s="1" t="n">
        <v>46106.63269675926</v>
      </c>
      <c r="C655" s="1" t="n">
        <v>46119</v>
      </c>
      <c r="D655" t="inlineStr">
        <is>
          <t>GÄVLEBORGS LÄN</t>
        </is>
      </c>
      <c r="E655" t="inlineStr">
        <is>
          <t>SÖDERHAMN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26554-2022</t>
        </is>
      </c>
      <c r="B656" s="1" t="n">
        <v>44739.47634259259</v>
      </c>
      <c r="C656" s="1" t="n">
        <v>46119</v>
      </c>
      <c r="D656" t="inlineStr">
        <is>
          <t>GÄVLEBORGS LÄN</t>
        </is>
      </c>
      <c r="E656" t="inlineStr">
        <is>
          <t>SÖDERHAMN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48139-2023</t>
        </is>
      </c>
      <c r="B657" s="1" t="n">
        <v>45205.3875</v>
      </c>
      <c r="C657" s="1" t="n">
        <v>46119</v>
      </c>
      <c r="D657" t="inlineStr">
        <is>
          <t>GÄVLEBORGS LÄN</t>
        </is>
      </c>
      <c r="E657" t="inlineStr">
        <is>
          <t>SÖDERHAMN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8427-2026</t>
        </is>
      </c>
      <c r="B658" s="1" t="n">
        <v>46065</v>
      </c>
      <c r="C658" s="1" t="n">
        <v>46119</v>
      </c>
      <c r="D658" t="inlineStr">
        <is>
          <t>GÄVLEBORGS LÄN</t>
        </is>
      </c>
      <c r="E658" t="inlineStr">
        <is>
          <t>SÖDERHAMN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15375-2026</t>
        </is>
      </c>
      <c r="B659" s="1" t="n">
        <v>46106.31391203704</v>
      </c>
      <c r="C659" s="1" t="n">
        <v>46119</v>
      </c>
      <c r="D659" t="inlineStr">
        <is>
          <t>GÄVLEBORGS LÄN</t>
        </is>
      </c>
      <c r="E659" t="inlineStr">
        <is>
          <t>SÖDERHAMN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3487-2025</t>
        </is>
      </c>
      <c r="B660" s="1" t="n">
        <v>45680.5480787037</v>
      </c>
      <c r="C660" s="1" t="n">
        <v>46119</v>
      </c>
      <c r="D660" t="inlineStr">
        <is>
          <t>GÄVLEBORGS LÄN</t>
        </is>
      </c>
      <c r="E660" t="inlineStr">
        <is>
          <t>SÖDERHAMN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49966-2024</t>
        </is>
      </c>
      <c r="B661" s="1" t="n">
        <v>45597.63407407407</v>
      </c>
      <c r="C661" s="1" t="n">
        <v>46119</v>
      </c>
      <c r="D661" t="inlineStr">
        <is>
          <t>GÄVLEBORGS LÄN</t>
        </is>
      </c>
      <c r="E661" t="inlineStr">
        <is>
          <t>SÖDERHAMN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3031-2022</t>
        </is>
      </c>
      <c r="B662" s="1" t="n">
        <v>44582.27614583333</v>
      </c>
      <c r="C662" s="1" t="n">
        <v>46119</v>
      </c>
      <c r="D662" t="inlineStr">
        <is>
          <t>GÄVLEBORGS LÄN</t>
        </is>
      </c>
      <c r="E662" t="inlineStr">
        <is>
          <t>SÖDERHAMN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15454-2025</t>
        </is>
      </c>
      <c r="B663" s="1" t="n">
        <v>45747.49863425926</v>
      </c>
      <c r="C663" s="1" t="n">
        <v>46119</v>
      </c>
      <c r="D663" t="inlineStr">
        <is>
          <t>GÄVLEBORGS LÄN</t>
        </is>
      </c>
      <c r="E663" t="inlineStr">
        <is>
          <t>SÖDERHAMN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37837-2024</t>
        </is>
      </c>
      <c r="B664" s="1" t="n">
        <v>45544.36217592593</v>
      </c>
      <c r="C664" s="1" t="n">
        <v>46119</v>
      </c>
      <c r="D664" t="inlineStr">
        <is>
          <t>GÄVLEBORGS LÄN</t>
        </is>
      </c>
      <c r="E664" t="inlineStr">
        <is>
          <t>SÖDERHAMN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26930-2023</t>
        </is>
      </c>
      <c r="B665" s="1" t="n">
        <v>45093.62233796297</v>
      </c>
      <c r="C665" s="1" t="n">
        <v>46119</v>
      </c>
      <c r="D665" t="inlineStr">
        <is>
          <t>GÄVLEBORGS LÄN</t>
        </is>
      </c>
      <c r="E665" t="inlineStr">
        <is>
          <t>SÖDERHAMN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15595-2026</t>
        </is>
      </c>
      <c r="B666" s="1" t="n">
        <v>46106.58641203704</v>
      </c>
      <c r="C666" s="1" t="n">
        <v>46119</v>
      </c>
      <c r="D666" t="inlineStr">
        <is>
          <t>GÄVLEBORGS LÄN</t>
        </is>
      </c>
      <c r="E666" t="inlineStr">
        <is>
          <t>SÖDERHAMN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8663-2026</t>
        </is>
      </c>
      <c r="B667" s="1" t="n">
        <v>46066.38159722222</v>
      </c>
      <c r="C667" s="1" t="n">
        <v>46119</v>
      </c>
      <c r="D667" t="inlineStr">
        <is>
          <t>GÄVLEBORGS LÄN</t>
        </is>
      </c>
      <c r="E667" t="inlineStr">
        <is>
          <t>SÖDERHAMN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15975-2026</t>
        </is>
      </c>
      <c r="B668" s="1" t="n">
        <v>46108.34784722222</v>
      </c>
      <c r="C668" s="1" t="n">
        <v>46119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16143-2026</t>
        </is>
      </c>
      <c r="B669" s="1" t="n">
        <v>46108.66357638889</v>
      </c>
      <c r="C669" s="1" t="n">
        <v>46119</v>
      </c>
      <c r="D669" t="inlineStr">
        <is>
          <t>GÄVLEBORGS LÄN</t>
        </is>
      </c>
      <c r="E669" t="inlineStr">
        <is>
          <t>SÖDERHAMN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9036-2026</t>
        </is>
      </c>
      <c r="B670" s="1" t="n">
        <v>46069</v>
      </c>
      <c r="C670" s="1" t="n">
        <v>46119</v>
      </c>
      <c r="D670" t="inlineStr">
        <is>
          <t>GÄVLEBORGS LÄN</t>
        </is>
      </c>
      <c r="E670" t="inlineStr">
        <is>
          <t>SÖDERHAMN</t>
        </is>
      </c>
      <c r="F670" t="inlineStr">
        <is>
          <t>Kyrkan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10763-2025</t>
        </is>
      </c>
      <c r="B671" s="1" t="n">
        <v>45722.4603125</v>
      </c>
      <c r="C671" s="1" t="n">
        <v>46119</v>
      </c>
      <c r="D671" t="inlineStr">
        <is>
          <t>GÄVLEBORGS LÄN</t>
        </is>
      </c>
      <c r="E671" t="inlineStr">
        <is>
          <t>SÖDERHAMN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4563-2023</t>
        </is>
      </c>
      <c r="B672" s="1" t="n">
        <v>44956</v>
      </c>
      <c r="C672" s="1" t="n">
        <v>46119</v>
      </c>
      <c r="D672" t="inlineStr">
        <is>
          <t>GÄVLEBORGS LÄN</t>
        </is>
      </c>
      <c r="E672" t="inlineStr">
        <is>
          <t>SÖDERHAMN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15976-2026</t>
        </is>
      </c>
      <c r="B673" s="1" t="n">
        <v>46108.35240740741</v>
      </c>
      <c r="C673" s="1" t="n">
        <v>46119</v>
      </c>
      <c r="D673" t="inlineStr">
        <is>
          <t>GÄVLEBORGS LÄN</t>
        </is>
      </c>
      <c r="E673" t="inlineStr">
        <is>
          <t>SÖDERHAMN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15107-2026</t>
        </is>
      </c>
      <c r="B674" s="1" t="n">
        <v>46105</v>
      </c>
      <c r="C674" s="1" t="n">
        <v>46119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15132-2026</t>
        </is>
      </c>
      <c r="B675" s="1" t="n">
        <v>46105</v>
      </c>
      <c r="C675" s="1" t="n">
        <v>46119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8709-2026</t>
        </is>
      </c>
      <c r="B676" s="1" t="n">
        <v>46066.47655092592</v>
      </c>
      <c r="C676" s="1" t="n">
        <v>46119</v>
      </c>
      <c r="D676" t="inlineStr">
        <is>
          <t>GÄVLEBORGS LÄN</t>
        </is>
      </c>
      <c r="E676" t="inlineStr">
        <is>
          <t>SÖDERHAMN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8631-2026</t>
        </is>
      </c>
      <c r="B677" s="1" t="n">
        <v>46066.34541666666</v>
      </c>
      <c r="C677" s="1" t="n">
        <v>46119</v>
      </c>
      <c r="D677" t="inlineStr">
        <is>
          <t>GÄVLEBORGS LÄN</t>
        </is>
      </c>
      <c r="E677" t="inlineStr">
        <is>
          <t>SÖDERHAMN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41648-2024</t>
        </is>
      </c>
      <c r="B678" s="1" t="n">
        <v>45560.63701388889</v>
      </c>
      <c r="C678" s="1" t="n">
        <v>46119</v>
      </c>
      <c r="D678" t="inlineStr">
        <is>
          <t>GÄVLEBORGS LÄN</t>
        </is>
      </c>
      <c r="E678" t="inlineStr">
        <is>
          <t>SÖDERHAMN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8943-2026</t>
        </is>
      </c>
      <c r="B679" s="1" t="n">
        <v>46069.37511574074</v>
      </c>
      <c r="C679" s="1" t="n">
        <v>46119</v>
      </c>
      <c r="D679" t="inlineStr">
        <is>
          <t>GÄVLEBORGS LÄN</t>
        </is>
      </c>
      <c r="E679" t="inlineStr">
        <is>
          <t>SÖDERHAMN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8715-2026</t>
        </is>
      </c>
      <c r="B680" s="1" t="n">
        <v>46066.48649305556</v>
      </c>
      <c r="C680" s="1" t="n">
        <v>46119</v>
      </c>
      <c r="D680" t="inlineStr">
        <is>
          <t>GÄVLEBORGS LÄN</t>
        </is>
      </c>
      <c r="E680" t="inlineStr">
        <is>
          <t>SÖDERHAMN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15958-2026</t>
        </is>
      </c>
      <c r="B681" s="1" t="n">
        <v>46108.31140046296</v>
      </c>
      <c r="C681" s="1" t="n">
        <v>46119</v>
      </c>
      <c r="D681" t="inlineStr">
        <is>
          <t>GÄVLEBORGS LÄN</t>
        </is>
      </c>
      <c r="E681" t="inlineStr">
        <is>
          <t>SÖDERHAMN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59773-2024</t>
        </is>
      </c>
      <c r="B682" s="1" t="n">
        <v>45639</v>
      </c>
      <c r="C682" s="1" t="n">
        <v>46119</v>
      </c>
      <c r="D682" t="inlineStr">
        <is>
          <t>GÄVLEBORGS LÄN</t>
        </is>
      </c>
      <c r="E682" t="inlineStr">
        <is>
          <t>SÖDERHAMN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11206-2023</t>
        </is>
      </c>
      <c r="B683" s="1" t="n">
        <v>44992.60256944445</v>
      </c>
      <c r="C683" s="1" t="n">
        <v>46119</v>
      </c>
      <c r="D683" t="inlineStr">
        <is>
          <t>GÄVLEBORGS LÄN</t>
        </is>
      </c>
      <c r="E683" t="inlineStr">
        <is>
          <t>SÖDERHAMN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1075-2026</t>
        </is>
      </c>
      <c r="B684" s="1" t="n">
        <v>46030</v>
      </c>
      <c r="C684" s="1" t="n">
        <v>46119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16322-2026</t>
        </is>
      </c>
      <c r="B685" s="1" t="n">
        <v>46111.56266203704</v>
      </c>
      <c r="C685" s="1" t="n">
        <v>46119</v>
      </c>
      <c r="D685" t="inlineStr">
        <is>
          <t>GÄVLEBORGS LÄN</t>
        </is>
      </c>
      <c r="E685" t="inlineStr">
        <is>
          <t>SÖDERHAMN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16272-2026</t>
        </is>
      </c>
      <c r="B686" s="1" t="n">
        <v>46111.48847222222</v>
      </c>
      <c r="C686" s="1" t="n">
        <v>46119</v>
      </c>
      <c r="D686" t="inlineStr">
        <is>
          <t>GÄVLEBORGS LÄN</t>
        </is>
      </c>
      <c r="E686" t="inlineStr">
        <is>
          <t>SÖDERHAMN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8651-2026</t>
        </is>
      </c>
      <c r="B687" s="1" t="n">
        <v>46066.3674537037</v>
      </c>
      <c r="C687" s="1" t="n">
        <v>46119</v>
      </c>
      <c r="D687" t="inlineStr">
        <is>
          <t>GÄVLEBORGS LÄN</t>
        </is>
      </c>
      <c r="E687" t="inlineStr">
        <is>
          <t>SÖDERHAMN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8661-2026</t>
        </is>
      </c>
      <c r="B688" s="1" t="n">
        <v>46066.37966435185</v>
      </c>
      <c r="C688" s="1" t="n">
        <v>46119</v>
      </c>
      <c r="D688" t="inlineStr">
        <is>
          <t>GÄVLEBORGS LÄN</t>
        </is>
      </c>
      <c r="E688" t="inlineStr">
        <is>
          <t>SÖDERHAMN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376-2026</t>
        </is>
      </c>
      <c r="B689" s="1" t="n">
        <v>46027</v>
      </c>
      <c r="C689" s="1" t="n">
        <v>46119</v>
      </c>
      <c r="D689" t="inlineStr">
        <is>
          <t>GÄVLEBORGS LÄN</t>
        </is>
      </c>
      <c r="E689" t="inlineStr">
        <is>
          <t>SÖDERHAMN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14129-2026</t>
        </is>
      </c>
      <c r="B690" s="1" t="n">
        <v>46099</v>
      </c>
      <c r="C690" s="1" t="n">
        <v>46119</v>
      </c>
      <c r="D690" t="inlineStr">
        <is>
          <t>GÄVLEBORGS LÄN</t>
        </is>
      </c>
      <c r="E690" t="inlineStr">
        <is>
          <t>SÖDERHAMN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16087-2026</t>
        </is>
      </c>
      <c r="B691" s="1" t="n">
        <v>46108.56913194444</v>
      </c>
      <c r="C691" s="1" t="n">
        <v>46119</v>
      </c>
      <c r="D691" t="inlineStr">
        <is>
          <t>GÄVLEBORGS LÄN</t>
        </is>
      </c>
      <c r="E691" t="inlineStr">
        <is>
          <t>SÖDERHAMN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8944-2026</t>
        </is>
      </c>
      <c r="B692" s="1" t="n">
        <v>46069.37597222222</v>
      </c>
      <c r="C692" s="1" t="n">
        <v>46119</v>
      </c>
      <c r="D692" t="inlineStr">
        <is>
          <t>GÄVLEBORGS LÄN</t>
        </is>
      </c>
      <c r="E692" t="inlineStr">
        <is>
          <t>SÖDERHAMN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15157-2026</t>
        </is>
      </c>
      <c r="B693" s="1" t="n">
        <v>46105</v>
      </c>
      <c r="C693" s="1" t="n">
        <v>46119</v>
      </c>
      <c r="D693" t="inlineStr">
        <is>
          <t>GÄVLEBORGS LÄN</t>
        </is>
      </c>
      <c r="E693" t="inlineStr">
        <is>
          <t>SÖDERHAMN</t>
        </is>
      </c>
      <c r="F693" t="inlineStr">
        <is>
          <t>Bergvik skog väst AB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16324-2026</t>
        </is>
      </c>
      <c r="B694" s="1" t="n">
        <v>46111.56614583333</v>
      </c>
      <c r="C694" s="1" t="n">
        <v>46119</v>
      </c>
      <c r="D694" t="inlineStr">
        <is>
          <t>GÄVLEBORGS LÄN</t>
        </is>
      </c>
      <c r="E694" t="inlineStr">
        <is>
          <t>SÖDERHAMN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15686-2026</t>
        </is>
      </c>
      <c r="B695" s="1" t="n">
        <v>46107</v>
      </c>
      <c r="C695" s="1" t="n">
        <v>46119</v>
      </c>
      <c r="D695" t="inlineStr">
        <is>
          <t>GÄVLEBORGS LÄN</t>
        </is>
      </c>
      <c r="E695" t="inlineStr">
        <is>
          <t>SÖDERHAMN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16746-2026</t>
        </is>
      </c>
      <c r="B696" s="1" t="n">
        <v>46113.38737268518</v>
      </c>
      <c r="C696" s="1" t="n">
        <v>46119</v>
      </c>
      <c r="D696" t="inlineStr">
        <is>
          <t>GÄVLEBORGS LÄN</t>
        </is>
      </c>
      <c r="E696" t="inlineStr">
        <is>
          <t>SÖDERHAMN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16348-2026</t>
        </is>
      </c>
      <c r="B697" s="1" t="n">
        <v>46111</v>
      </c>
      <c r="C697" s="1" t="n">
        <v>46119</v>
      </c>
      <c r="D697" t="inlineStr">
        <is>
          <t>GÄVLEBORGS LÄN</t>
        </is>
      </c>
      <c r="E697" t="inlineStr">
        <is>
          <t>SÖDERHAMN</t>
        </is>
      </c>
      <c r="F697" t="inlineStr">
        <is>
          <t>Bergvik skog väst AB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16475-2026</t>
        </is>
      </c>
      <c r="B698" s="1" t="n">
        <v>46112.38503472223</v>
      </c>
      <c r="C698" s="1" t="n">
        <v>46119</v>
      </c>
      <c r="D698" t="inlineStr">
        <is>
          <t>GÄVLEBORGS LÄN</t>
        </is>
      </c>
      <c r="E698" t="inlineStr">
        <is>
          <t>SÖDERHAMN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16472-2026</t>
        </is>
      </c>
      <c r="B699" s="1" t="n">
        <v>46112.37960648148</v>
      </c>
      <c r="C699" s="1" t="n">
        <v>46119</v>
      </c>
      <c r="D699" t="inlineStr">
        <is>
          <t>GÄVLEBORGS LÄN</t>
        </is>
      </c>
      <c r="E699" t="inlineStr">
        <is>
          <t>SÖDERHAMN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9189-2026</t>
        </is>
      </c>
      <c r="B700" s="1" t="n">
        <v>46070.38061342593</v>
      </c>
      <c r="C700" s="1" t="n">
        <v>46119</v>
      </c>
      <c r="D700" t="inlineStr">
        <is>
          <t>GÄVLEBORGS LÄN</t>
        </is>
      </c>
      <c r="E700" t="inlineStr">
        <is>
          <t>SÖDERHAMN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9510-2026</t>
        </is>
      </c>
      <c r="B701" s="1" t="n">
        <v>46071.58712962963</v>
      </c>
      <c r="C701" s="1" t="n">
        <v>46119</v>
      </c>
      <c r="D701" t="inlineStr">
        <is>
          <t>GÄVLEBORGS LÄN</t>
        </is>
      </c>
      <c r="E701" t="inlineStr">
        <is>
          <t>SÖDERHAMN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9284-2026</t>
        </is>
      </c>
      <c r="B702" s="1" t="n">
        <v>46070.58158564815</v>
      </c>
      <c r="C702" s="1" t="n">
        <v>46119</v>
      </c>
      <c r="D702" t="inlineStr">
        <is>
          <t>GÄVLEBORGS LÄN</t>
        </is>
      </c>
      <c r="E702" t="inlineStr">
        <is>
          <t>SÖDERHAMN</t>
        </is>
      </c>
      <c r="G702" t="n">
        <v>0.2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  <c r="U702">
        <f>HYPERLINK("https://klasma.github.io/Logging_2182/knärot/A 9284-2026 karta knärot.png", "A 9284-2026")</f>
        <v/>
      </c>
      <c r="V702">
        <f>HYPERLINK("https://klasma.github.io/Logging_2182/klagomål/A 9284-2026 FSC-klagomål.docx", "A 9284-2026")</f>
        <v/>
      </c>
      <c r="W702">
        <f>HYPERLINK("https://klasma.github.io/Logging_2182/klagomålsmail/A 9284-2026 FSC-klagomål mail.docx", "A 9284-2026")</f>
        <v/>
      </c>
      <c r="X702">
        <f>HYPERLINK("https://klasma.github.io/Logging_2182/tillsyn/A 9284-2026 tillsynsbegäran.docx", "A 9284-2026")</f>
        <v/>
      </c>
      <c r="Y702">
        <f>HYPERLINK("https://klasma.github.io/Logging_2182/tillsynsmail/A 9284-2026 tillsynsbegäran mail.docx", "A 9284-2026")</f>
        <v/>
      </c>
    </row>
    <row r="703" ht="15" customHeight="1">
      <c r="A703" t="inlineStr">
        <is>
          <t>A 14706-2026</t>
        </is>
      </c>
      <c r="B703" s="1" t="n">
        <v>46101</v>
      </c>
      <c r="C703" s="1" t="n">
        <v>46119</v>
      </c>
      <c r="D703" t="inlineStr">
        <is>
          <t>GÄVLEBORGS LÄN</t>
        </is>
      </c>
      <c r="E703" t="inlineStr">
        <is>
          <t>SÖDERHAMN</t>
        </is>
      </c>
      <c r="F703" t="inlineStr">
        <is>
          <t>Bergvik skog väst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16485-2026</t>
        </is>
      </c>
      <c r="B704" s="1" t="n">
        <v>46112.40934027778</v>
      </c>
      <c r="C704" s="1" t="n">
        <v>46119</v>
      </c>
      <c r="D704" t="inlineStr">
        <is>
          <t>GÄVLEBORGS LÄN</t>
        </is>
      </c>
      <c r="E704" t="inlineStr">
        <is>
          <t>SÖDERHAMN</t>
        </is>
      </c>
      <c r="F704" t="inlineStr">
        <is>
          <t>Bergvik skog väst AB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9399-2026</t>
        </is>
      </c>
      <c r="B705" s="1" t="n">
        <v>46071</v>
      </c>
      <c r="C705" s="1" t="n">
        <v>46119</v>
      </c>
      <c r="D705" t="inlineStr">
        <is>
          <t>GÄVLEBORGS LÄN</t>
        </is>
      </c>
      <c r="E705" t="inlineStr">
        <is>
          <t>SÖDERHAMN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16484-2026</t>
        </is>
      </c>
      <c r="B706" s="1" t="n">
        <v>46112.40436342593</v>
      </c>
      <c r="C706" s="1" t="n">
        <v>46119</v>
      </c>
      <c r="D706" t="inlineStr">
        <is>
          <t>GÄVLEBORGS LÄN</t>
        </is>
      </c>
      <c r="E706" t="inlineStr">
        <is>
          <t>SÖDERHAMN</t>
        </is>
      </c>
      <c r="F706" t="inlineStr">
        <is>
          <t>Bergvik skog väst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9176-2026</t>
        </is>
      </c>
      <c r="B707" s="1" t="n">
        <v>46070.36697916667</v>
      </c>
      <c r="C707" s="1" t="n">
        <v>46119</v>
      </c>
      <c r="D707" t="inlineStr">
        <is>
          <t>GÄVLEBORGS LÄN</t>
        </is>
      </c>
      <c r="E707" t="inlineStr">
        <is>
          <t>SÖDERHAMN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9220-2026</t>
        </is>
      </c>
      <c r="B708" s="1" t="n">
        <v>46070.44583333333</v>
      </c>
      <c r="C708" s="1" t="n">
        <v>46119</v>
      </c>
      <c r="D708" t="inlineStr">
        <is>
          <t>GÄVLEBORGS LÄN</t>
        </is>
      </c>
      <c r="E708" t="inlineStr">
        <is>
          <t>SÖDERHAMN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28340-2024</t>
        </is>
      </c>
      <c r="B709" s="1" t="n">
        <v>45477.54754629629</v>
      </c>
      <c r="C709" s="1" t="n">
        <v>46119</v>
      </c>
      <c r="D709" t="inlineStr">
        <is>
          <t>GÄVLEBORGS LÄN</t>
        </is>
      </c>
      <c r="E709" t="inlineStr">
        <is>
          <t>SÖDERHAMN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30558-2024</t>
        </is>
      </c>
      <c r="B710" s="1" t="n">
        <v>45492.92803240741</v>
      </c>
      <c r="C710" s="1" t="n">
        <v>46119</v>
      </c>
      <c r="D710" t="inlineStr">
        <is>
          <t>GÄVLEBORGS LÄN</t>
        </is>
      </c>
      <c r="E710" t="inlineStr">
        <is>
          <t>SÖDERHAMN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30559-2024</t>
        </is>
      </c>
      <c r="B711" s="1" t="n">
        <v>45492</v>
      </c>
      <c r="C711" s="1" t="n">
        <v>46119</v>
      </c>
      <c r="D711" t="inlineStr">
        <is>
          <t>GÄVLEBORGS LÄN</t>
        </is>
      </c>
      <c r="E711" t="inlineStr">
        <is>
          <t>SÖDERHAMN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63632-2023</t>
        </is>
      </c>
      <c r="B712" s="1" t="n">
        <v>45275.56056712963</v>
      </c>
      <c r="C712" s="1" t="n">
        <v>46119</v>
      </c>
      <c r="D712" t="inlineStr">
        <is>
          <t>GÄVLEBORGS LÄN</t>
        </is>
      </c>
      <c r="E712" t="inlineStr">
        <is>
          <t>SÖDERHAMN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27151-2023</t>
        </is>
      </c>
      <c r="B713" s="1" t="n">
        <v>45096.47592592592</v>
      </c>
      <c r="C713" s="1" t="n">
        <v>46119</v>
      </c>
      <c r="D713" t="inlineStr">
        <is>
          <t>GÄVLEBORGS LÄN</t>
        </is>
      </c>
      <c r="E713" t="inlineStr">
        <is>
          <t>SÖDERHAMN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9387-2026</t>
        </is>
      </c>
      <c r="B714" s="1" t="n">
        <v>46071</v>
      </c>
      <c r="C714" s="1" t="n">
        <v>46119</v>
      </c>
      <c r="D714" t="inlineStr">
        <is>
          <t>GÄVLEBORGS LÄN</t>
        </is>
      </c>
      <c r="E714" t="inlineStr">
        <is>
          <t>SÖDERHAMN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14259-2026</t>
        </is>
      </c>
      <c r="B715" s="1" t="n">
        <v>46099</v>
      </c>
      <c r="C715" s="1" t="n">
        <v>46119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16.2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16828-2026</t>
        </is>
      </c>
      <c r="B716" s="1" t="n">
        <v>46113.52008101852</v>
      </c>
      <c r="C716" s="1" t="n">
        <v>46119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16908-2026</t>
        </is>
      </c>
      <c r="B717" s="1" t="n">
        <v>46113.63975694445</v>
      </c>
      <c r="C717" s="1" t="n">
        <v>46119</v>
      </c>
      <c r="D717" t="inlineStr">
        <is>
          <t>GÄVLEBORGS LÄN</t>
        </is>
      </c>
      <c r="E717" t="inlineStr">
        <is>
          <t>SÖDERHAMN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9290-2026</t>
        </is>
      </c>
      <c r="B718" s="1" t="n">
        <v>46070.58806712963</v>
      </c>
      <c r="C718" s="1" t="n">
        <v>46119</v>
      </c>
      <c r="D718" t="inlineStr">
        <is>
          <t>GÄVLEBORGS LÄN</t>
        </is>
      </c>
      <c r="E718" t="inlineStr">
        <is>
          <t>SÖDERHAMN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9935-2026</t>
        </is>
      </c>
      <c r="B719" s="1" t="n">
        <v>46073</v>
      </c>
      <c r="C719" s="1" t="n">
        <v>46119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17160-2026</t>
        </is>
      </c>
      <c r="B720" s="1" t="n">
        <v>46115.58078703703</v>
      </c>
      <c r="C720" s="1" t="n">
        <v>46119</v>
      </c>
      <c r="D720" t="inlineStr">
        <is>
          <t>GÄVLEBORGS LÄN</t>
        </is>
      </c>
      <c r="E720" t="inlineStr">
        <is>
          <t>SÖDERHAMN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54007-2023</t>
        </is>
      </c>
      <c r="B721" s="1" t="n">
        <v>45231</v>
      </c>
      <c r="C721" s="1" t="n">
        <v>46119</v>
      </c>
      <c r="D721" t="inlineStr">
        <is>
          <t>GÄVLEBORGS LÄN</t>
        </is>
      </c>
      <c r="E721" t="inlineStr">
        <is>
          <t>SÖDERHAMN</t>
        </is>
      </c>
      <c r="F721" t="inlineStr">
        <is>
          <t>Kommuner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15245-2026</t>
        </is>
      </c>
      <c r="B722" s="1" t="n">
        <v>46105</v>
      </c>
      <c r="C722" s="1" t="n">
        <v>46119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9870-2026</t>
        </is>
      </c>
      <c r="B723" s="1" t="n">
        <v>46073</v>
      </c>
      <c r="C723" s="1" t="n">
        <v>46119</v>
      </c>
      <c r="D723" t="inlineStr">
        <is>
          <t>GÄVLEBORGS LÄN</t>
        </is>
      </c>
      <c r="E723" t="inlineStr">
        <is>
          <t>SÖDERHAMN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29979-2023</t>
        </is>
      </c>
      <c r="B724" s="1" t="n">
        <v>45108</v>
      </c>
      <c r="C724" s="1" t="n">
        <v>46119</v>
      </c>
      <c r="D724" t="inlineStr">
        <is>
          <t>GÄVLEBORGS LÄN</t>
        </is>
      </c>
      <c r="E724" t="inlineStr">
        <is>
          <t>SÖDERHAMN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9921-2026</t>
        </is>
      </c>
      <c r="B725" s="1" t="n">
        <v>46073</v>
      </c>
      <c r="C725" s="1" t="n">
        <v>46119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16178-2026</t>
        </is>
      </c>
      <c r="B726" s="1" t="n">
        <v>46111</v>
      </c>
      <c r="C726" s="1" t="n">
        <v>46119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8.1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14718-2026</t>
        </is>
      </c>
      <c r="B727" s="1" t="n">
        <v>46101</v>
      </c>
      <c r="C727" s="1" t="n">
        <v>46119</v>
      </c>
      <c r="D727" t="inlineStr">
        <is>
          <t>GÄVLEBORGS LÄN</t>
        </is>
      </c>
      <c r="E727" t="inlineStr">
        <is>
          <t>SÖDERHAMN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16231-2026</t>
        </is>
      </c>
      <c r="B728" s="1" t="n">
        <v>46111</v>
      </c>
      <c r="C728" s="1" t="n">
        <v>46119</v>
      </c>
      <c r="D728" t="inlineStr">
        <is>
          <t>GÄVLEBORGS LÄN</t>
        </is>
      </c>
      <c r="E728" t="inlineStr">
        <is>
          <t>SÖDERHAMN</t>
        </is>
      </c>
      <c r="F728" t="inlineStr">
        <is>
          <t>Bergvik skog väst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16533-2026</t>
        </is>
      </c>
      <c r="B729" s="1" t="n">
        <v>46112</v>
      </c>
      <c r="C729" s="1" t="n">
        <v>46119</v>
      </c>
      <c r="D729" t="inlineStr">
        <is>
          <t>GÄVLEBORGS LÄN</t>
        </is>
      </c>
      <c r="E729" t="inlineStr">
        <is>
          <t>SÖDERHAMN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10085-2026</t>
        </is>
      </c>
      <c r="B730" s="1" t="n">
        <v>46073</v>
      </c>
      <c r="C730" s="1" t="n">
        <v>46119</v>
      </c>
      <c r="D730" t="inlineStr">
        <is>
          <t>GÄVLEBORGS LÄN</t>
        </is>
      </c>
      <c r="E730" t="inlineStr">
        <is>
          <t>SÖDERHAMN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28070-2024</t>
        </is>
      </c>
      <c r="B731" s="1" t="n">
        <v>45476</v>
      </c>
      <c r="C731" s="1" t="n">
        <v>46119</v>
      </c>
      <c r="D731" t="inlineStr">
        <is>
          <t>GÄVLEBORGS LÄN</t>
        </is>
      </c>
      <c r="E731" t="inlineStr">
        <is>
          <t>SÖDERHAMN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49786-2024</t>
        </is>
      </c>
      <c r="B732" s="1" t="n">
        <v>45597.35850694445</v>
      </c>
      <c r="C732" s="1" t="n">
        <v>46119</v>
      </c>
      <c r="D732" t="inlineStr">
        <is>
          <t>GÄVLEBORGS LÄN</t>
        </is>
      </c>
      <c r="E732" t="inlineStr">
        <is>
          <t>SÖDERHAMN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19652-2024</t>
        </is>
      </c>
      <c r="B733" s="1" t="n">
        <v>45432.44259259259</v>
      </c>
      <c r="C733" s="1" t="n">
        <v>46119</v>
      </c>
      <c r="D733" t="inlineStr">
        <is>
          <t>GÄVLEBORGS LÄN</t>
        </is>
      </c>
      <c r="E733" t="inlineStr">
        <is>
          <t>SÖDERHAMN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40577-2022</t>
        </is>
      </c>
      <c r="B734" s="1" t="n">
        <v>44823.69696759259</v>
      </c>
      <c r="C734" s="1" t="n">
        <v>46119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50809-2024</t>
        </is>
      </c>
      <c r="B735" s="1" t="n">
        <v>45602.53582175926</v>
      </c>
      <c r="C735" s="1" t="n">
        <v>46119</v>
      </c>
      <c r="D735" t="inlineStr">
        <is>
          <t>GÄVLEBORGS LÄN</t>
        </is>
      </c>
      <c r="E735" t="inlineStr">
        <is>
          <t>SÖDERHAMN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19536-2025</t>
        </is>
      </c>
      <c r="B736" s="1" t="n">
        <v>45770.47952546296</v>
      </c>
      <c r="C736" s="1" t="n">
        <v>46119</v>
      </c>
      <c r="D736" t="inlineStr">
        <is>
          <t>GÄVLEBORGS LÄN</t>
        </is>
      </c>
      <c r="E736" t="inlineStr">
        <is>
          <t>SÖDERHAMN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29982-2023</t>
        </is>
      </c>
      <c r="B737" s="1" t="n">
        <v>45108.92460648148</v>
      </c>
      <c r="C737" s="1" t="n">
        <v>46119</v>
      </c>
      <c r="D737" t="inlineStr">
        <is>
          <t>GÄVLEBORGS LÄN</t>
        </is>
      </c>
      <c r="E737" t="inlineStr">
        <is>
          <t>SÖDERHAMN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52519-2024</t>
        </is>
      </c>
      <c r="B738" s="1" t="n">
        <v>45609.5986574074</v>
      </c>
      <c r="C738" s="1" t="n">
        <v>46119</v>
      </c>
      <c r="D738" t="inlineStr">
        <is>
          <t>GÄVLEBORGS LÄN</t>
        </is>
      </c>
      <c r="E738" t="inlineStr">
        <is>
          <t>SÖDERHAMN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49282-2024</t>
        </is>
      </c>
      <c r="B739" s="1" t="n">
        <v>45595.50844907408</v>
      </c>
      <c r="C739" s="1" t="n">
        <v>46119</v>
      </c>
      <c r="D739" t="inlineStr">
        <is>
          <t>GÄVLEBORGS LÄN</t>
        </is>
      </c>
      <c r="E739" t="inlineStr">
        <is>
          <t>SÖDERHAMN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19782-2025</t>
        </is>
      </c>
      <c r="B740" s="1" t="n">
        <v>45771.43126157407</v>
      </c>
      <c r="C740" s="1" t="n">
        <v>46119</v>
      </c>
      <c r="D740" t="inlineStr">
        <is>
          <t>GÄVLEBORGS LÄN</t>
        </is>
      </c>
      <c r="E740" t="inlineStr">
        <is>
          <t>SÖDERHAMN</t>
        </is>
      </c>
      <c r="G740" t="n">
        <v>6.4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19700-2023</t>
        </is>
      </c>
      <c r="B741" s="1" t="n">
        <v>45051.44525462963</v>
      </c>
      <c r="C741" s="1" t="n">
        <v>46119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19921-2025</t>
        </is>
      </c>
      <c r="B742" s="1" t="n">
        <v>45771.62862268519</v>
      </c>
      <c r="C742" s="1" t="n">
        <v>46119</v>
      </c>
      <c r="D742" t="inlineStr">
        <is>
          <t>GÄVLEBORGS LÄN</t>
        </is>
      </c>
      <c r="E742" t="inlineStr">
        <is>
          <t>SÖDERHAMN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48313-2024</t>
        </is>
      </c>
      <c r="B743" s="1" t="n">
        <v>45590.48979166667</v>
      </c>
      <c r="C743" s="1" t="n">
        <v>46119</v>
      </c>
      <c r="D743" t="inlineStr">
        <is>
          <t>GÄVLEBORGS LÄN</t>
        </is>
      </c>
      <c r="E743" t="inlineStr">
        <is>
          <t>SÖDERHAMN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7533-2025</t>
        </is>
      </c>
      <c r="B744" s="1" t="n">
        <v>45705.5609375</v>
      </c>
      <c r="C744" s="1" t="n">
        <v>46119</v>
      </c>
      <c r="D744" t="inlineStr">
        <is>
          <t>GÄVLEBORGS LÄN</t>
        </is>
      </c>
      <c r="E744" t="inlineStr">
        <is>
          <t>SÖDERHAMN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26533-2021</t>
        </is>
      </c>
      <c r="B745" s="1" t="n">
        <v>44348.48729166666</v>
      </c>
      <c r="C745" s="1" t="n">
        <v>46119</v>
      </c>
      <c r="D745" t="inlineStr">
        <is>
          <t>GÄVLEBORGS LÄN</t>
        </is>
      </c>
      <c r="E745" t="inlineStr">
        <is>
          <t>SÖDERHAMN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4497-2024</t>
        </is>
      </c>
      <c r="B746" s="1" t="n">
        <v>45327</v>
      </c>
      <c r="C746" s="1" t="n">
        <v>46119</v>
      </c>
      <c r="D746" t="inlineStr">
        <is>
          <t>GÄVLEBORGS LÄN</t>
        </is>
      </c>
      <c r="E746" t="inlineStr">
        <is>
          <t>SÖDERHAMN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20456-2024</t>
        </is>
      </c>
      <c r="B747" s="1" t="n">
        <v>45435.6531712963</v>
      </c>
      <c r="C747" s="1" t="n">
        <v>46119</v>
      </c>
      <c r="D747" t="inlineStr">
        <is>
          <t>GÄVLEBORGS LÄN</t>
        </is>
      </c>
      <c r="E747" t="inlineStr">
        <is>
          <t>SÖDERHAMN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8276-2025</t>
        </is>
      </c>
      <c r="B748" s="1" t="n">
        <v>45708.54879629629</v>
      </c>
      <c r="C748" s="1" t="n">
        <v>46119</v>
      </c>
      <c r="D748" t="inlineStr">
        <is>
          <t>GÄVLEBORGS LÄN</t>
        </is>
      </c>
      <c r="E748" t="inlineStr">
        <is>
          <t>SÖDERHAMN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36204-2024</t>
        </is>
      </c>
      <c r="B749" s="1" t="n">
        <v>45534.43899305556</v>
      </c>
      <c r="C749" s="1" t="n">
        <v>46119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48943-2024</t>
        </is>
      </c>
      <c r="B750" s="1" t="n">
        <v>45594.42071759259</v>
      </c>
      <c r="C750" s="1" t="n">
        <v>46119</v>
      </c>
      <c r="D750" t="inlineStr">
        <is>
          <t>GÄVLEBORGS LÄN</t>
        </is>
      </c>
      <c r="E750" t="inlineStr">
        <is>
          <t>SÖDERHAMN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58799-2024</t>
        </is>
      </c>
      <c r="B751" s="1" t="n">
        <v>45636.32105324074</v>
      </c>
      <c r="C751" s="1" t="n">
        <v>46119</v>
      </c>
      <c r="D751" t="inlineStr">
        <is>
          <t>GÄVLEBORGS LÄN</t>
        </is>
      </c>
      <c r="E751" t="inlineStr">
        <is>
          <t>SÖDERHAMN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33928-2023</t>
        </is>
      </c>
      <c r="B752" s="1" t="n">
        <v>45134</v>
      </c>
      <c r="C752" s="1" t="n">
        <v>46119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18909-2025</t>
        </is>
      </c>
      <c r="B753" s="1" t="n">
        <v>45764.46388888889</v>
      </c>
      <c r="C753" s="1" t="n">
        <v>46119</v>
      </c>
      <c r="D753" t="inlineStr">
        <is>
          <t>GÄVLEBORGS LÄN</t>
        </is>
      </c>
      <c r="E753" t="inlineStr">
        <is>
          <t>SÖDERHAMN</t>
        </is>
      </c>
      <c r="F753" t="inlineStr">
        <is>
          <t>Kommuner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30928-2023</t>
        </is>
      </c>
      <c r="B754" s="1" t="n">
        <v>45113.44694444445</v>
      </c>
      <c r="C754" s="1" t="n">
        <v>46119</v>
      </c>
      <c r="D754" t="inlineStr">
        <is>
          <t>GÄVLEBORGS LÄN</t>
        </is>
      </c>
      <c r="E754" t="inlineStr">
        <is>
          <t>SÖDERHAMN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59586-2024</t>
        </is>
      </c>
      <c r="B755" s="1" t="n">
        <v>45638.68046296296</v>
      </c>
      <c r="C755" s="1" t="n">
        <v>46119</v>
      </c>
      <c r="D755" t="inlineStr">
        <is>
          <t>GÄVLEBORGS LÄN</t>
        </is>
      </c>
      <c r="E755" t="inlineStr">
        <is>
          <t>SÖDERHAMN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17412-2023</t>
        </is>
      </c>
      <c r="B756" s="1" t="n">
        <v>45035</v>
      </c>
      <c r="C756" s="1" t="n">
        <v>46119</v>
      </c>
      <c r="D756" t="inlineStr">
        <is>
          <t>GÄVLEBORGS LÄN</t>
        </is>
      </c>
      <c r="E756" t="inlineStr">
        <is>
          <t>SÖDERHAMN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50283-2024</t>
        </is>
      </c>
      <c r="B757" s="1" t="n">
        <v>45600.6139699074</v>
      </c>
      <c r="C757" s="1" t="n">
        <v>46119</v>
      </c>
      <c r="D757" t="inlineStr">
        <is>
          <t>GÄVLEBORGS LÄN</t>
        </is>
      </c>
      <c r="E757" t="inlineStr">
        <is>
          <t>SÖDERHAMN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48765-2024</t>
        </is>
      </c>
      <c r="B758" s="1" t="n">
        <v>45593.60655092593</v>
      </c>
      <c r="C758" s="1" t="n">
        <v>46119</v>
      </c>
      <c r="D758" t="inlineStr">
        <is>
          <t>GÄVLEBORGS LÄN</t>
        </is>
      </c>
      <c r="E758" t="inlineStr">
        <is>
          <t>SÖDERHAMN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15881-2025</t>
        </is>
      </c>
      <c r="B759" s="1" t="n">
        <v>45749.39025462963</v>
      </c>
      <c r="C759" s="1" t="n">
        <v>46119</v>
      </c>
      <c r="D759" t="inlineStr">
        <is>
          <t>GÄVLEBORGS LÄN</t>
        </is>
      </c>
      <c r="E759" t="inlineStr">
        <is>
          <t>SÖDERHAMN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20946-2025</t>
        </is>
      </c>
      <c r="B760" s="1" t="n">
        <v>45777.4344212963</v>
      </c>
      <c r="C760" s="1" t="n">
        <v>46119</v>
      </c>
      <c r="D760" t="inlineStr">
        <is>
          <t>GÄVLEBORGS LÄN</t>
        </is>
      </c>
      <c r="E760" t="inlineStr">
        <is>
          <t>SÖDERHAMN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21252-2025</t>
        </is>
      </c>
      <c r="B761" s="1" t="n">
        <v>45779.57425925926</v>
      </c>
      <c r="C761" s="1" t="n">
        <v>46119</v>
      </c>
      <c r="D761" t="inlineStr">
        <is>
          <t>GÄVLEBORGS LÄN</t>
        </is>
      </c>
      <c r="E761" t="inlineStr">
        <is>
          <t>SÖDERHAMN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21327-2025</t>
        </is>
      </c>
      <c r="B762" s="1" t="n">
        <v>45782.35456018519</v>
      </c>
      <c r="C762" s="1" t="n">
        <v>46119</v>
      </c>
      <c r="D762" t="inlineStr">
        <is>
          <t>GÄVLEBORGS LÄN</t>
        </is>
      </c>
      <c r="E762" t="inlineStr">
        <is>
          <t>SÖDERHAMN</t>
        </is>
      </c>
      <c r="F762" t="inlineStr">
        <is>
          <t>Kyrkan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21500-2025</t>
        </is>
      </c>
      <c r="B763" s="1" t="n">
        <v>45782.60820601852</v>
      </c>
      <c r="C763" s="1" t="n">
        <v>46119</v>
      </c>
      <c r="D763" t="inlineStr">
        <is>
          <t>GÄVLEBORGS LÄN</t>
        </is>
      </c>
      <c r="E763" t="inlineStr">
        <is>
          <t>SÖDERHAMN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21538-2025</t>
        </is>
      </c>
      <c r="B764" s="1" t="n">
        <v>45782.65975694444</v>
      </c>
      <c r="C764" s="1" t="n">
        <v>46119</v>
      </c>
      <c r="D764" t="inlineStr">
        <is>
          <t>GÄVLEBORGS LÄN</t>
        </is>
      </c>
      <c r="E764" t="inlineStr">
        <is>
          <t>SÖDERHAMN</t>
        </is>
      </c>
      <c r="G764" t="n">
        <v>15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37916-2024</t>
        </is>
      </c>
      <c r="B765" s="1" t="n">
        <v>45544.46974537037</v>
      </c>
      <c r="C765" s="1" t="n">
        <v>46119</v>
      </c>
      <c r="D765" t="inlineStr">
        <is>
          <t>GÄVLEBORGS LÄN</t>
        </is>
      </c>
      <c r="E765" t="inlineStr">
        <is>
          <t>SÖDERHAMN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47676-2024</t>
        </is>
      </c>
      <c r="B766" s="1" t="n">
        <v>45588.40865740741</v>
      </c>
      <c r="C766" s="1" t="n">
        <v>46119</v>
      </c>
      <c r="D766" t="inlineStr">
        <is>
          <t>GÄVLEBORGS LÄN</t>
        </is>
      </c>
      <c r="E766" t="inlineStr">
        <is>
          <t>SÖDERHAMN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36059-2023</t>
        </is>
      </c>
      <c r="B767" s="1" t="n">
        <v>45149.45503472222</v>
      </c>
      <c r="C767" s="1" t="n">
        <v>46119</v>
      </c>
      <c r="D767" t="inlineStr">
        <is>
          <t>GÄVLEBORGS LÄN</t>
        </is>
      </c>
      <c r="E767" t="inlineStr">
        <is>
          <t>SÖDERHAMN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18189-2024</t>
        </is>
      </c>
      <c r="B768" s="1" t="n">
        <v>45420.65974537037</v>
      </c>
      <c r="C768" s="1" t="n">
        <v>46119</v>
      </c>
      <c r="D768" t="inlineStr">
        <is>
          <t>GÄVLEBORGS LÄN</t>
        </is>
      </c>
      <c r="E768" t="inlineStr">
        <is>
          <t>SÖDERHAMN</t>
        </is>
      </c>
      <c r="F768" t="inlineStr">
        <is>
          <t>Bergvik skog väst AB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23261-2025</t>
        </is>
      </c>
      <c r="B769" s="1" t="n">
        <v>45791.55123842593</v>
      </c>
      <c r="C769" s="1" t="n">
        <v>46119</v>
      </c>
      <c r="D769" t="inlineStr">
        <is>
          <t>GÄVLEBORGS LÄN</t>
        </is>
      </c>
      <c r="E769" t="inlineStr">
        <is>
          <t>SÖDERHAMN</t>
        </is>
      </c>
      <c r="F769" t="inlineStr">
        <is>
          <t>Bergvik skog väst AB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23265-2025</t>
        </is>
      </c>
      <c r="B770" s="1" t="n">
        <v>45791.5553125</v>
      </c>
      <c r="C770" s="1" t="n">
        <v>46119</v>
      </c>
      <c r="D770" t="inlineStr">
        <is>
          <t>GÄVLEBORGS LÄN</t>
        </is>
      </c>
      <c r="E770" t="inlineStr">
        <is>
          <t>SÖDERHAMN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23307-2025</t>
        </is>
      </c>
      <c r="B771" s="1" t="n">
        <v>45791.60163194445</v>
      </c>
      <c r="C771" s="1" t="n">
        <v>46119</v>
      </c>
      <c r="D771" t="inlineStr">
        <is>
          <t>GÄVLEBORGS LÄN</t>
        </is>
      </c>
      <c r="E771" t="inlineStr">
        <is>
          <t>SÖDERHAMN</t>
        </is>
      </c>
      <c r="F771" t="inlineStr">
        <is>
          <t>Bergvik skog väst AB</t>
        </is>
      </c>
      <c r="G771" t="n">
        <v>13.5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23332-2025</t>
        </is>
      </c>
      <c r="B772" s="1" t="n">
        <v>45791.64822916667</v>
      </c>
      <c r="C772" s="1" t="n">
        <v>46119</v>
      </c>
      <c r="D772" t="inlineStr">
        <is>
          <t>GÄVLEBORGS LÄN</t>
        </is>
      </c>
      <c r="E772" t="inlineStr">
        <is>
          <t>SÖDERHAMN</t>
        </is>
      </c>
      <c r="F772" t="inlineStr">
        <is>
          <t>Bergvik skog väst AB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23189-2025</t>
        </is>
      </c>
      <c r="B773" s="1" t="n">
        <v>45791.44717592592</v>
      </c>
      <c r="C773" s="1" t="n">
        <v>46119</v>
      </c>
      <c r="D773" t="inlineStr">
        <is>
          <t>GÄVLEBORGS LÄN</t>
        </is>
      </c>
      <c r="E773" t="inlineStr">
        <is>
          <t>SÖDERHAMN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23822-2025</t>
        </is>
      </c>
      <c r="B774" s="1" t="n">
        <v>45793.58898148148</v>
      </c>
      <c r="C774" s="1" t="n">
        <v>46119</v>
      </c>
      <c r="D774" t="inlineStr">
        <is>
          <t>GÄVLEBORGS LÄN</t>
        </is>
      </c>
      <c r="E774" t="inlineStr">
        <is>
          <t>SÖDERHAMN</t>
        </is>
      </c>
      <c r="F774" t="inlineStr">
        <is>
          <t>Bergvik skog väst AB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23599-2025</t>
        </is>
      </c>
      <c r="B775" s="1" t="n">
        <v>45792.6493287037</v>
      </c>
      <c r="C775" s="1" t="n">
        <v>46119</v>
      </c>
      <c r="D775" t="inlineStr">
        <is>
          <t>GÄVLEBORGS LÄN</t>
        </is>
      </c>
      <c r="E775" t="inlineStr">
        <is>
          <t>SÖDERHAMN</t>
        </is>
      </c>
      <c r="F775" t="inlineStr">
        <is>
          <t>Bergvik skog väst AB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24307-2025</t>
        </is>
      </c>
      <c r="B776" s="1" t="n">
        <v>45797.49787037037</v>
      </c>
      <c r="C776" s="1" t="n">
        <v>46119</v>
      </c>
      <c r="D776" t="inlineStr">
        <is>
          <t>GÄVLEBORGS LÄN</t>
        </is>
      </c>
      <c r="E776" t="inlineStr">
        <is>
          <t>SÖDERHAMN</t>
        </is>
      </c>
      <c r="F776" t="inlineStr">
        <is>
          <t>Bergvik skog väst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20166-2022</t>
        </is>
      </c>
      <c r="B777" s="1" t="n">
        <v>44698</v>
      </c>
      <c r="C777" s="1" t="n">
        <v>46119</v>
      </c>
      <c r="D777" t="inlineStr">
        <is>
          <t>GÄVLEBORGS LÄN</t>
        </is>
      </c>
      <c r="E777" t="inlineStr">
        <is>
          <t>SÖDERHAMN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24305-2025</t>
        </is>
      </c>
      <c r="B778" s="1" t="n">
        <v>45797.49285879629</v>
      </c>
      <c r="C778" s="1" t="n">
        <v>46119</v>
      </c>
      <c r="D778" t="inlineStr">
        <is>
          <t>GÄVLEBORGS LÄN</t>
        </is>
      </c>
      <c r="E778" t="inlineStr">
        <is>
          <t>SÖDERHAMN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34978-2024</t>
        </is>
      </c>
      <c r="B779" s="1" t="n">
        <v>45527.54472222222</v>
      </c>
      <c r="C779" s="1" t="n">
        <v>46119</v>
      </c>
      <c r="D779" t="inlineStr">
        <is>
          <t>GÄVLEBORGS LÄN</t>
        </is>
      </c>
      <c r="E779" t="inlineStr">
        <is>
          <t>SÖDERHAMN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21789-2024</t>
        </is>
      </c>
      <c r="B780" s="1" t="n">
        <v>45442.64026620371</v>
      </c>
      <c r="C780" s="1" t="n">
        <v>46119</v>
      </c>
      <c r="D780" t="inlineStr">
        <is>
          <t>GÄVLEBORGS LÄN</t>
        </is>
      </c>
      <c r="E780" t="inlineStr">
        <is>
          <t>SÖDERHAMN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24206-2025</t>
        </is>
      </c>
      <c r="B781" s="1" t="n">
        <v>45797</v>
      </c>
      <c r="C781" s="1" t="n">
        <v>46119</v>
      </c>
      <c r="D781" t="inlineStr">
        <is>
          <t>GÄVLEBORGS LÄN</t>
        </is>
      </c>
      <c r="E781" t="inlineStr">
        <is>
          <t>SÖDERHAMN</t>
        </is>
      </c>
      <c r="F781" t="inlineStr">
        <is>
          <t>Bergvik skog väst AB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24417-2025</t>
        </is>
      </c>
      <c r="B782" s="1" t="n">
        <v>45797.67623842593</v>
      </c>
      <c r="C782" s="1" t="n">
        <v>46119</v>
      </c>
      <c r="D782" t="inlineStr">
        <is>
          <t>GÄVLEBORGS LÄN</t>
        </is>
      </c>
      <c r="E782" t="inlineStr">
        <is>
          <t>SÖDERHAMN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25900-2024</t>
        </is>
      </c>
      <c r="B783" s="1" t="n">
        <v>45467.55809027778</v>
      </c>
      <c r="C783" s="1" t="n">
        <v>46119</v>
      </c>
      <c r="D783" t="inlineStr">
        <is>
          <t>GÄVLEBORGS LÄN</t>
        </is>
      </c>
      <c r="E783" t="inlineStr">
        <is>
          <t>SÖDERHAMN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31676-2022</t>
        </is>
      </c>
      <c r="B784" s="1" t="n">
        <v>44776</v>
      </c>
      <c r="C784" s="1" t="n">
        <v>46119</v>
      </c>
      <c r="D784" t="inlineStr">
        <is>
          <t>GÄVLEBORGS LÄN</t>
        </is>
      </c>
      <c r="E784" t="inlineStr">
        <is>
          <t>SÖDERHAMN</t>
        </is>
      </c>
      <c r="F784" t="inlineStr">
        <is>
          <t>Bergvik skog väst AB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24610-2025</t>
        </is>
      </c>
      <c r="B785" s="1" t="n">
        <v>45798.58113425926</v>
      </c>
      <c r="C785" s="1" t="n">
        <v>46119</v>
      </c>
      <c r="D785" t="inlineStr">
        <is>
          <t>GÄVLEBORGS LÄN</t>
        </is>
      </c>
      <c r="E785" t="inlineStr">
        <is>
          <t>SÖDERHAMN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17456-2025</t>
        </is>
      </c>
      <c r="B786" s="1" t="n">
        <v>45757</v>
      </c>
      <c r="C786" s="1" t="n">
        <v>46119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25036-2025</t>
        </is>
      </c>
      <c r="B787" s="1" t="n">
        <v>45799.65690972222</v>
      </c>
      <c r="C787" s="1" t="n">
        <v>46119</v>
      </c>
      <c r="D787" t="inlineStr">
        <is>
          <t>GÄVLEBORGS LÄN</t>
        </is>
      </c>
      <c r="E787" t="inlineStr">
        <is>
          <t>SÖDERHAMN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60292-2024</t>
        </is>
      </c>
      <c r="B788" s="1" t="n">
        <v>45643.28773148148</v>
      </c>
      <c r="C788" s="1" t="n">
        <v>46119</v>
      </c>
      <c r="D788" t="inlineStr">
        <is>
          <t>GÄVLEBORGS LÄN</t>
        </is>
      </c>
      <c r="E788" t="inlineStr">
        <is>
          <t>SÖDERHAMN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19188-2024</t>
        </is>
      </c>
      <c r="B789" s="1" t="n">
        <v>45428.48818287037</v>
      </c>
      <c r="C789" s="1" t="n">
        <v>46119</v>
      </c>
      <c r="D789" t="inlineStr">
        <is>
          <t>GÄVLEBORGS LÄN</t>
        </is>
      </c>
      <c r="E789" t="inlineStr">
        <is>
          <t>SÖDERHAMN</t>
        </is>
      </c>
      <c r="F789" t="inlineStr">
        <is>
          <t>Bergvik skog väst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54171-2024</t>
        </is>
      </c>
      <c r="B790" s="1" t="n">
        <v>45616.62708333333</v>
      </c>
      <c r="C790" s="1" t="n">
        <v>46119</v>
      </c>
      <c r="D790" t="inlineStr">
        <is>
          <t>GÄVLEBORGS LÄN</t>
        </is>
      </c>
      <c r="E790" t="inlineStr">
        <is>
          <t>SÖDERHAMN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26266-2025</t>
        </is>
      </c>
      <c r="B791" s="1" t="n">
        <v>45805.5902199074</v>
      </c>
      <c r="C791" s="1" t="n">
        <v>46119</v>
      </c>
      <c r="D791" t="inlineStr">
        <is>
          <t>GÄVLEBORGS LÄN</t>
        </is>
      </c>
      <c r="E791" t="inlineStr">
        <is>
          <t>SÖDERHAMN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26187-2025</t>
        </is>
      </c>
      <c r="B792" s="1" t="n">
        <v>45805.48078703704</v>
      </c>
      <c r="C792" s="1" t="n">
        <v>46119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62903-2023</t>
        </is>
      </c>
      <c r="B793" s="1" t="n">
        <v>45272</v>
      </c>
      <c r="C793" s="1" t="n">
        <v>46119</v>
      </c>
      <c r="D793" t="inlineStr">
        <is>
          <t>GÄVLEBORGS LÄN</t>
        </is>
      </c>
      <c r="E793" t="inlineStr">
        <is>
          <t>SÖDERHAMN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27024-2025</t>
        </is>
      </c>
      <c r="B794" s="1" t="n">
        <v>45811.57541666667</v>
      </c>
      <c r="C794" s="1" t="n">
        <v>46119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25029-2025</t>
        </is>
      </c>
      <c r="B795" s="1" t="n">
        <v>45799.65251157407</v>
      </c>
      <c r="C795" s="1" t="n">
        <v>46119</v>
      </c>
      <c r="D795" t="inlineStr">
        <is>
          <t>GÄVLEBORGS LÄN</t>
        </is>
      </c>
      <c r="E795" t="inlineStr">
        <is>
          <t>SÖDERHAMN</t>
        </is>
      </c>
      <c r="F795" t="inlineStr">
        <is>
          <t>Bergvik skog väst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54799-2022</t>
        </is>
      </c>
      <c r="B796" s="1" t="n">
        <v>44883</v>
      </c>
      <c r="C796" s="1" t="n">
        <v>46119</v>
      </c>
      <c r="D796" t="inlineStr">
        <is>
          <t>GÄVLEBORGS LÄN</t>
        </is>
      </c>
      <c r="E796" t="inlineStr">
        <is>
          <t>SÖDERHAMN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26805-2025</t>
        </is>
      </c>
      <c r="B797" s="1" t="n">
        <v>45810.61028935185</v>
      </c>
      <c r="C797" s="1" t="n">
        <v>46119</v>
      </c>
      <c r="D797" t="inlineStr">
        <is>
          <t>GÄVLEBORGS LÄN</t>
        </is>
      </c>
      <c r="E797" t="inlineStr">
        <is>
          <t>SÖDERHAMN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14757-2024</t>
        </is>
      </c>
      <c r="B798" s="1" t="n">
        <v>45397</v>
      </c>
      <c r="C798" s="1" t="n">
        <v>46119</v>
      </c>
      <c r="D798" t="inlineStr">
        <is>
          <t>GÄVLEBORGS LÄN</t>
        </is>
      </c>
      <c r="E798" t="inlineStr">
        <is>
          <t>SÖDERHAMN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18466-2025</t>
        </is>
      </c>
      <c r="B799" s="1" t="n">
        <v>45762.70567129629</v>
      </c>
      <c r="C799" s="1" t="n">
        <v>46119</v>
      </c>
      <c r="D799" t="inlineStr">
        <is>
          <t>GÄVLEBORGS LÄN</t>
        </is>
      </c>
      <c r="E799" t="inlineStr">
        <is>
          <t>SÖDERHAMN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27285-2025</t>
        </is>
      </c>
      <c r="B800" s="1" t="n">
        <v>45812.55133101852</v>
      </c>
      <c r="C800" s="1" t="n">
        <v>46119</v>
      </c>
      <c r="D800" t="inlineStr">
        <is>
          <t>GÄVLEBORGS LÄN</t>
        </is>
      </c>
      <c r="E800" t="inlineStr">
        <is>
          <t>SÖDERHAMN</t>
        </is>
      </c>
      <c r="F800" t="inlineStr">
        <is>
          <t>Bergvik skog väst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28003-2025</t>
        </is>
      </c>
      <c r="B801" s="1" t="n">
        <v>45817.59530092592</v>
      </c>
      <c r="C801" s="1" t="n">
        <v>46119</v>
      </c>
      <c r="D801" t="inlineStr">
        <is>
          <t>GÄVLEBORGS LÄN</t>
        </is>
      </c>
      <c r="E801" t="inlineStr">
        <is>
          <t>SÖDERHAMN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29036-2025</t>
        </is>
      </c>
      <c r="B802" s="1" t="n">
        <v>45821.44332175926</v>
      </c>
      <c r="C802" s="1" t="n">
        <v>46119</v>
      </c>
      <c r="D802" t="inlineStr">
        <is>
          <t>GÄVLEBORGS LÄN</t>
        </is>
      </c>
      <c r="E802" t="inlineStr">
        <is>
          <t>SÖDERHAMN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29456-2025</t>
        </is>
      </c>
      <c r="B803" s="1" t="n">
        <v>45824.6874537037</v>
      </c>
      <c r="C803" s="1" t="n">
        <v>46119</v>
      </c>
      <c r="D803" t="inlineStr">
        <is>
          <t>GÄVLEBORGS LÄN</t>
        </is>
      </c>
      <c r="E803" t="inlineStr">
        <is>
          <t>SÖDERHAMN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29459-2025</t>
        </is>
      </c>
      <c r="B804" s="1" t="n">
        <v>45824.69475694445</v>
      </c>
      <c r="C804" s="1" t="n">
        <v>46119</v>
      </c>
      <c r="D804" t="inlineStr">
        <is>
          <t>GÄVLEBORGS LÄN</t>
        </is>
      </c>
      <c r="E804" t="inlineStr">
        <is>
          <t>SÖDERHAMN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29834-2025</t>
        </is>
      </c>
      <c r="B805" s="1" t="n">
        <v>45825.93572916667</v>
      </c>
      <c r="C805" s="1" t="n">
        <v>46119</v>
      </c>
      <c r="D805" t="inlineStr">
        <is>
          <t>GÄVLEBORGS LÄN</t>
        </is>
      </c>
      <c r="E805" t="inlineStr">
        <is>
          <t>SÖDERHAMN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29957-2025</t>
        </is>
      </c>
      <c r="B806" s="1" t="n">
        <v>45826.47090277778</v>
      </c>
      <c r="C806" s="1" t="n">
        <v>46119</v>
      </c>
      <c r="D806" t="inlineStr">
        <is>
          <t>GÄVLEBORGS LÄN</t>
        </is>
      </c>
      <c r="E806" t="inlineStr">
        <is>
          <t>SÖDERHAMN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30058-2025</t>
        </is>
      </c>
      <c r="B807" s="1" t="n">
        <v>45826.60596064815</v>
      </c>
      <c r="C807" s="1" t="n">
        <v>46119</v>
      </c>
      <c r="D807" t="inlineStr">
        <is>
          <t>GÄVLEBORGS LÄN</t>
        </is>
      </c>
      <c r="E807" t="inlineStr">
        <is>
          <t>SÖDERHAMN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29835-2025</t>
        </is>
      </c>
      <c r="B808" s="1" t="n">
        <v>45825.94304398148</v>
      </c>
      <c r="C808" s="1" t="n">
        <v>46119</v>
      </c>
      <c r="D808" t="inlineStr">
        <is>
          <t>GÄVLEBORGS LÄN</t>
        </is>
      </c>
      <c r="E808" t="inlineStr">
        <is>
          <t>SÖDERHAMN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50268-2024</t>
        </is>
      </c>
      <c r="B809" s="1" t="n">
        <v>45600.58967592593</v>
      </c>
      <c r="C809" s="1" t="n">
        <v>46119</v>
      </c>
      <c r="D809" t="inlineStr">
        <is>
          <t>GÄVLEBORGS LÄN</t>
        </is>
      </c>
      <c r="E809" t="inlineStr">
        <is>
          <t>SÖDERHAMN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32050-2025</t>
        </is>
      </c>
      <c r="B810" s="1" t="n">
        <v>45835.44179398148</v>
      </c>
      <c r="C810" s="1" t="n">
        <v>46119</v>
      </c>
      <c r="D810" t="inlineStr">
        <is>
          <t>GÄVLEBORGS LÄN</t>
        </is>
      </c>
      <c r="E810" t="inlineStr">
        <is>
          <t>SÖDERHAMN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33391-2025</t>
        </is>
      </c>
      <c r="B811" s="1" t="n">
        <v>45841.40766203704</v>
      </c>
      <c r="C811" s="1" t="n">
        <v>46119</v>
      </c>
      <c r="D811" t="inlineStr">
        <is>
          <t>GÄVLEBORGS LÄN</t>
        </is>
      </c>
      <c r="E811" t="inlineStr">
        <is>
          <t>SÖDERHAMN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33399-2025</t>
        </is>
      </c>
      <c r="B812" s="1" t="n">
        <v>45841.42106481481</v>
      </c>
      <c r="C812" s="1" t="n">
        <v>46119</v>
      </c>
      <c r="D812" t="inlineStr">
        <is>
          <t>GÄVLEBORGS LÄN</t>
        </is>
      </c>
      <c r="E812" t="inlineStr">
        <is>
          <t>SÖDERHAMN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33395-2025</t>
        </is>
      </c>
      <c r="B813" s="1" t="n">
        <v>45841.41876157407</v>
      </c>
      <c r="C813" s="1" t="n">
        <v>46119</v>
      </c>
      <c r="D813" t="inlineStr">
        <is>
          <t>GÄVLEBORGS LÄN</t>
        </is>
      </c>
      <c r="E813" t="inlineStr">
        <is>
          <t>SÖDERHAMN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20717-2024</t>
        </is>
      </c>
      <c r="B814" s="1" t="n">
        <v>45436.6455324074</v>
      </c>
      <c r="C814" s="1" t="n">
        <v>46119</v>
      </c>
      <c r="D814" t="inlineStr">
        <is>
          <t>GÄVLEBORGS LÄN</t>
        </is>
      </c>
      <c r="E814" t="inlineStr">
        <is>
          <t>SÖDERHAMN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33942-2025</t>
        </is>
      </c>
      <c r="B815" s="1" t="n">
        <v>45842.6433912037</v>
      </c>
      <c r="C815" s="1" t="n">
        <v>46119</v>
      </c>
      <c r="D815" t="inlineStr">
        <is>
          <t>GÄVLEBORGS LÄN</t>
        </is>
      </c>
      <c r="E815" t="inlineStr">
        <is>
          <t>SÖDERHAMN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28062-2025</t>
        </is>
      </c>
      <c r="B816" s="1" t="n">
        <v>45817</v>
      </c>
      <c r="C816" s="1" t="n">
        <v>46119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33941-2025</t>
        </is>
      </c>
      <c r="B817" s="1" t="n">
        <v>45842.64204861111</v>
      </c>
      <c r="C817" s="1" t="n">
        <v>46119</v>
      </c>
      <c r="D817" t="inlineStr">
        <is>
          <t>GÄVLEBORGS LÄN</t>
        </is>
      </c>
      <c r="E817" t="inlineStr">
        <is>
          <t>SÖDERHAMN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34280-2025</t>
        </is>
      </c>
      <c r="B818" s="1" t="n">
        <v>45846.26282407407</v>
      </c>
      <c r="C818" s="1" t="n">
        <v>46119</v>
      </c>
      <c r="D818" t="inlineStr">
        <is>
          <t>GÄVLEBORGS LÄN</t>
        </is>
      </c>
      <c r="E818" t="inlineStr">
        <is>
          <t>SÖDERHAMN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2026-04-07T10:46:19Z</dcterms:created>
  <dcterms:modified xmlns:dcterms="http://purl.org/dc/terms/" xmlns:xsi="http://www.w3.org/2001/XMLSchema-instance" xsi:type="dcterms:W3CDTF">2026-04-07T10:46:20Z</dcterms:modified>
</cp:coreProperties>
</file>