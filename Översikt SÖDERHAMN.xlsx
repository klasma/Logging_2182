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46268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46268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46268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46268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46268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46268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46268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46268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46268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46268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46268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46268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46268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46268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18.6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46268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46268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46268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46268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46268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46268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46268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41258-2022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44826</v>
      </c>
      <c r="E33" s="1" t="n">
        <v>46268</v>
      </c>
      <c r="F33" t="inlineStr">
        <is>
          <t>GÄVLEBORGS LÄN</t>
        </is>
      </c>
      <c r="G33" t="inlineStr">
        <is>
          <t>SÖDERHAMN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Rosenticka</t>
        </is>
      </c>
      <c r="W33">
        <f>HYPERLINK("https://klasma.github.io/Logging_2182/artfynd/A 41258-2022 artfynd.xlsx", "A 41258-2022")</f>
        <v/>
      </c>
      <c r="X33">
        <f>HYPERLINK("https://klasma.github.io/Logging_2182/kartor/A 41258-2022 karta.png", "A 41258-2022")</f>
        <v/>
      </c>
      <c r="Y33">
        <f>HYPERLINK("https://klasma.github.io/Logging_2182/kartor_geotiff/A 41258-2022 georefererad karta.tif", "A 41258-2022")</f>
        <v/>
      </c>
      <c r="AA33">
        <f>HYPERLINK("https://klasma.github.io/Logging_2182/klagomål/A 41258-2022 FSC-klagomål.docx", "A 41258-2022")</f>
        <v/>
      </c>
      <c r="AB33">
        <f>HYPERLINK("https://klasma.github.io/Logging_2182/klagomålsmail/A 41258-2022 FSC-klagomål mail.docx", "A 41258-2022")</f>
        <v/>
      </c>
      <c r="AC33">
        <f>HYPERLINK("https://klasma.github.io/Logging_2182/tillsyn/A 41258-2022 tillsynsbegäran.docx", "A 41258-2022")</f>
        <v/>
      </c>
      <c r="AD33">
        <f>HYPERLINK("https://klasma.github.io/Logging_2182/tillsynsmail/A 41258-2022 tillsynsbegäran mail.docx", "A 41258-2022")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46268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46052</v>
      </c>
      <c r="E35" s="1" t="n">
        <v>46268</v>
      </c>
      <c r="F35" t="inlineStr">
        <is>
          <t>GÄVLEBORGS LÄN</t>
        </is>
      </c>
      <c r="G35" t="inlineStr">
        <is>
          <t>SÖDERHAMN</t>
        </is>
      </c>
      <c r="I35" t="n">
        <v>2.9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Barkticka</t>
        </is>
      </c>
      <c r="W35">
        <f>HYPERLINK("https://klasma.github.io/Logging_2182/artfynd/A 6060-2026 artfynd.xlsx", "A 6060-2026")</f>
        <v/>
      </c>
      <c r="X35">
        <f>HYPERLINK("https://klasma.github.io/Logging_2182/kartor/A 6060-2026 karta.png", "A 6060-2026")</f>
        <v/>
      </c>
      <c r="Y35">
        <f>HYPERLINK("https://klasma.github.io/Logging_2182/kartor_geotiff/A 6060-2026 georefererad karta.tif", "A 6060-2026")</f>
        <v/>
      </c>
      <c r="AA35">
        <f>HYPERLINK("https://klasma.github.io/Logging_2182/klagomål/A 6060-2026 FSC-klagomål.docx", "A 6060-2026")</f>
        <v/>
      </c>
      <c r="AB35">
        <f>HYPERLINK("https://klasma.github.io/Logging_2182/klagomålsmail/A 6060-2026 FSC-klagomål mail.docx", "A 6060-2026")</f>
        <v/>
      </c>
      <c r="AC35">
        <f>HYPERLINK("https://klasma.github.io/Logging_2182/tillsyn/A 6060-2026 tillsynsbegäran.docx", "A 6060-2026")</f>
        <v/>
      </c>
      <c r="AD35">
        <f>HYPERLINK("https://klasma.github.io/Logging_2182/tillsynsmail/A 6060-2026 tillsynsbegäran mail.docx", "A 6060-2026")</f>
        <v/>
      </c>
    </row>
    <row r="36" ht="15" customHeight="1">
      <c r="A36" t="inlineStr">
        <is>
          <t>A 5946-2026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46268</v>
      </c>
      <c r="F36" t="inlineStr">
        <is>
          <t>GÄVLEBORGS LÄN</t>
        </is>
      </c>
      <c r="G36" t="inlineStr">
        <is>
          <t>SÖDERHAMN</t>
        </is>
      </c>
      <c r="I36" t="n">
        <v>8.800000000000001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aspticka</t>
        </is>
      </c>
      <c r="W36">
        <f>HYPERLINK("https://klasma.github.io/Logging_2182/artfynd/A 5946-2026 artfynd.xlsx", "A 5946-2026")</f>
        <v/>
      </c>
      <c r="X36">
        <f>HYPERLINK("https://klasma.github.io/Logging_2182/kartor/A 5946-2026 karta.png", "A 5946-2026")</f>
        <v/>
      </c>
      <c r="Y36">
        <f>HYPERLINK("https://klasma.github.io/Logging_2182/kartor_geotiff/A 5946-2026 georefererad karta.tif", "A 5946-2026")</f>
        <v/>
      </c>
      <c r="AA36">
        <f>HYPERLINK("https://klasma.github.io/Logging_2182/klagomål/A 5946-2026 FSC-klagomål.docx", "A 5946-2026")</f>
        <v/>
      </c>
      <c r="AB36">
        <f>HYPERLINK("https://klasma.github.io/Logging_2182/klagomålsmail/A 5946-2026 FSC-klagomål mail.docx", "A 5946-2026")</f>
        <v/>
      </c>
      <c r="AC36">
        <f>HYPERLINK("https://klasma.github.io/Logging_2182/tillsyn/A 5946-2026 tillsynsbegäran.docx", "A 5946-2026")</f>
        <v/>
      </c>
      <c r="AD36">
        <f>HYPERLINK("https://klasma.github.io/Logging_2182/tillsynsmail/A 5946-2026 tillsynsbegäran mail.docx", "A 5946-2026")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46268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38545-2025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46268</v>
      </c>
      <c r="F38" t="inlineStr">
        <is>
          <t>GÄVLEBORGS LÄN</t>
        </is>
      </c>
      <c r="G38" t="inlineStr">
        <is>
          <t>SÖDERHAMN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HYPERLINK("https://klasma.github.io/Logging_2182/artfynd/A 38545-2025 artfynd.xlsx", "A 38545-2025")</f>
        <v/>
      </c>
      <c r="X38">
        <f>HYPERLINK("https://klasma.github.io/Logging_2182/kartor/A 38545-2025 karta.png", "A 38545-2025")</f>
        <v/>
      </c>
      <c r="Y38">
        <f>HYPERLINK("https://klasma.github.io/Logging_2182/kartor_geotiff/A 38545-2025 georefererad karta.tif", "A 38545-2025")</f>
        <v/>
      </c>
      <c r="Z38">
        <f>HYPERLINK("https://klasma.github.io/Logging_2182/knärot/A 38545-2025 karta knärot.png", "A 38545-2025")</f>
        <v/>
      </c>
      <c r="AA38">
        <f>HYPERLINK("https://klasma.github.io/Logging_2182/klagomål/A 38545-2025 FSC-klagomål.docx", "A 38545-2025")</f>
        <v/>
      </c>
      <c r="AB38">
        <f>HYPERLINK("https://klasma.github.io/Logging_2182/klagomålsmail/A 38545-2025 FSC-klagomål mail.docx", "A 38545-2025")</f>
        <v/>
      </c>
      <c r="AC38">
        <f>HYPERLINK("https://klasma.github.io/Logging_2182/tillsyn/A 38545-2025 tillsynsbegäran.docx", "A 38545-2025")</f>
        <v/>
      </c>
      <c r="AD38">
        <f>HYPERLINK("https://klasma.github.io/Logging_2182/tillsynsmail/A 38545-2025 tillsynsbegäran mail.docx", "A 38545-2025")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46268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11791-2026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46085</v>
      </c>
      <c r="E40" s="1" t="n">
        <v>46268</v>
      </c>
      <c r="F40" t="inlineStr">
        <is>
          <t>GÄVLEBORGS LÄN</t>
        </is>
      </c>
      <c r="G40" t="inlineStr">
        <is>
          <t>SÖDERHAMN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HYPERLINK("https://klasma.github.io/Logging_2182/artfynd/A 11791-2026 artfynd.xlsx", "A 11791-2026")</f>
        <v/>
      </c>
      <c r="X40">
        <f>HYPERLINK("https://klasma.github.io/Logging_2182/kartor/A 11791-2026 karta.png", "A 11791-2026")</f>
        <v/>
      </c>
      <c r="Y40">
        <f>HYPERLINK("https://klasma.github.io/Logging_2182/kartor_geotiff/A 11791-2026 georefererad karta.tif", "A 11791-2026")</f>
        <v/>
      </c>
      <c r="AA40">
        <f>HYPERLINK("https://klasma.github.io/Logging_2182/klagomål/A 11791-2026 FSC-klagomål.docx", "A 11791-2026")</f>
        <v/>
      </c>
      <c r="AB40">
        <f>HYPERLINK("https://klasma.github.io/Logging_2182/klagomålsmail/A 11791-2026 FSC-klagomål mail.docx", "A 11791-2026")</f>
        <v/>
      </c>
      <c r="AC40">
        <f>HYPERLINK("https://klasma.github.io/Logging_2182/tillsyn/A 11791-2026 tillsynsbegäran.docx", "A 11791-2026")</f>
        <v/>
      </c>
      <c r="AD40">
        <f>HYPERLINK("https://klasma.github.io/Logging_2182/tillsynsmail/A 11791-2026 tillsynsbegäran mail.docx", "A 11791-2026")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46268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Brunfläckig pärlemorfjäril</t>
        </is>
      </c>
      <c r="W41">
        <f>HYPERLINK("https://klasma.github.io/Logging_2182/artfynd/A 21316-2024 artfynd.xlsx", "A 21316-2024")</f>
        <v/>
      </c>
      <c r="X41">
        <f>HYPERLINK("https://klasma.github.io/Logging_2182/kartor/A 21316-2024 karta.png", "A 21316-2024")</f>
        <v/>
      </c>
      <c r="Y41">
        <f>HYPERLINK("https://klasma.github.io/Logging_2182/kartor_geotiff/A 21316-2024 georefererad karta.tif", "A 21316-2024")</f>
        <v/>
      </c>
      <c r="AA41">
        <f>HYPERLINK("https://klasma.github.io/Logging_2182/klagomål/A 21316-2024 FSC-klagomål.docx", "A 21316-2024")</f>
        <v/>
      </c>
      <c r="AB41">
        <f>HYPERLINK("https://klasma.github.io/Logging_2182/klagomålsmail/A 21316-2024 FSC-klagomål mail.docx", "A 21316-2024")</f>
        <v/>
      </c>
      <c r="AC41">
        <f>HYPERLINK("https://klasma.github.io/Logging_2182/tillsyn/A 21316-2024 tillsynsbegäran.docx", "A 21316-2024")</f>
        <v/>
      </c>
      <c r="AD41">
        <f>HYPERLINK("https://klasma.github.io/Logging_2182/tillsynsmail/A 21316-2024 tillsynsbegäran mail.docx", "A 21316-2024")</f>
        <v/>
      </c>
    </row>
    <row r="42" ht="15" customHeight="1">
      <c r="A42" t="inlineStr">
        <is>
          <t>A 59848-2025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46268</v>
      </c>
      <c r="F42" t="inlineStr">
        <is>
          <t>GÄVLEBORGS LÄN</t>
        </is>
      </c>
      <c r="G42" t="inlineStr">
        <is>
          <t>SÖDERHAMN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59848-2025 artfynd.xlsx", "A 59848-2025")</f>
        <v/>
      </c>
      <c r="X42">
        <f>HYPERLINK("https://klasma.github.io/Logging_2182/kartor/A 59848-2025 karta.png", "A 59848-2025")</f>
        <v/>
      </c>
      <c r="Y42">
        <f>HYPERLINK("https://klasma.github.io/Logging_2182/kartor_geotiff/A 59848-2025 georefererad karta.tif", "A 59848-2025")</f>
        <v/>
      </c>
      <c r="AA42">
        <f>HYPERLINK("https://klasma.github.io/Logging_2182/klagomål/A 59848-2025 FSC-klagomål.docx", "A 59848-2025")</f>
        <v/>
      </c>
      <c r="AB42">
        <f>HYPERLINK("https://klasma.github.io/Logging_2182/klagomålsmail/A 59848-2025 FSC-klagomål mail.docx", "A 59848-2025")</f>
        <v/>
      </c>
      <c r="AC42">
        <f>HYPERLINK("https://klasma.github.io/Logging_2182/tillsyn/A 59848-2025 tillsynsbegäran.docx", "A 59848-2025")</f>
        <v/>
      </c>
      <c r="AD42">
        <f>HYPERLINK("https://klasma.github.io/Logging_2182/tillsynsmail/A 59848-2025 tillsynsbegäran mail.docx", "A 59848-2025")</f>
        <v/>
      </c>
    </row>
    <row r="43" ht="15" customHeight="1">
      <c r="A43" t="inlineStr">
        <is>
          <t>A 60301-2025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46268</v>
      </c>
      <c r="F43" t="inlineStr">
        <is>
          <t>GÄVLEBORGS LÄN</t>
        </is>
      </c>
      <c r="G43" t="inlineStr">
        <is>
          <t>SÖDERHAMN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HYPERLINK("https://klasma.github.io/Logging_2182/artfynd/A 60301-2025 artfynd.xlsx", "A 60301-2025")</f>
        <v/>
      </c>
      <c r="X43">
        <f>HYPERLINK("https://klasma.github.io/Logging_2182/kartor/A 60301-2025 karta.png", "A 60301-2025")</f>
        <v/>
      </c>
      <c r="Y43">
        <f>HYPERLINK("https://klasma.github.io/Logging_2182/kartor_geotiff/A 60301-2025 georefererad karta.tif", "A 60301-2025")</f>
        <v/>
      </c>
      <c r="AA43">
        <f>HYPERLINK("https://klasma.github.io/Logging_2182/klagomål/A 60301-2025 FSC-klagomål.docx", "A 60301-2025")</f>
        <v/>
      </c>
      <c r="AB43">
        <f>HYPERLINK("https://klasma.github.io/Logging_2182/klagomålsmail/A 60301-2025 FSC-klagomål mail.docx", "A 60301-2025")</f>
        <v/>
      </c>
      <c r="AC43">
        <f>HYPERLINK("https://klasma.github.io/Logging_2182/tillsyn/A 60301-2025 tillsynsbegäran.docx", "A 60301-2025")</f>
        <v/>
      </c>
      <c r="AD43">
        <f>HYPERLINK("https://klasma.github.io/Logging_2182/tillsynsmail/A 60301-2025 tillsynsbegäran mail.docx", "A 60301-2025")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46268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40097-2024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46268</v>
      </c>
      <c r="F45" t="inlineStr">
        <is>
          <t>GÄVLEBORGS LÄN</t>
        </is>
      </c>
      <c r="G45" t="inlineStr">
        <is>
          <t>SÖDERHAMN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40097-2024 artfynd.xlsx", "A 40097-2024")</f>
        <v/>
      </c>
      <c r="X45">
        <f>HYPERLINK("https://klasma.github.io/Logging_2182/kartor/A 40097-2024 karta.png", "A 40097-2024")</f>
        <v/>
      </c>
      <c r="Y45">
        <f>HYPERLINK("https://klasma.github.io/Logging_2182/kartor_geotiff/A 40097-2024 georefererad karta.tif", "A 40097-2024")</f>
        <v/>
      </c>
      <c r="AA45">
        <f>HYPERLINK("https://klasma.github.io/Logging_2182/klagomål/A 40097-2024 FSC-klagomål.docx", "A 40097-2024")</f>
        <v/>
      </c>
      <c r="AB45">
        <f>HYPERLINK("https://klasma.github.io/Logging_2182/klagomålsmail/A 40097-2024 FSC-klagomål mail.docx", "A 40097-2024")</f>
        <v/>
      </c>
      <c r="AC45">
        <f>HYPERLINK("https://klasma.github.io/Logging_2182/tillsyn/A 40097-2024 tillsynsbegäran.docx", "A 40097-2024")</f>
        <v/>
      </c>
      <c r="AD45">
        <f>HYPERLINK("https://klasma.github.io/Logging_2182/tillsynsmail/A 40097-2024 tillsynsbegäran mail.docx", "A 40097-2024")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46268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46268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55768-2025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45972</v>
      </c>
      <c r="E48" s="1" t="n">
        <v>46268</v>
      </c>
      <c r="F48" t="inlineStr">
        <is>
          <t>GÄVLEBORGS LÄN</t>
        </is>
      </c>
      <c r="G48" t="inlineStr">
        <is>
          <t>SÖDERHAMN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Sydlig ladlav</t>
        </is>
      </c>
      <c r="W48">
        <f>HYPERLINK("https://klasma.github.io/Logging_2182/artfynd/A 55768-2025 artfynd.xlsx", "A 55768-2025")</f>
        <v/>
      </c>
      <c r="X48">
        <f>HYPERLINK("https://klasma.github.io/Logging_2182/kartor/A 55768-2025 karta.png", "A 55768-2025")</f>
        <v/>
      </c>
      <c r="Y48">
        <f>HYPERLINK("https://klasma.github.io/Logging_2182/kartor_geotiff/A 55768-2025 georefererad karta.tif", "A 55768-2025")</f>
        <v/>
      </c>
      <c r="AA48">
        <f>HYPERLINK("https://klasma.github.io/Logging_2182/klagomål/A 55768-2025 FSC-klagomål.docx", "A 55768-2025")</f>
        <v/>
      </c>
      <c r="AB48">
        <f>HYPERLINK("https://klasma.github.io/Logging_2182/klagomålsmail/A 55768-2025 FSC-klagomål mail.docx", "A 55768-2025")</f>
        <v/>
      </c>
      <c r="AC48">
        <f>HYPERLINK("https://klasma.github.io/Logging_2182/tillsyn/A 55768-2025 tillsynsbegäran.docx", "A 55768-2025")</f>
        <v/>
      </c>
      <c r="AD48">
        <f>HYPERLINK("https://klasma.github.io/Logging_2182/tillsynsmail/A 55768-2025 tillsynsbegäran mail.docx", "A 55768-2025")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46268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HYPERLINK("https://klasma.github.io/Logging_2182/artfynd/A 2755-2022 artfynd.xlsx", "A 2755-2022")</f>
        <v/>
      </c>
      <c r="X49">
        <f>HYPERLINK("https://klasma.github.io/Logging_2182/kartor/A 2755-2022 karta.png", "A 2755-2022")</f>
        <v/>
      </c>
      <c r="Y49">
        <f>HYPERLINK("https://klasma.github.io/Logging_2182/kartor_geotiff/A 2755-2022 georefererad karta.tif", "A 2755-2022")</f>
        <v/>
      </c>
      <c r="AA49">
        <f>HYPERLINK("https://klasma.github.io/Logging_2182/klagomål/A 2755-2022 FSC-klagomål.docx", "A 2755-2022")</f>
        <v/>
      </c>
      <c r="AB49">
        <f>HYPERLINK("https://klasma.github.io/Logging_2182/klagomålsmail/A 2755-2022 FSC-klagomål mail.docx", "A 2755-2022")</f>
        <v/>
      </c>
      <c r="AC49">
        <f>HYPERLINK("https://klasma.github.io/Logging_2182/tillsyn/A 2755-2022 tillsynsbegäran.docx", "A 2755-2022")</f>
        <v/>
      </c>
      <c r="AD49">
        <f>HYPERLINK("https://klasma.github.io/Logging_2182/tillsynsmail/A 2755-2022 tillsynsbegäran mail.docx", "A 2755-2022")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46268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46268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46268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46268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46268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46268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46268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46268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46268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46268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46268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46268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46268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46268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46268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46268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46268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46268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46268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46268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46268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46268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46268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46268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46268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46268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46268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46268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46268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46268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46268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46268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46268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46268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46268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46268</v>
      </c>
      <c r="F85" t="inlineStr">
        <is>
          <t>GÄVLEBORGS LÄN</t>
        </is>
      </c>
      <c r="G85" t="inlineStr">
        <is>
          <t>SÖDERHAMN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46268</v>
      </c>
      <c r="F86" t="inlineStr">
        <is>
          <t>GÄVLEBORGS LÄN</t>
        </is>
      </c>
      <c r="G86" t="inlineStr">
        <is>
          <t>SÖDERHAMN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46268</v>
      </c>
      <c r="F87" t="inlineStr">
        <is>
          <t>GÄVLEBORGS LÄN</t>
        </is>
      </c>
      <c r="G87" t="inlineStr">
        <is>
          <t>SÖDERHAMN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44881</v>
      </c>
      <c r="E88" s="1" t="n">
        <v>46268</v>
      </c>
      <c r="F88" t="inlineStr">
        <is>
          <t>GÄVLEBORGS LÄN</t>
        </is>
      </c>
      <c r="G88" t="inlineStr">
        <is>
          <t>SÖDERHAMN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46268</v>
      </c>
      <c r="F89" t="inlineStr">
        <is>
          <t>GÄVLEBORGS LÄN</t>
        </is>
      </c>
      <c r="G89" t="inlineStr">
        <is>
          <t>SÖDERHAMN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46268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46268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46268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46268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46268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27050-2024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46268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10.8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46268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46268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46268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46268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46268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46268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46268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46268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46268</v>
      </c>
      <c r="F104" t="inlineStr">
        <is>
          <t>GÄVLEBORGS LÄN</t>
        </is>
      </c>
      <c r="G104" t="inlineStr">
        <is>
          <t>SÖDERHAMN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46268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46268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46268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46026</v>
      </c>
      <c r="E108" s="1" t="n">
        <v>46268</v>
      </c>
      <c r="F108" t="inlineStr">
        <is>
          <t>GÄVLEBORGS LÄN</t>
        </is>
      </c>
      <c r="G108" t="inlineStr">
        <is>
          <t>SÖDERHAMN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46268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46268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46268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46268</v>
      </c>
      <c r="F112" t="inlineStr">
        <is>
          <t>GÄVLEBORGS LÄN</t>
        </is>
      </c>
      <c r="G112" t="inlineStr">
        <is>
          <t>SÖDERHAMN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44665</v>
      </c>
      <c r="E113" s="1" t="n">
        <v>46268</v>
      </c>
      <c r="F113" t="inlineStr">
        <is>
          <t>GÄVLEBORGS LÄN</t>
        </is>
      </c>
      <c r="G113" t="inlineStr">
        <is>
          <t>SÖDERHAMN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46268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46268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38111-2024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46268</v>
      </c>
      <c r="F116" t="inlineStr">
        <is>
          <t>GÄVLEBORGS LÄN</t>
        </is>
      </c>
      <c r="G116" t="inlineStr">
        <is>
          <t>SÖDERHAMN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46030</v>
      </c>
      <c r="E117" s="1" t="n">
        <v>46268</v>
      </c>
      <c r="F117" t="inlineStr">
        <is>
          <t>GÄVLEBORGS LÄN</t>
        </is>
      </c>
      <c r="G117" t="inlineStr">
        <is>
          <t>SÖDERHAMN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46268</v>
      </c>
      <c r="F118" t="inlineStr">
        <is>
          <t>GÄVLEBORGS LÄN</t>
        </is>
      </c>
      <c r="G118" t="inlineStr">
        <is>
          <t>SÖDERHAMN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46268</v>
      </c>
      <c r="F119" t="inlineStr">
        <is>
          <t>GÄVLEBORGS LÄN</t>
        </is>
      </c>
      <c r="G119" t="inlineStr">
        <is>
          <t>SÖDERHAMN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45252</v>
      </c>
      <c r="E120" s="1" t="n">
        <v>46268</v>
      </c>
      <c r="F120" t="inlineStr">
        <is>
          <t>GÄVLEBORGS LÄN</t>
        </is>
      </c>
      <c r="G120" t="inlineStr">
        <is>
          <t>SÖDERHAMN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46268</v>
      </c>
      <c r="F121" t="inlineStr">
        <is>
          <t>GÄVLEBORGS LÄN</t>
        </is>
      </c>
      <c r="G121" t="inlineStr">
        <is>
          <t>SÖDERHAMN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46268</v>
      </c>
      <c r="F122" t="inlineStr">
        <is>
          <t>GÄVLEBORGS LÄN</t>
        </is>
      </c>
      <c r="G122" t="inlineStr">
        <is>
          <t>SÖDERHAMN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46268</v>
      </c>
      <c r="F123" t="inlineStr">
        <is>
          <t>GÄVLEBORGS LÄN</t>
        </is>
      </c>
      <c r="G123" t="inlineStr">
        <is>
          <t>SÖDERHAMN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62903-2023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45272</v>
      </c>
      <c r="E124" s="1" t="n">
        <v>46268</v>
      </c>
      <c r="F124" t="inlineStr">
        <is>
          <t>GÄVLEBORGS LÄN</t>
        </is>
      </c>
      <c r="G124" t="inlineStr">
        <is>
          <t>SÖDERHAMN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46268</v>
      </c>
      <c r="F125" t="inlineStr">
        <is>
          <t>GÄVLEBORGS LÄN</t>
        </is>
      </c>
      <c r="G125" t="inlineStr">
        <is>
          <t>SÖDERHAMN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46268</v>
      </c>
      <c r="F126" t="inlineStr">
        <is>
          <t>GÄVLEBORGS LÄN</t>
        </is>
      </c>
      <c r="G126" t="inlineStr">
        <is>
          <t>SÖDERHAMN</t>
        </is>
      </c>
      <c r="I126" t="n">
        <v>12.5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46268</v>
      </c>
      <c r="F127" t="inlineStr">
        <is>
          <t>GÄVLEBORGS LÄN</t>
        </is>
      </c>
      <c r="G127" t="inlineStr">
        <is>
          <t>SÖDERHAMN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54799-2022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46268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46268</v>
      </c>
      <c r="F129" t="inlineStr">
        <is>
          <t>GÄVLEBORGS LÄN</t>
        </is>
      </c>
      <c r="G129" t="inlineStr">
        <is>
          <t>SÖDERHAMN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46268</v>
      </c>
      <c r="F130" t="inlineStr">
        <is>
          <t>GÄVLEBORGS LÄN</t>
        </is>
      </c>
      <c r="G130" t="inlineStr">
        <is>
          <t>SÖDERHAMN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46268</v>
      </c>
      <c r="F131" t="inlineStr">
        <is>
          <t>GÄVLEBORGS LÄN</t>
        </is>
      </c>
      <c r="G131" t="inlineStr">
        <is>
          <t>SÖDERHAMN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46268</v>
      </c>
      <c r="F132" t="inlineStr">
        <is>
          <t>GÄVLEBORGS LÄN</t>
        </is>
      </c>
      <c r="G132" t="inlineStr">
        <is>
          <t>SÖDERHAMN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46268</v>
      </c>
      <c r="F133" t="inlineStr">
        <is>
          <t>GÄVLEBORGS LÄN</t>
        </is>
      </c>
      <c r="G133" t="inlineStr">
        <is>
          <t>SÖDERHAMN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46268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45762</v>
      </c>
      <c r="E135" s="1" t="n">
        <v>46268</v>
      </c>
      <c r="F135" t="inlineStr">
        <is>
          <t>GÄVLEBORGS LÄN</t>
        </is>
      </c>
      <c r="G135" t="inlineStr">
        <is>
          <t>SÖDERHAMN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46024</v>
      </c>
      <c r="E136" s="1" t="n">
        <v>46268</v>
      </c>
      <c r="F136" t="inlineStr">
        <is>
          <t>GÄVLEBORGS LÄN</t>
        </is>
      </c>
      <c r="G136" t="inlineStr">
        <is>
          <t>SÖDERHAMN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46268</v>
      </c>
      <c r="F137" t="inlineStr">
        <is>
          <t>GÄVLEBORGS LÄN</t>
        </is>
      </c>
      <c r="G137" t="inlineStr">
        <is>
          <t>SÖDERHAMN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46268</v>
      </c>
      <c r="F138" t="inlineStr">
        <is>
          <t>GÄVLEBORGS LÄN</t>
        </is>
      </c>
      <c r="G138" t="inlineStr">
        <is>
          <t>SÖDERHAMN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46268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46268</v>
      </c>
      <c r="F140" t="inlineStr">
        <is>
          <t>GÄVLEBORGS LÄN</t>
        </is>
      </c>
      <c r="G140" t="inlineStr">
        <is>
          <t>SÖDERHAMN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45425</v>
      </c>
      <c r="E141" s="1" t="n">
        <v>46268</v>
      </c>
      <c r="F141" t="inlineStr">
        <is>
          <t>GÄVLEBORGS LÄN</t>
        </is>
      </c>
      <c r="G141" t="inlineStr">
        <is>
          <t>SÖDERHAMN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46268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46268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46268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46268</v>
      </c>
      <c r="F145" t="inlineStr">
        <is>
          <t>GÄVLEBORGS LÄN</t>
        </is>
      </c>
      <c r="G145" t="inlineStr">
        <is>
          <t>SÖDERHAMN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46268</v>
      </c>
      <c r="F146" t="inlineStr">
        <is>
          <t>GÄVLEBORGS LÄN</t>
        </is>
      </c>
      <c r="G146" t="inlineStr">
        <is>
          <t>SÖDERHAMN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46268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46268</v>
      </c>
      <c r="F148" t="inlineStr">
        <is>
          <t>GÄVLEBORGS LÄN</t>
        </is>
      </c>
      <c r="G148" t="inlineStr">
        <is>
          <t>SÖDERHAMN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46268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45251</v>
      </c>
      <c r="E150" s="1" t="n">
        <v>46268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46268</v>
      </c>
      <c r="F151" t="inlineStr">
        <is>
          <t>GÄVLEBORGS LÄN</t>
        </is>
      </c>
      <c r="G151" t="inlineStr">
        <is>
          <t>SÖDERHAMN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46268</v>
      </c>
      <c r="F152" t="inlineStr">
        <is>
          <t>GÄVLEBORGS LÄN</t>
        </is>
      </c>
      <c r="G152" t="inlineStr">
        <is>
          <t>SÖDERHAMN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44703-2024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45574</v>
      </c>
      <c r="E153" s="1" t="n">
        <v>46268</v>
      </c>
      <c r="F153" t="inlineStr">
        <is>
          <t>GÄVLEBORGS LÄN</t>
        </is>
      </c>
      <c r="G153" t="inlineStr">
        <is>
          <t>SÖDERHAMN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46268</v>
      </c>
      <c r="F154" t="inlineStr">
        <is>
          <t>GÄVLEBORGS LÄN</t>
        </is>
      </c>
      <c r="G154" t="inlineStr">
        <is>
          <t>SÖDERHAMN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46268</v>
      </c>
      <c r="F155" t="inlineStr">
        <is>
          <t>GÄVLEBORGS LÄN</t>
        </is>
      </c>
      <c r="G155" t="inlineStr">
        <is>
          <t>SÖDERHAMN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46268</v>
      </c>
      <c r="F156" t="inlineStr">
        <is>
          <t>GÄVLEBORGS LÄN</t>
        </is>
      </c>
      <c r="G156" t="inlineStr">
        <is>
          <t>SÖDERHAMN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46268</v>
      </c>
      <c r="F157" t="inlineStr">
        <is>
          <t>GÄVLEBORGS LÄN</t>
        </is>
      </c>
      <c r="G157" t="inlineStr">
        <is>
          <t>SÖDERHAMN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46268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46268</v>
      </c>
      <c r="F159" t="inlineStr">
        <is>
          <t>GÄVLEBORGS LÄN</t>
        </is>
      </c>
      <c r="G159" t="inlineStr">
        <is>
          <t>SÖDERHAMN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46268</v>
      </c>
      <c r="F160" t="inlineStr">
        <is>
          <t>GÄVLEBORGS LÄN</t>
        </is>
      </c>
      <c r="G160" t="inlineStr">
        <is>
          <t>SÖDERHAMN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46268</v>
      </c>
      <c r="F161" t="inlineStr">
        <is>
          <t>GÄVLEBORGS LÄN</t>
        </is>
      </c>
      <c r="G161" t="inlineStr">
        <is>
          <t>SÖDERHAMN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46268</v>
      </c>
      <c r="F162" t="inlineStr">
        <is>
          <t>GÄVLEBORGS LÄN</t>
        </is>
      </c>
      <c r="G162" t="inlineStr">
        <is>
          <t>SÖDERHAMN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46268</v>
      </c>
      <c r="F163" t="inlineStr">
        <is>
          <t>GÄVLEBORGS LÄN</t>
        </is>
      </c>
      <c r="G163" t="inlineStr">
        <is>
          <t>SÖDERHAMN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46268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46268</v>
      </c>
      <c r="F165" t="inlineStr">
        <is>
          <t>GÄVLEBORGS LÄN</t>
        </is>
      </c>
      <c r="G165" t="inlineStr">
        <is>
          <t>SÖDERHAMN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46268</v>
      </c>
      <c r="F166" t="inlineStr">
        <is>
          <t>GÄVLEBORGS LÄN</t>
        </is>
      </c>
      <c r="G166" t="inlineStr">
        <is>
          <t>SÖDERHAMN</t>
        </is>
      </c>
      <c r="H166" t="inlineStr">
        <is>
          <t>Kommuner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44341-2023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45188</v>
      </c>
      <c r="E167" s="1" t="n">
        <v>46268</v>
      </c>
      <c r="F167" t="inlineStr">
        <is>
          <t>GÄVLEBORGS LÄN</t>
        </is>
      </c>
      <c r="G167" t="inlineStr">
        <is>
          <t>SÖDERHAMN</t>
        </is>
      </c>
      <c r="H167" t="inlineStr">
        <is>
          <t>Kommuner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46268</v>
      </c>
      <c r="F168" t="inlineStr">
        <is>
          <t>GÄVLEBORGS LÄN</t>
        </is>
      </c>
      <c r="G168" t="inlineStr">
        <is>
          <t>SÖDERHAMN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46268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46268</v>
      </c>
      <c r="F170" t="inlineStr">
        <is>
          <t>GÄVLEBORGS LÄN</t>
        </is>
      </c>
      <c r="G170" t="inlineStr">
        <is>
          <t>SÖDERHAMN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46268</v>
      </c>
      <c r="F171" t="inlineStr">
        <is>
          <t>GÄVLEBORGS LÄN</t>
        </is>
      </c>
      <c r="G171" t="inlineStr">
        <is>
          <t>SÖDERHAMN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46268</v>
      </c>
      <c r="F172" t="inlineStr">
        <is>
          <t>GÄVLEBORGS LÄN</t>
        </is>
      </c>
      <c r="G172" t="inlineStr">
        <is>
          <t>SÖDERHAMN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46268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46268</v>
      </c>
      <c r="F174" t="inlineStr">
        <is>
          <t>GÄVLEBORGS LÄN</t>
        </is>
      </c>
      <c r="G174" t="inlineStr">
        <is>
          <t>SÖDERHAMN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46268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46268</v>
      </c>
      <c r="F176" t="inlineStr">
        <is>
          <t>GÄVLEBORGS LÄN</t>
        </is>
      </c>
      <c r="G176" t="inlineStr">
        <is>
          <t>SÖDERHAMN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45670</v>
      </c>
      <c r="E177" s="1" t="n">
        <v>46268</v>
      </c>
      <c r="F177" t="inlineStr">
        <is>
          <t>GÄVLEBORGS LÄN</t>
        </is>
      </c>
      <c r="G177" t="inlineStr">
        <is>
          <t>SÖDERHAMN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46268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46043</v>
      </c>
      <c r="E179" s="1" t="n">
        <v>46268</v>
      </c>
      <c r="F179" t="inlineStr">
        <is>
          <t>GÄVLEBORGS LÄN</t>
        </is>
      </c>
      <c r="G179" t="inlineStr">
        <is>
          <t>SÖDERHAMN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45108</v>
      </c>
      <c r="E180" s="1" t="n">
        <v>46268</v>
      </c>
      <c r="F180" t="inlineStr">
        <is>
          <t>GÄVLEBORGS LÄN</t>
        </is>
      </c>
      <c r="G180" t="inlineStr">
        <is>
          <t>SÖDERHAMN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46268</v>
      </c>
      <c r="F181" t="inlineStr">
        <is>
          <t>GÄVLEBORGS LÄN</t>
        </is>
      </c>
      <c r="G181" t="inlineStr">
        <is>
          <t>SÖDERHAMN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46268</v>
      </c>
      <c r="F182" t="inlineStr">
        <is>
          <t>GÄVLEBORGS LÄN</t>
        </is>
      </c>
      <c r="G182" t="inlineStr">
        <is>
          <t>SÖDERHAMN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46268</v>
      </c>
      <c r="F183" t="inlineStr">
        <is>
          <t>GÄVLEBORGS LÄN</t>
        </is>
      </c>
      <c r="G183" t="inlineStr">
        <is>
          <t>SÖDERHAMN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46268</v>
      </c>
      <c r="F184" t="inlineStr">
        <is>
          <t>GÄVLEBORGS LÄN</t>
        </is>
      </c>
      <c r="G184" t="inlineStr">
        <is>
          <t>SÖDERHAMN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35961-2025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45863</v>
      </c>
      <c r="E185" s="1" t="n">
        <v>46268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46268</v>
      </c>
      <c r="F186" t="inlineStr">
        <is>
          <t>GÄVLEBORGS LÄN</t>
        </is>
      </c>
      <c r="G186" t="inlineStr">
        <is>
          <t>SÖDERHAMN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46268</v>
      </c>
      <c r="F187" t="inlineStr">
        <is>
          <t>GÄVLEBORGS LÄN</t>
        </is>
      </c>
      <c r="G187" t="inlineStr">
        <is>
          <t>SÖDERHAMN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46268</v>
      </c>
      <c r="F188" t="inlineStr">
        <is>
          <t>GÄVLEBORGS LÄN</t>
        </is>
      </c>
      <c r="G188" t="inlineStr">
        <is>
          <t>SÖDERHAMN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46268</v>
      </c>
      <c r="F189" t="inlineStr">
        <is>
          <t>GÄVLEBORGS LÄN</t>
        </is>
      </c>
      <c r="G189" t="inlineStr">
        <is>
          <t>SÖDERHAMN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46268</v>
      </c>
      <c r="F190" t="inlineStr">
        <is>
          <t>GÄVLEBORGS LÄN</t>
        </is>
      </c>
      <c r="G190" t="inlineStr">
        <is>
          <t>SÖDERHAMN</t>
        </is>
      </c>
      <c r="H190" t="inlineStr">
        <is>
          <t>Kommuner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46268</v>
      </c>
      <c r="F191" t="inlineStr">
        <is>
          <t>GÄVLEBORGS LÄN</t>
        </is>
      </c>
      <c r="G191" t="inlineStr">
        <is>
          <t>SÖDERHAMN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46268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46268</v>
      </c>
      <c r="F193" t="inlineStr">
        <is>
          <t>GÄVLEBORGS LÄN</t>
        </is>
      </c>
      <c r="G193" t="inlineStr">
        <is>
          <t>SÖDERHAMN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46268</v>
      </c>
      <c r="F194" t="inlineStr">
        <is>
          <t>GÄVLEBORGS LÄN</t>
        </is>
      </c>
      <c r="G194" t="inlineStr">
        <is>
          <t>SÖDERHAMN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46268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38355-2022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44812</v>
      </c>
      <c r="E196" s="1" t="n">
        <v>46268</v>
      </c>
      <c r="F196" t="inlineStr">
        <is>
          <t>GÄVLEBORGS LÄN</t>
        </is>
      </c>
      <c r="G196" t="inlineStr">
        <is>
          <t>SÖDERHAMN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46268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46268</v>
      </c>
      <c r="F198" t="inlineStr">
        <is>
          <t>GÄVLEBORGS LÄN</t>
        </is>
      </c>
      <c r="G198" t="inlineStr">
        <is>
          <t>SÖDERHAMN</t>
        </is>
      </c>
      <c r="H198" t="inlineStr">
        <is>
          <t>Kommuner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24766-2023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45084</v>
      </c>
      <c r="E199" s="1" t="n">
        <v>46268</v>
      </c>
      <c r="F199" t="inlineStr">
        <is>
          <t>GÄVLEBORGS LÄN</t>
        </is>
      </c>
      <c r="G199" t="inlineStr">
        <is>
          <t>SÖDERHAMN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46268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46268</v>
      </c>
      <c r="F201" t="inlineStr">
        <is>
          <t>GÄVLEBORGS LÄN</t>
        </is>
      </c>
      <c r="G201" t="inlineStr">
        <is>
          <t>SÖDERHAMN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37538-2025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45879</v>
      </c>
      <c r="E202" s="1" t="n">
        <v>46268</v>
      </c>
      <c r="F202" t="inlineStr">
        <is>
          <t>GÄVLEBORGS LÄN</t>
        </is>
      </c>
      <c r="G202" t="inlineStr">
        <is>
          <t>SÖDERHAMN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71645-2021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46268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41221-2022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44826</v>
      </c>
      <c r="E204" s="1" t="n">
        <v>46268</v>
      </c>
      <c r="F204" t="inlineStr">
        <is>
          <t>GÄVLEBORGS LÄN</t>
        </is>
      </c>
      <c r="G204" t="inlineStr">
        <is>
          <t>SÖDERHAMN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45879</v>
      </c>
      <c r="E205" s="1" t="n">
        <v>46268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45821</v>
      </c>
      <c r="E206" s="1" t="n">
        <v>46268</v>
      </c>
      <c r="F206" t="inlineStr">
        <is>
          <t>GÄVLEBORGS LÄN</t>
        </is>
      </c>
      <c r="G206" t="inlineStr">
        <is>
          <t>SÖDERHAMN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45943</v>
      </c>
      <c r="E207" s="1" t="n">
        <v>46268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46268</v>
      </c>
      <c r="F208" t="inlineStr">
        <is>
          <t>GÄVLEBORGS LÄN</t>
        </is>
      </c>
      <c r="G208" t="inlineStr">
        <is>
          <t>SÖDERHAMN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46268</v>
      </c>
      <c r="F209" t="inlineStr">
        <is>
          <t>GÄVLEBORGS LÄN</t>
        </is>
      </c>
      <c r="G209" t="inlineStr">
        <is>
          <t>SÖDERHAMN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45944</v>
      </c>
      <c r="E210" s="1" t="n">
        <v>46268</v>
      </c>
      <c r="F210" t="inlineStr">
        <is>
          <t>GÄVLEBORGS LÄN</t>
        </is>
      </c>
      <c r="G210" t="inlineStr">
        <is>
          <t>SÖDERHAMN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46268</v>
      </c>
      <c r="F211" t="inlineStr">
        <is>
          <t>GÄVLEBORGS LÄN</t>
        </is>
      </c>
      <c r="G211" t="inlineStr">
        <is>
          <t>SÖDERHAMN</t>
        </is>
      </c>
      <c r="I211" t="n">
        <v>14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46268</v>
      </c>
      <c r="F212" t="inlineStr">
        <is>
          <t>GÄVLEBORGS LÄN</t>
        </is>
      </c>
      <c r="G212" t="inlineStr">
        <is>
          <t>SÖDERHAMN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46268</v>
      </c>
      <c r="F213" t="inlineStr">
        <is>
          <t>GÄVLEBORGS LÄN</t>
        </is>
      </c>
      <c r="G213" t="inlineStr">
        <is>
          <t>SÖDERHAMN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46268</v>
      </c>
      <c r="F214" t="inlineStr">
        <is>
          <t>GÄVLEBORGS LÄN</t>
        </is>
      </c>
      <c r="G214" t="inlineStr">
        <is>
          <t>SÖDERHAMN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46268</v>
      </c>
      <c r="F215" t="inlineStr">
        <is>
          <t>GÄVLEBORGS LÄN</t>
        </is>
      </c>
      <c r="G215" t="inlineStr">
        <is>
          <t>SÖDERHAMN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46268</v>
      </c>
      <c r="F216" t="inlineStr">
        <is>
          <t>GÄVLEBORGS LÄN</t>
        </is>
      </c>
      <c r="G216" t="inlineStr">
        <is>
          <t>SÖDERHAMN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46268</v>
      </c>
      <c r="F217" t="inlineStr">
        <is>
          <t>GÄVLEBORGS LÄN</t>
        </is>
      </c>
      <c r="G217" t="inlineStr">
        <is>
          <t>SÖDERHAMN</t>
        </is>
      </c>
      <c r="H217" t="inlineStr">
        <is>
          <t>Övriga statliga verk och myndigheter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46268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46268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46268</v>
      </c>
      <c r="F220" t="inlineStr">
        <is>
          <t>GÄVLEBORGS LÄN</t>
        </is>
      </c>
      <c r="G220" t="inlineStr">
        <is>
          <t>SÖDERHAMN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46268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46268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6792-2024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45342</v>
      </c>
      <c r="E223" s="1" t="n">
        <v>46268</v>
      </c>
      <c r="F223" t="inlineStr">
        <is>
          <t>GÄVLEBORGS LÄN</t>
        </is>
      </c>
      <c r="G223" t="inlineStr">
        <is>
          <t>SÖDERHAMN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44856</v>
      </c>
      <c r="E224" s="1" t="n">
        <v>46268</v>
      </c>
      <c r="F224" t="inlineStr">
        <is>
          <t>GÄVLEBORGS LÄN</t>
        </is>
      </c>
      <c r="G224" t="inlineStr">
        <is>
          <t>SÖDERHAMN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45705</v>
      </c>
      <c r="E225" s="1" t="n">
        <v>46268</v>
      </c>
      <c r="F225" t="inlineStr">
        <is>
          <t>GÄVLEBORGS LÄN</t>
        </is>
      </c>
      <c r="G225" t="inlineStr">
        <is>
          <t>SÖDERHAMN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46268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46268</v>
      </c>
      <c r="F227" t="inlineStr">
        <is>
          <t>GÄVLEBORGS LÄN</t>
        </is>
      </c>
      <c r="G227" t="inlineStr">
        <is>
          <t>SÖDERHAMN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46268</v>
      </c>
      <c r="F228" t="inlineStr">
        <is>
          <t>GÄVLEBORGS LÄN</t>
        </is>
      </c>
      <c r="G228" t="inlineStr">
        <is>
          <t>SÖDERHAMN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46268</v>
      </c>
      <c r="F229" t="inlineStr">
        <is>
          <t>GÄVLEBORGS LÄN</t>
        </is>
      </c>
      <c r="G229" t="inlineStr">
        <is>
          <t>SÖDERHAMN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46268</v>
      </c>
      <c r="F230" t="inlineStr">
        <is>
          <t>GÄVLEBORGS LÄN</t>
        </is>
      </c>
      <c r="G230" t="inlineStr">
        <is>
          <t>SÖDERHAMN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46268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45698</v>
      </c>
      <c r="E232" s="1" t="n">
        <v>46268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46268</v>
      </c>
      <c r="F233" t="inlineStr">
        <is>
          <t>GÄVLEBORGS LÄN</t>
        </is>
      </c>
      <c r="G233" t="inlineStr">
        <is>
          <t>SÖDERHAMN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46268</v>
      </c>
      <c r="F234" t="inlineStr">
        <is>
          <t>GÄVLEBORGS LÄN</t>
        </is>
      </c>
      <c r="G234" t="inlineStr">
        <is>
          <t>SÖDERHAMN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46268</v>
      </c>
      <c r="F235" t="inlineStr">
        <is>
          <t>GÄVLEBORGS LÄN</t>
        </is>
      </c>
      <c r="G235" t="inlineStr">
        <is>
          <t>SÖDERHAMN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46268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46268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46268</v>
      </c>
      <c r="F238" t="inlineStr">
        <is>
          <t>GÄVLEBORGS LÄN</t>
        </is>
      </c>
      <c r="G238" t="inlineStr">
        <is>
          <t>SÖDERHAMN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46268</v>
      </c>
      <c r="F239" t="inlineStr">
        <is>
          <t>GÄVLEBORGS LÄN</t>
        </is>
      </c>
      <c r="G239" t="inlineStr">
        <is>
          <t>SÖDERHAMN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46268</v>
      </c>
      <c r="F240" t="inlineStr">
        <is>
          <t>GÄVLEBORGS LÄN</t>
        </is>
      </c>
      <c r="G240" t="inlineStr">
        <is>
          <t>SÖDERHAMN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46268</v>
      </c>
      <c r="F241" t="inlineStr">
        <is>
          <t>GÄVLEBORGS LÄN</t>
        </is>
      </c>
      <c r="G241" t="inlineStr">
        <is>
          <t>SÖDERHAMN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46268</v>
      </c>
      <c r="F242" t="inlineStr">
        <is>
          <t>GÄVLEBORGS LÄN</t>
        </is>
      </c>
      <c r="G242" t="inlineStr">
        <is>
          <t>SÖDERHAMN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46268</v>
      </c>
      <c r="F243" t="inlineStr">
        <is>
          <t>GÄVLEBORGS LÄN</t>
        </is>
      </c>
      <c r="G243" t="inlineStr">
        <is>
          <t>SÖDERHAMN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46268</v>
      </c>
      <c r="F244" t="inlineStr">
        <is>
          <t>GÄVLEBORGS LÄN</t>
        </is>
      </c>
      <c r="G244" t="inlineStr">
        <is>
          <t>SÖDERHAMN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46268</v>
      </c>
      <c r="F245" t="inlineStr">
        <is>
          <t>GÄVLEBORGS LÄN</t>
        </is>
      </c>
      <c r="G245" t="inlineStr">
        <is>
          <t>SÖDERHAMN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46268</v>
      </c>
      <c r="F246" t="inlineStr">
        <is>
          <t>GÄVLEBORGS LÄN</t>
        </is>
      </c>
      <c r="G246" t="inlineStr">
        <is>
          <t>SÖDERHAMN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46268</v>
      </c>
      <c r="F247" t="inlineStr">
        <is>
          <t>GÄVLEBORGS LÄN</t>
        </is>
      </c>
      <c r="G247" t="inlineStr">
        <is>
          <t>SÖDERHAMN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46268</v>
      </c>
      <c r="F248" t="inlineStr">
        <is>
          <t>GÄVLEBORGS LÄN</t>
        </is>
      </c>
      <c r="G248" t="inlineStr">
        <is>
          <t>SÖDERHAMN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46268</v>
      </c>
      <c r="F249" t="inlineStr">
        <is>
          <t>GÄVLEBORGS LÄN</t>
        </is>
      </c>
      <c r="G249" t="inlineStr">
        <is>
          <t>SÖDERHAMN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24933-2024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45461</v>
      </c>
      <c r="E250" s="1" t="n">
        <v>46268</v>
      </c>
      <c r="F250" t="inlineStr">
        <is>
          <t>GÄVLEBORGS LÄN</t>
        </is>
      </c>
      <c r="G250" t="inlineStr">
        <is>
          <t>SÖDERHAMN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46268</v>
      </c>
      <c r="F251" t="inlineStr">
        <is>
          <t>GÄVLEBORGS LÄN</t>
        </is>
      </c>
      <c r="G251" t="inlineStr">
        <is>
          <t>SÖDERHAMN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46070</v>
      </c>
      <c r="E252" s="1" t="n">
        <v>46268</v>
      </c>
      <c r="F252" t="inlineStr">
        <is>
          <t>GÄVLEBORGS LÄN</t>
        </is>
      </c>
      <c r="G252" t="inlineStr">
        <is>
          <t>SÖDERHAMN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46268</v>
      </c>
      <c r="F253" t="inlineStr">
        <is>
          <t>GÄVLEBORGS LÄN</t>
        </is>
      </c>
      <c r="G253" t="inlineStr">
        <is>
          <t>SÖDERHAMN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46268</v>
      </c>
      <c r="F254" t="inlineStr">
        <is>
          <t>GÄVLEBORGS LÄN</t>
        </is>
      </c>
      <c r="G254" t="inlineStr">
        <is>
          <t>SÖDERHAMN</t>
        </is>
      </c>
      <c r="I254" t="n">
        <v>11.2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45972</v>
      </c>
      <c r="E255" s="1" t="n">
        <v>46268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55730-2025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45972</v>
      </c>
      <c r="E256" s="1" t="n">
        <v>46268</v>
      </c>
      <c r="F256" t="inlineStr">
        <is>
          <t>GÄVLEBORGS LÄN</t>
        </is>
      </c>
      <c r="G256" t="inlineStr">
        <is>
          <t>SÖDERHAMN</t>
        </is>
      </c>
      <c r="H256" t="inlineStr">
        <is>
          <t>Bergvik skog väst AB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46268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58142-2024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46268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46268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45296</v>
      </c>
      <c r="E260" s="1" t="n">
        <v>46268</v>
      </c>
      <c r="F260" t="inlineStr">
        <is>
          <t>GÄVLEBORGS LÄN</t>
        </is>
      </c>
      <c r="G260" t="inlineStr">
        <is>
          <t>SÖDERHAMN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9921-2026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46268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46077</v>
      </c>
      <c r="E262" s="1" t="n">
        <v>46268</v>
      </c>
      <c r="F262" t="inlineStr">
        <is>
          <t>GÄVLEBORGS LÄN</t>
        </is>
      </c>
      <c r="G262" t="inlineStr">
        <is>
          <t>SÖDERHAMN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46268</v>
      </c>
      <c r="F263" t="inlineStr">
        <is>
          <t>GÄVLEBORGS LÄN</t>
        </is>
      </c>
      <c r="G263" t="inlineStr">
        <is>
          <t>SÖDERHAMN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45975</v>
      </c>
      <c r="E264" s="1" t="n">
        <v>46268</v>
      </c>
      <c r="F264" t="inlineStr">
        <is>
          <t>GÄVLEBORGS LÄN</t>
        </is>
      </c>
      <c r="G264" t="inlineStr">
        <is>
          <t>SÖDERHAMN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46268</v>
      </c>
      <c r="F265" t="inlineStr">
        <is>
          <t>GÄVLEBORGS LÄN</t>
        </is>
      </c>
      <c r="G265" t="inlineStr">
        <is>
          <t>SÖDERHAMN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58281-2024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46268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46268</v>
      </c>
      <c r="F267" t="inlineStr">
        <is>
          <t>GÄVLEBORGS LÄN</t>
        </is>
      </c>
      <c r="G267" t="inlineStr">
        <is>
          <t>SÖDERHAMN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46268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53918-2025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45961</v>
      </c>
      <c r="E269" s="1" t="n">
        <v>46268</v>
      </c>
      <c r="F269" t="inlineStr">
        <is>
          <t>GÄVLEBORGS LÄN</t>
        </is>
      </c>
      <c r="G269" t="inlineStr">
        <is>
          <t>SÖDERHAMN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46268</v>
      </c>
      <c r="F270" t="inlineStr">
        <is>
          <t>GÄVLEBORGS LÄN</t>
        </is>
      </c>
      <c r="G270" t="inlineStr">
        <is>
          <t>SÖDERHAMN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46268</v>
      </c>
      <c r="F271" t="inlineStr">
        <is>
          <t>GÄVLEBORGS LÄN</t>
        </is>
      </c>
      <c r="G271" t="inlineStr">
        <is>
          <t>SÖDERHAMN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46268</v>
      </c>
      <c r="F272" t="inlineStr">
        <is>
          <t>GÄVLEBORGS LÄN</t>
        </is>
      </c>
      <c r="G272" t="inlineStr">
        <is>
          <t>SÖDERHAMN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46268</v>
      </c>
      <c r="F273" t="inlineStr">
        <is>
          <t>GÄVLEBORGS LÄN</t>
        </is>
      </c>
      <c r="G273" t="inlineStr">
        <is>
          <t>SÖDERHAMN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46268</v>
      </c>
      <c r="F274" t="inlineStr">
        <is>
          <t>GÄVLEBORGS LÄN</t>
        </is>
      </c>
      <c r="G274" t="inlineStr">
        <is>
          <t>SÖDERHAMN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46268</v>
      </c>
      <c r="F275" t="inlineStr">
        <is>
          <t>GÄVLEBORGS LÄN</t>
        </is>
      </c>
      <c r="G275" t="inlineStr">
        <is>
          <t>SÖDERHAMN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44662</v>
      </c>
      <c r="E276" s="1" t="n">
        <v>46268</v>
      </c>
      <c r="F276" t="inlineStr">
        <is>
          <t>GÄVLEBORGS LÄN</t>
        </is>
      </c>
      <c r="G276" t="inlineStr">
        <is>
          <t>SÖDERHAMN</t>
        </is>
      </c>
      <c r="I276" t="n">
        <v>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46268</v>
      </c>
      <c r="F277" t="inlineStr">
        <is>
          <t>GÄVLEBORGS LÄN</t>
        </is>
      </c>
      <c r="G277" t="inlineStr">
        <is>
          <t>SÖDERHAMN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43395-2023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45183</v>
      </c>
      <c r="E278" s="1" t="n">
        <v>46268</v>
      </c>
      <c r="F278" t="inlineStr">
        <is>
          <t>GÄVLEBORGS LÄN</t>
        </is>
      </c>
      <c r="G278" t="inlineStr">
        <is>
          <t>SÖDERHAMN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46268</v>
      </c>
      <c r="F279" t="inlineStr">
        <is>
          <t>GÄVLEBORGS LÄN</t>
        </is>
      </c>
      <c r="G279" t="inlineStr">
        <is>
          <t>SÖDERHAMN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45342</v>
      </c>
      <c r="E280" s="1" t="n">
        <v>46268</v>
      </c>
      <c r="F280" t="inlineStr">
        <is>
          <t>GÄVLEBORGS LÄN</t>
        </is>
      </c>
      <c r="G280" t="inlineStr">
        <is>
          <t>SÖDERHAMN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46268</v>
      </c>
      <c r="F281" t="inlineStr">
        <is>
          <t>GÄVLEBORGS LÄN</t>
        </is>
      </c>
      <c r="G281" t="inlineStr">
        <is>
          <t>SÖDERHAMN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46268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46268</v>
      </c>
      <c r="F283" t="inlineStr">
        <is>
          <t>GÄVLEBORGS LÄN</t>
        </is>
      </c>
      <c r="G283" t="inlineStr">
        <is>
          <t>SÖDERHAMN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46268</v>
      </c>
      <c r="F284" t="inlineStr">
        <is>
          <t>GÄVLEBORGS LÄN</t>
        </is>
      </c>
      <c r="G284" t="inlineStr">
        <is>
          <t>SÖDERHAMN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46268</v>
      </c>
      <c r="F285" t="inlineStr">
        <is>
          <t>GÄVLEBORGS LÄN</t>
        </is>
      </c>
      <c r="G285" t="inlineStr">
        <is>
          <t>SÖDERHAMN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58502-2025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46268</v>
      </c>
      <c r="F286" t="inlineStr">
        <is>
          <t>GÄVLEBORGS LÄN</t>
        </is>
      </c>
      <c r="G286" t="inlineStr">
        <is>
          <t>SÖDERHAMN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46268</v>
      </c>
      <c r="F287" t="inlineStr">
        <is>
          <t>GÄVLEBORGS LÄN</t>
        </is>
      </c>
      <c r="G287" t="inlineStr">
        <is>
          <t>SÖDERHAMN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46268</v>
      </c>
      <c r="F288" t="inlineStr">
        <is>
          <t>GÄVLEBORGS LÄN</t>
        </is>
      </c>
      <c r="G288" t="inlineStr">
        <is>
          <t>SÖDERHAMN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46268</v>
      </c>
      <c r="F289" t="inlineStr">
        <is>
          <t>GÄVLEBORGS LÄN</t>
        </is>
      </c>
      <c r="G289" t="inlineStr">
        <is>
          <t>SÖDERHAMN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46268</v>
      </c>
      <c r="F290" t="inlineStr">
        <is>
          <t>GÄVLEBORGS LÄN</t>
        </is>
      </c>
      <c r="G290" t="inlineStr">
        <is>
          <t>SÖDERHAMN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46268</v>
      </c>
      <c r="F291" t="inlineStr">
        <is>
          <t>GÄVLEBORGS LÄN</t>
        </is>
      </c>
      <c r="G291" t="inlineStr">
        <is>
          <t>SÖDERHAMN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46268</v>
      </c>
      <c r="F292" t="inlineStr">
        <is>
          <t>GÄVLEBORGS LÄN</t>
        </is>
      </c>
      <c r="G292" t="inlineStr">
        <is>
          <t>SÖDERHAMN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46268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46268</v>
      </c>
      <c r="F294" t="inlineStr">
        <is>
          <t>GÄVLEBORGS LÄN</t>
        </is>
      </c>
      <c r="G294" t="inlineStr">
        <is>
          <t>SÖDERHAMN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45040</v>
      </c>
      <c r="E295" s="1" t="n">
        <v>46268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46268</v>
      </c>
      <c r="F296" t="inlineStr">
        <is>
          <t>GÄVLEBORGS LÄN</t>
        </is>
      </c>
      <c r="G296" t="inlineStr">
        <is>
          <t>SÖDERHAMN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46268</v>
      </c>
      <c r="F297" t="inlineStr">
        <is>
          <t>GÄVLEBORGS LÄN</t>
        </is>
      </c>
      <c r="G297" t="inlineStr">
        <is>
          <t>SÖDERHAMN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45254</v>
      </c>
      <c r="E298" s="1" t="n">
        <v>46268</v>
      </c>
      <c r="F298" t="inlineStr">
        <is>
          <t>GÄVLEBORGS LÄN</t>
        </is>
      </c>
      <c r="G298" t="inlineStr">
        <is>
          <t>SÖDERHAMN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46268</v>
      </c>
      <c r="F299" t="inlineStr">
        <is>
          <t>GÄVLEBORGS LÄN</t>
        </is>
      </c>
      <c r="G299" t="inlineStr">
        <is>
          <t>SÖDERHAMN</t>
        </is>
      </c>
      <c r="I299" t="n">
        <v>14.1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46268</v>
      </c>
      <c r="F300" t="inlineStr">
        <is>
          <t>GÄVLEBORGS LÄN</t>
        </is>
      </c>
      <c r="G300" t="inlineStr">
        <is>
          <t>SÖDERHAMN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46268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46268</v>
      </c>
      <c r="F302" t="inlineStr">
        <is>
          <t>GÄVLEBORGS LÄN</t>
        </is>
      </c>
      <c r="G302" t="inlineStr">
        <is>
          <t>SÖDERHAMN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43723-2022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44837</v>
      </c>
      <c r="E303" s="1" t="n">
        <v>46268</v>
      </c>
      <c r="F303" t="inlineStr">
        <is>
          <t>GÄVLEBORGS LÄN</t>
        </is>
      </c>
      <c r="G303" t="inlineStr">
        <is>
          <t>SÖDERHAMN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46268</v>
      </c>
      <c r="F304" t="inlineStr">
        <is>
          <t>GÄVLEBORGS LÄN</t>
        </is>
      </c>
      <c r="G304" t="inlineStr">
        <is>
          <t>SÖDERHAMN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46268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46268</v>
      </c>
      <c r="F306" t="inlineStr">
        <is>
          <t>GÄVLEBORGS LÄN</t>
        </is>
      </c>
      <c r="G306" t="inlineStr">
        <is>
          <t>SÖDERHAMN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45562</v>
      </c>
      <c r="E307" s="1" t="n">
        <v>46268</v>
      </c>
      <c r="F307" t="inlineStr">
        <is>
          <t>GÄVLEBORGS LÄN</t>
        </is>
      </c>
      <c r="G307" t="inlineStr">
        <is>
          <t>SÖDERHAMN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45393</v>
      </c>
      <c r="E308" s="1" t="n">
        <v>46268</v>
      </c>
      <c r="F308" t="inlineStr">
        <is>
          <t>GÄVLEBORGS LÄN</t>
        </is>
      </c>
      <c r="G308" t="inlineStr">
        <is>
          <t>SÖDERHAMN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46268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46268</v>
      </c>
      <c r="F310" t="inlineStr">
        <is>
          <t>GÄVLEBORGS LÄN</t>
        </is>
      </c>
      <c r="G310" t="inlineStr">
        <is>
          <t>SÖDERHAMN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61416-2025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46001</v>
      </c>
      <c r="E311" s="1" t="n">
        <v>46268</v>
      </c>
      <c r="F311" t="inlineStr">
        <is>
          <t>GÄVLEBORGS LÄN</t>
        </is>
      </c>
      <c r="G311" t="inlineStr">
        <is>
          <t>SÖDERHAMN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46268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45093</v>
      </c>
      <c r="E313" s="1" t="n">
        <v>46268</v>
      </c>
      <c r="F313" t="inlineStr">
        <is>
          <t>GÄVLEBORGS LÄN</t>
        </is>
      </c>
      <c r="G313" t="inlineStr">
        <is>
          <t>SÖDERHAMN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46268</v>
      </c>
      <c r="F314" t="inlineStr">
        <is>
          <t>GÄVLEBORGS LÄN</t>
        </is>
      </c>
      <c r="G314" t="inlineStr">
        <is>
          <t>SÖDERHAMN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45677</v>
      </c>
      <c r="E315" s="1" t="n">
        <v>46268</v>
      </c>
      <c r="F315" t="inlineStr">
        <is>
          <t>GÄVLEBORGS LÄN</t>
        </is>
      </c>
      <c r="G315" t="inlineStr">
        <is>
          <t>SÖDERHAMN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38079-2024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46268</v>
      </c>
      <c r="F316" t="inlineStr">
        <is>
          <t>GÄVLEBORGS LÄN</t>
        </is>
      </c>
      <c r="G316" t="inlineStr">
        <is>
          <t>SÖDERHAMN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46268</v>
      </c>
      <c r="F317" t="inlineStr">
        <is>
          <t>GÄVLEBORGS LÄN</t>
        </is>
      </c>
      <c r="G317" t="inlineStr">
        <is>
          <t>SÖDERHAMN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45510</v>
      </c>
      <c r="E318" s="1" t="n">
        <v>46268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45754</v>
      </c>
      <c r="E319" s="1" t="n">
        <v>46268</v>
      </c>
      <c r="F319" t="inlineStr">
        <is>
          <t>GÄVLEBORGS LÄN</t>
        </is>
      </c>
      <c r="G319" t="inlineStr">
        <is>
          <t>SÖDERHAMN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46268</v>
      </c>
      <c r="F320" t="inlineStr">
        <is>
          <t>GÄVLEBORGS LÄN</t>
        </is>
      </c>
      <c r="G320" t="inlineStr">
        <is>
          <t>SÖDERHAMN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45398</v>
      </c>
      <c r="E321" s="1" t="n">
        <v>46268</v>
      </c>
      <c r="F321" t="inlineStr">
        <is>
          <t>GÄVLEBORGS LÄN</t>
        </is>
      </c>
      <c r="G321" t="inlineStr">
        <is>
          <t>SÖDERHAMN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46268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46268</v>
      </c>
      <c r="F323" t="inlineStr">
        <is>
          <t>GÄVLEBORGS LÄN</t>
        </is>
      </c>
      <c r="G323" t="inlineStr">
        <is>
          <t>SÖDERHAMN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46268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16.2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46268</v>
      </c>
      <c r="F325" t="inlineStr">
        <is>
          <t>GÄVLEBORGS LÄN</t>
        </is>
      </c>
      <c r="G325" t="inlineStr">
        <is>
          <t>SÖDERHAMN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18800-2024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45426</v>
      </c>
      <c r="E326" s="1" t="n">
        <v>46268</v>
      </c>
      <c r="F326" t="inlineStr">
        <is>
          <t>GÄVLEBORGS LÄN</t>
        </is>
      </c>
      <c r="G326" t="inlineStr">
        <is>
          <t>SÖDERHAMN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46268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49959-2024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45597</v>
      </c>
      <c r="E328" s="1" t="n">
        <v>46268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46268</v>
      </c>
      <c r="F329" t="inlineStr">
        <is>
          <t>GÄVLEBORGS LÄN</t>
        </is>
      </c>
      <c r="G329" t="inlineStr">
        <is>
          <t>SÖDERHAMN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46026</v>
      </c>
      <c r="E330" s="1" t="n">
        <v>46268</v>
      </c>
      <c r="F330" t="inlineStr">
        <is>
          <t>GÄVLEBORGS LÄN</t>
        </is>
      </c>
      <c r="G330" t="inlineStr">
        <is>
          <t>SÖDERHAMN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46026</v>
      </c>
      <c r="E331" s="1" t="n">
        <v>46268</v>
      </c>
      <c r="F331" t="inlineStr">
        <is>
          <t>GÄVLEBORGS LÄN</t>
        </is>
      </c>
      <c r="G331" t="inlineStr">
        <is>
          <t>SÖDERHAMN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46268</v>
      </c>
      <c r="F332" t="inlineStr">
        <is>
          <t>GÄVLEBORGS LÄN</t>
        </is>
      </c>
      <c r="G332" t="inlineStr">
        <is>
          <t>SÖDERHAMN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46268</v>
      </c>
      <c r="F333" t="inlineStr">
        <is>
          <t>GÄVLEBORGS LÄN</t>
        </is>
      </c>
      <c r="G333" t="inlineStr">
        <is>
          <t>SÖDERHAMN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46268</v>
      </c>
      <c r="F334" t="inlineStr">
        <is>
          <t>GÄVLEBORGS LÄN</t>
        </is>
      </c>
      <c r="G334" t="inlineStr">
        <is>
          <t>SÖDERHAMN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46268</v>
      </c>
      <c r="F335" t="inlineStr">
        <is>
          <t>GÄVLEBORGS LÄN</t>
        </is>
      </c>
      <c r="G335" t="inlineStr">
        <is>
          <t>SÖDERHAMN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45615</v>
      </c>
      <c r="E336" s="1" t="n">
        <v>46268</v>
      </c>
      <c r="F336" t="inlineStr">
        <is>
          <t>GÄVLEBORGS LÄN</t>
        </is>
      </c>
      <c r="G336" t="inlineStr">
        <is>
          <t>SÖDERHAMN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45754</v>
      </c>
      <c r="E337" s="1" t="n">
        <v>46268</v>
      </c>
      <c r="F337" t="inlineStr">
        <is>
          <t>GÄVLEBORGS LÄN</t>
        </is>
      </c>
      <c r="G337" t="inlineStr">
        <is>
          <t>SÖDERHAMN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45748</v>
      </c>
      <c r="E338" s="1" t="n">
        <v>46268</v>
      </c>
      <c r="F338" t="inlineStr">
        <is>
          <t>GÄVLEBORGS LÄN</t>
        </is>
      </c>
      <c r="G338" t="inlineStr">
        <is>
          <t>SÖDERHAMN</t>
        </is>
      </c>
      <c r="H338" t="inlineStr">
        <is>
          <t>Kommuner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45670</v>
      </c>
      <c r="E339" s="1" t="n">
        <v>46268</v>
      </c>
      <c r="F339" t="inlineStr">
        <is>
          <t>GÄVLEBORGS LÄN</t>
        </is>
      </c>
      <c r="G339" t="inlineStr">
        <is>
          <t>SÖDERHAMN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15958-2026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46268</v>
      </c>
      <c r="F340" t="inlineStr">
        <is>
          <t>GÄVLEBORGS LÄN</t>
        </is>
      </c>
      <c r="G340" t="inlineStr">
        <is>
          <t>SÖDERHAMN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34752-2024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45526</v>
      </c>
      <c r="E341" s="1" t="n">
        <v>46268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45597</v>
      </c>
      <c r="E342" s="1" t="n">
        <v>46268</v>
      </c>
      <c r="F342" t="inlineStr">
        <is>
          <t>GÄVLEBORGS LÄN</t>
        </is>
      </c>
      <c r="G342" t="inlineStr">
        <is>
          <t>SÖDERHAMN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45757</v>
      </c>
      <c r="E343" s="1" t="n">
        <v>46268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44938</v>
      </c>
      <c r="E344" s="1" t="n">
        <v>46268</v>
      </c>
      <c r="F344" t="inlineStr">
        <is>
          <t>GÄVLEBORGS LÄN</t>
        </is>
      </c>
      <c r="G344" t="inlineStr">
        <is>
          <t>SÖDERHAMN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46268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46268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46268</v>
      </c>
      <c r="F347" t="inlineStr">
        <is>
          <t>GÄVLEBORGS LÄN</t>
        </is>
      </c>
      <c r="G347" t="inlineStr">
        <is>
          <t>SÖDERHAMN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46268</v>
      </c>
      <c r="F348" t="inlineStr">
        <is>
          <t>GÄVLEBORGS LÄN</t>
        </is>
      </c>
      <c r="G348" t="inlineStr">
        <is>
          <t>SÖDERHAMN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16908-2026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46268</v>
      </c>
      <c r="F349" t="inlineStr">
        <is>
          <t>GÄVLEBORGS LÄN</t>
        </is>
      </c>
      <c r="G349" t="inlineStr">
        <is>
          <t>SÖDERHAMN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46117</v>
      </c>
      <c r="E350" s="1" t="n">
        <v>46268</v>
      </c>
      <c r="F350" t="inlineStr">
        <is>
          <t>GÄVLEBORGS LÄN</t>
        </is>
      </c>
      <c r="G350" t="inlineStr">
        <is>
          <t>SÖDERHAMN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46117</v>
      </c>
      <c r="E351" s="1" t="n">
        <v>46268</v>
      </c>
      <c r="F351" t="inlineStr">
        <is>
          <t>GÄVLEBORGS LÄN</t>
        </is>
      </c>
      <c r="G351" t="inlineStr">
        <is>
          <t>SÖDERHAMN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46117</v>
      </c>
      <c r="E352" s="1" t="n">
        <v>46268</v>
      </c>
      <c r="F352" t="inlineStr">
        <is>
          <t>GÄVLEBORGS LÄN</t>
        </is>
      </c>
      <c r="G352" t="inlineStr">
        <is>
          <t>SÖDERHAMN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46117</v>
      </c>
      <c r="E353" s="1" t="n">
        <v>46268</v>
      </c>
      <c r="F353" t="inlineStr">
        <is>
          <t>GÄVLEBORGS LÄN</t>
        </is>
      </c>
      <c r="G353" t="inlineStr">
        <is>
          <t>SÖDERHAMN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46268</v>
      </c>
      <c r="F354" t="inlineStr">
        <is>
          <t>GÄVLEBORGS LÄN</t>
        </is>
      </c>
      <c r="G354" t="inlineStr">
        <is>
          <t>SÖDERHAMN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50281-2024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46268</v>
      </c>
      <c r="F355" t="inlineStr">
        <is>
          <t>GÄVLEBORGS LÄN</t>
        </is>
      </c>
      <c r="G355" t="inlineStr">
        <is>
          <t>SÖDERHAMN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45548</v>
      </c>
      <c r="E356" s="1" t="n">
        <v>46268</v>
      </c>
      <c r="F356" t="inlineStr">
        <is>
          <t>GÄVLEBORGS LÄN</t>
        </is>
      </c>
      <c r="G356" t="inlineStr">
        <is>
          <t>SÖDERHAMN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45062</v>
      </c>
      <c r="E357" s="1" t="n">
        <v>46268</v>
      </c>
      <c r="F357" t="inlineStr">
        <is>
          <t>GÄVLEBORGS LÄN</t>
        </is>
      </c>
      <c r="G357" t="inlineStr">
        <is>
          <t>SÖDERHAMN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46268</v>
      </c>
      <c r="F358" t="inlineStr">
        <is>
          <t>GÄVLEBORGS LÄN</t>
        </is>
      </c>
      <c r="G358" t="inlineStr">
        <is>
          <t>SÖDERHAMN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45394</v>
      </c>
      <c r="E359" s="1" t="n">
        <v>46268</v>
      </c>
      <c r="F359" t="inlineStr">
        <is>
          <t>GÄVLEBORGS LÄN</t>
        </is>
      </c>
      <c r="G359" t="inlineStr">
        <is>
          <t>SÖDERHAMN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4557-2024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45327</v>
      </c>
      <c r="E360" s="1" t="n">
        <v>46268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46268</v>
      </c>
      <c r="F361" t="inlineStr">
        <is>
          <t>GÄVLEBORGS LÄN</t>
        </is>
      </c>
      <c r="G361" t="inlineStr">
        <is>
          <t>SÖDERHAMN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45398</v>
      </c>
      <c r="E362" s="1" t="n">
        <v>46268</v>
      </c>
      <c r="F362" t="inlineStr">
        <is>
          <t>GÄVLEBORGS LÄN</t>
        </is>
      </c>
      <c r="G362" t="inlineStr">
        <is>
          <t>SÖDERHAMN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44490</v>
      </c>
      <c r="E363" s="1" t="n">
        <v>46268</v>
      </c>
      <c r="F363" t="inlineStr">
        <is>
          <t>GÄVLEBORGS LÄN</t>
        </is>
      </c>
      <c r="G363" t="inlineStr">
        <is>
          <t>SÖDERHAMN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45275</v>
      </c>
      <c r="E364" s="1" t="n">
        <v>46268</v>
      </c>
      <c r="F364" t="inlineStr">
        <is>
          <t>GÄVLEBORGS LÄN</t>
        </is>
      </c>
      <c r="G364" t="inlineStr">
        <is>
          <t>SÖDERHAMN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46268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46268</v>
      </c>
      <c r="F366" t="inlineStr">
        <is>
          <t>GÄVLEBORGS LÄN</t>
        </is>
      </c>
      <c r="G366" t="inlineStr">
        <is>
          <t>SÖDERHAMN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45750</v>
      </c>
      <c r="E367" s="1" t="n">
        <v>46268</v>
      </c>
      <c r="F367" t="inlineStr">
        <is>
          <t>GÄVLEBORGS LÄN</t>
        </is>
      </c>
      <c r="G367" t="inlineStr">
        <is>
          <t>SÖDERHAMN</t>
        </is>
      </c>
      <c r="H367" t="inlineStr">
        <is>
          <t>Kommuner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46268</v>
      </c>
      <c r="F368" t="inlineStr">
        <is>
          <t>GÄVLEBORGS LÄN</t>
        </is>
      </c>
      <c r="G368" t="inlineStr">
        <is>
          <t>SÖDERHAMN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46268</v>
      </c>
      <c r="F369" t="inlineStr">
        <is>
          <t>GÄVLEBORGS LÄN</t>
        </is>
      </c>
      <c r="G369" t="inlineStr">
        <is>
          <t>SÖDERHAMN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46268</v>
      </c>
      <c r="F370" t="inlineStr">
        <is>
          <t>GÄVLEBORGS LÄN</t>
        </is>
      </c>
      <c r="G370" t="inlineStr">
        <is>
          <t>SÖDERHAMN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46268</v>
      </c>
      <c r="F371" t="inlineStr">
        <is>
          <t>GÄVLEBORGS LÄN</t>
        </is>
      </c>
      <c r="G371" t="inlineStr">
        <is>
          <t>SÖDERHAMN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24910-2024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45461</v>
      </c>
      <c r="E372" s="1" t="n">
        <v>46268</v>
      </c>
      <c r="F372" t="inlineStr">
        <is>
          <t>GÄVLEBORGS LÄN</t>
        </is>
      </c>
      <c r="G372" t="inlineStr">
        <is>
          <t>SÖDERHAMN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46268</v>
      </c>
      <c r="F373" t="inlineStr">
        <is>
          <t>GÄVLEBORGS LÄN</t>
        </is>
      </c>
      <c r="G373" t="inlineStr">
        <is>
          <t>SÖDERHAMN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46268</v>
      </c>
      <c r="F374" t="inlineStr">
        <is>
          <t>GÄVLEBORGS LÄN</t>
        </is>
      </c>
      <c r="G374" t="inlineStr">
        <is>
          <t>SÖDERHAMN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46268</v>
      </c>
      <c r="F375" t="inlineStr">
        <is>
          <t>GÄVLEBORGS LÄN</t>
        </is>
      </c>
      <c r="G375" t="inlineStr">
        <is>
          <t>SÖDERHAMN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46268</v>
      </c>
      <c r="F376" t="inlineStr">
        <is>
          <t>GÄVLEBORGS LÄN</t>
        </is>
      </c>
      <c r="G376" t="inlineStr">
        <is>
          <t>SÖDERHAMN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46136</v>
      </c>
      <c r="E377" s="1" t="n">
        <v>46268</v>
      </c>
      <c r="F377" t="inlineStr">
        <is>
          <t>GÄVLEBORGS LÄN</t>
        </is>
      </c>
      <c r="G377" t="inlineStr">
        <is>
          <t>SÖDERHAMN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46268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46268</v>
      </c>
      <c r="F379" t="inlineStr">
        <is>
          <t>GÄVLEBORGS LÄN</t>
        </is>
      </c>
      <c r="G379" t="inlineStr">
        <is>
          <t>SÖDERHAMN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46268</v>
      </c>
      <c r="F380" t="inlineStr">
        <is>
          <t>GÄVLEBORGS LÄN</t>
        </is>
      </c>
      <c r="G380" t="inlineStr">
        <is>
          <t>SÖDERHAMN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46268</v>
      </c>
      <c r="F381" t="inlineStr">
        <is>
          <t>GÄVLEBORGS LÄN</t>
        </is>
      </c>
      <c r="G381" t="inlineStr">
        <is>
          <t>SÖDERHAMN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14128-2022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44651</v>
      </c>
      <c r="E382" s="1" t="n">
        <v>46268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45905</v>
      </c>
      <c r="E383" s="1" t="n">
        <v>46268</v>
      </c>
      <c r="F383" t="inlineStr">
        <is>
          <t>GÄVLEBORGS LÄN</t>
        </is>
      </c>
      <c r="G383" t="inlineStr">
        <is>
          <t>SÖDERHAMN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45028</v>
      </c>
      <c r="E384" s="1" t="n">
        <v>46268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63431-2021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44508</v>
      </c>
      <c r="E385" s="1" t="n">
        <v>46268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46268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45791</v>
      </c>
      <c r="E387" s="1" t="n">
        <v>46268</v>
      </c>
      <c r="F387" t="inlineStr">
        <is>
          <t>GÄVLEBORGS LÄN</t>
        </is>
      </c>
      <c r="G387" t="inlineStr">
        <is>
          <t>SÖDERHAMN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44649</v>
      </c>
      <c r="E388" s="1" t="n">
        <v>46268</v>
      </c>
      <c r="F388" t="inlineStr">
        <is>
          <t>GÄVLEBORGS LÄN</t>
        </is>
      </c>
      <c r="G388" t="inlineStr">
        <is>
          <t>SÖDERHAMN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46268</v>
      </c>
      <c r="F389" t="inlineStr">
        <is>
          <t>GÄVLEBORGS LÄN</t>
        </is>
      </c>
      <c r="G389" t="inlineStr">
        <is>
          <t>SÖDERHAMN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46268</v>
      </c>
      <c r="F390" t="inlineStr">
        <is>
          <t>GÄVLEBORGS LÄN</t>
        </is>
      </c>
      <c r="G390" t="inlineStr">
        <is>
          <t>SÖDERHAMN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46268</v>
      </c>
      <c r="F391" t="inlineStr">
        <is>
          <t>GÄVLEBORGS LÄN</t>
        </is>
      </c>
      <c r="G391" t="inlineStr">
        <is>
          <t>SÖDERHAMN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51986-2024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46268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56933-2024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45628</v>
      </c>
      <c r="E393" s="1" t="n">
        <v>46268</v>
      </c>
      <c r="F393" t="inlineStr">
        <is>
          <t>GÄVLEBORGS LÄN</t>
        </is>
      </c>
      <c r="G393" t="inlineStr">
        <is>
          <t>SÖDERHAMN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55383-2025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46268</v>
      </c>
      <c r="F394" t="inlineStr">
        <is>
          <t>GÄVLEBORGS LÄN</t>
        </is>
      </c>
      <c r="G394" t="inlineStr">
        <is>
          <t>SÖDERHAMN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46041</v>
      </c>
      <c r="E395" s="1" t="n">
        <v>46268</v>
      </c>
      <c r="F395" t="inlineStr">
        <is>
          <t>GÄVLEBORGS LÄN</t>
        </is>
      </c>
      <c r="G395" t="inlineStr">
        <is>
          <t>SÖDERHAMN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46268</v>
      </c>
      <c r="F396" t="inlineStr">
        <is>
          <t>GÄVLEBORGS LÄN</t>
        </is>
      </c>
      <c r="G396" t="inlineStr">
        <is>
          <t>SÖDERHAMN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46268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45622</v>
      </c>
      <c r="E398" s="1" t="n">
        <v>46268</v>
      </c>
      <c r="F398" t="inlineStr">
        <is>
          <t>GÄVLEBORGS LÄN</t>
        </is>
      </c>
      <c r="G398" t="inlineStr">
        <is>
          <t>SÖDERHAMN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55715-2024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45622</v>
      </c>
      <c r="E399" s="1" t="n">
        <v>46268</v>
      </c>
      <c r="F399" t="inlineStr">
        <is>
          <t>GÄVLEBORGS LÄN</t>
        </is>
      </c>
      <c r="G399" t="inlineStr">
        <is>
          <t>SÖDERHAMN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46050</v>
      </c>
      <c r="E400" s="1" t="n">
        <v>46268</v>
      </c>
      <c r="F400" t="inlineStr">
        <is>
          <t>GÄVLEBORGS LÄN</t>
        </is>
      </c>
      <c r="G400" t="inlineStr">
        <is>
          <t>SÖDERHAMN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45602</v>
      </c>
      <c r="E401" s="1" t="n">
        <v>46268</v>
      </c>
      <c r="F401" t="inlineStr">
        <is>
          <t>GÄVLEBORGS LÄN</t>
        </is>
      </c>
      <c r="G401" t="inlineStr">
        <is>
          <t>SÖDERHAMN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46268</v>
      </c>
      <c r="F402" t="inlineStr">
        <is>
          <t>GÄVLEBORGS LÄN</t>
        </is>
      </c>
      <c r="G402" t="inlineStr">
        <is>
          <t>SÖDERHAMN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46139</v>
      </c>
      <c r="E403" s="1" t="n">
        <v>46268</v>
      </c>
      <c r="F403" t="inlineStr">
        <is>
          <t>GÄVLEBORGS LÄN</t>
        </is>
      </c>
      <c r="G403" t="inlineStr">
        <is>
          <t>SÖDERHAMN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46043</v>
      </c>
      <c r="E404" s="1" t="n">
        <v>46268</v>
      </c>
      <c r="F404" t="inlineStr">
        <is>
          <t>GÄVLEBORGS LÄN</t>
        </is>
      </c>
      <c r="G404" t="inlineStr">
        <is>
          <t>SÖDERHAMN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45747</v>
      </c>
      <c r="E405" s="1" t="n">
        <v>46268</v>
      </c>
      <c r="F405" t="inlineStr">
        <is>
          <t>GÄVLEBORGS LÄN</t>
        </is>
      </c>
      <c r="G405" t="inlineStr">
        <is>
          <t>SÖDERHAMN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46268</v>
      </c>
      <c r="F406" t="inlineStr">
        <is>
          <t>GÄVLEBORGS LÄN</t>
        </is>
      </c>
      <c r="G406" t="inlineStr">
        <is>
          <t>SÖDERHAMN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46268</v>
      </c>
      <c r="F407" t="inlineStr">
        <is>
          <t>GÄVLEBORGS LÄN</t>
        </is>
      </c>
      <c r="G407" t="inlineStr">
        <is>
          <t>SÖDERHAMN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47288-2023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46268</v>
      </c>
      <c r="F408" t="inlineStr">
        <is>
          <t>GÄVLEBORGS LÄN</t>
        </is>
      </c>
      <c r="G408" t="inlineStr">
        <is>
          <t>SÖDERHAMN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46268</v>
      </c>
      <c r="F409" t="inlineStr">
        <is>
          <t>GÄVLEBORGS LÄN</t>
        </is>
      </c>
      <c r="G409" t="inlineStr">
        <is>
          <t>SÖDERHAMN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51553-2024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45604</v>
      </c>
      <c r="E410" s="1" t="n">
        <v>46268</v>
      </c>
      <c r="F410" t="inlineStr">
        <is>
          <t>GÄVLEBORGS LÄN</t>
        </is>
      </c>
      <c r="G410" t="inlineStr">
        <is>
          <t>SÖDERHAMN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40793-2024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45558</v>
      </c>
      <c r="E411" s="1" t="n">
        <v>46268</v>
      </c>
      <c r="F411" t="inlineStr">
        <is>
          <t>GÄVLEBORGS LÄN</t>
        </is>
      </c>
      <c r="G411" t="inlineStr">
        <is>
          <t>SÖDERHAMN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20312-2025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46268</v>
      </c>
      <c r="F412" t="inlineStr">
        <is>
          <t>GÄVLEBORGS LÄN</t>
        </is>
      </c>
      <c r="G412" t="inlineStr">
        <is>
          <t>SÖDERHAMN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53583-2025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45960</v>
      </c>
      <c r="E413" s="1" t="n">
        <v>46268</v>
      </c>
      <c r="F413" t="inlineStr">
        <is>
          <t>GÄVLEBORGS LÄN</t>
        </is>
      </c>
      <c r="G413" t="inlineStr">
        <is>
          <t>SÖDERHAMN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45764</v>
      </c>
      <c r="E414" s="1" t="n">
        <v>46268</v>
      </c>
      <c r="F414" t="inlineStr">
        <is>
          <t>GÄVLEBORGS LÄN</t>
        </is>
      </c>
      <c r="G414" t="inlineStr">
        <is>
          <t>SÖDERHAMN</t>
        </is>
      </c>
      <c r="H414" t="inlineStr">
        <is>
          <t>Kommuner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45467</v>
      </c>
      <c r="E415" s="1" t="n">
        <v>46268</v>
      </c>
      <c r="F415" t="inlineStr">
        <is>
          <t>GÄVLEBORGS LÄN</t>
        </is>
      </c>
      <c r="G415" t="inlineStr">
        <is>
          <t>SÖDERHAMN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45027</v>
      </c>
      <c r="E416" s="1" t="n">
        <v>46268</v>
      </c>
      <c r="F416" t="inlineStr">
        <is>
          <t>GÄVLEBORGS LÄN</t>
        </is>
      </c>
      <c r="G416" t="inlineStr">
        <is>
          <t>SÖDERHAMN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46268</v>
      </c>
      <c r="F417" t="inlineStr">
        <is>
          <t>GÄVLEBORGS LÄN</t>
        </is>
      </c>
      <c r="G417" t="inlineStr">
        <is>
          <t>SÖDERHAMN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46268</v>
      </c>
      <c r="F418" t="inlineStr">
        <is>
          <t>GÄVLEBORGS LÄN</t>
        </is>
      </c>
      <c r="G418" t="inlineStr">
        <is>
          <t>SÖDERHAMN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46024</v>
      </c>
      <c r="E419" s="1" t="n">
        <v>46268</v>
      </c>
      <c r="F419" t="inlineStr">
        <is>
          <t>GÄVLEBORGS LÄN</t>
        </is>
      </c>
      <c r="G419" t="inlineStr">
        <is>
          <t>SÖDERHAMN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46268</v>
      </c>
      <c r="F420" t="inlineStr">
        <is>
          <t>GÄVLEBORGS LÄN</t>
        </is>
      </c>
      <c r="G420" t="inlineStr">
        <is>
          <t>SÖDERHAMN</t>
        </is>
      </c>
      <c r="I420" t="n">
        <v>14.2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15975-2026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46268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46268</v>
      </c>
      <c r="F422" t="inlineStr">
        <is>
          <t>GÄVLEBORGS LÄN</t>
        </is>
      </c>
      <c r="G422" t="inlineStr">
        <is>
          <t>SÖDERHAMN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46268</v>
      </c>
      <c r="F423" t="inlineStr">
        <is>
          <t>GÄVLEBORGS LÄN</t>
        </is>
      </c>
      <c r="G423" t="inlineStr">
        <is>
          <t>SÖDERHAMN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46268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46268</v>
      </c>
      <c r="F425" t="inlineStr">
        <is>
          <t>GÄVLEBORGS LÄN</t>
        </is>
      </c>
      <c r="G425" t="inlineStr">
        <is>
          <t>SÖDERHAMN</t>
        </is>
      </c>
      <c r="H425" t="inlineStr">
        <is>
          <t>Kommuner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20934-2026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46142</v>
      </c>
      <c r="E426" s="1" t="n">
        <v>46268</v>
      </c>
      <c r="F426" t="inlineStr">
        <is>
          <t>GÄVLEBORGS LÄN</t>
        </is>
      </c>
      <c r="G426" t="inlineStr">
        <is>
          <t>SÖDERHAMN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21003-2026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46268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46268</v>
      </c>
      <c r="F428" t="inlineStr">
        <is>
          <t>GÄVLEBORGS LÄN</t>
        </is>
      </c>
      <c r="G428" t="inlineStr">
        <is>
          <t>SÖDERHAMN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55765-2025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45972</v>
      </c>
      <c r="E429" s="1" t="n">
        <v>46268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46024</v>
      </c>
      <c r="E430" s="1" t="n">
        <v>46268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39207-2024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45548</v>
      </c>
      <c r="E431" s="1" t="n">
        <v>46268</v>
      </c>
      <c r="F431" t="inlineStr">
        <is>
          <t>GÄVLEBORGS LÄN</t>
        </is>
      </c>
      <c r="G431" t="inlineStr">
        <is>
          <t>SÖDERHAMN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44681-2024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45574</v>
      </c>
      <c r="E432" s="1" t="n">
        <v>46268</v>
      </c>
      <c r="F432" t="inlineStr">
        <is>
          <t>GÄVLEBORGS LÄN</t>
        </is>
      </c>
      <c r="G432" t="inlineStr">
        <is>
          <t>SÖDERHAMN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21385-2026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46147</v>
      </c>
      <c r="E433" s="1" t="n">
        <v>46268</v>
      </c>
      <c r="F433" t="inlineStr">
        <is>
          <t>GÄVLEBORGS LÄN</t>
        </is>
      </c>
      <c r="G433" t="inlineStr">
        <is>
          <t>SÖDERHAMN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46147</v>
      </c>
      <c r="E434" s="1" t="n">
        <v>46268</v>
      </c>
      <c r="F434" t="inlineStr">
        <is>
          <t>GÄVLEBORGS LÄN</t>
        </is>
      </c>
      <c r="G434" t="inlineStr">
        <is>
          <t>SÖDERHAMN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46268</v>
      </c>
      <c r="F435" t="inlineStr">
        <is>
          <t>GÄVLEBORGS LÄN</t>
        </is>
      </c>
      <c r="G435" t="inlineStr">
        <is>
          <t>SÖDERHAMN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46268</v>
      </c>
      <c r="F436" t="inlineStr">
        <is>
          <t>GÄVLEBORGS LÄN</t>
        </is>
      </c>
      <c r="G436" t="inlineStr">
        <is>
          <t>SÖDERHAMN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20286-2023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45056</v>
      </c>
      <c r="E437" s="1" t="n">
        <v>46268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46149</v>
      </c>
      <c r="E438" s="1" t="n">
        <v>46268</v>
      </c>
      <c r="F438" t="inlineStr">
        <is>
          <t>GÄVLEBORGS LÄN</t>
        </is>
      </c>
      <c r="G438" t="inlineStr">
        <is>
          <t>SÖDERHAMN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55240-2024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45621</v>
      </c>
      <c r="E439" s="1" t="n">
        <v>46268</v>
      </c>
      <c r="F439" t="inlineStr">
        <is>
          <t>GÄVLEBORGS LÄN</t>
        </is>
      </c>
      <c r="G439" t="inlineStr">
        <is>
          <t>SÖDERHAMN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45098</v>
      </c>
      <c r="E440" s="1" t="n">
        <v>46268</v>
      </c>
      <c r="F440" t="inlineStr">
        <is>
          <t>GÄVLEBORGS LÄN</t>
        </is>
      </c>
      <c r="G440" t="inlineStr">
        <is>
          <t>SÖDERHAMN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46268</v>
      </c>
      <c r="F441" t="inlineStr">
        <is>
          <t>GÄVLEBORGS LÄN</t>
        </is>
      </c>
      <c r="G441" t="inlineStr">
        <is>
          <t>SÖDERHAMN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46149</v>
      </c>
      <c r="E442" s="1" t="n">
        <v>46268</v>
      </c>
      <c r="F442" t="inlineStr">
        <is>
          <t>GÄVLEBORGS LÄN</t>
        </is>
      </c>
      <c r="G442" t="inlineStr">
        <is>
          <t>SÖDERHAMN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46268</v>
      </c>
      <c r="F443" t="inlineStr">
        <is>
          <t>GÄVLEBORGS LÄN</t>
        </is>
      </c>
      <c r="G443" t="inlineStr">
        <is>
          <t>SÖDERHAMN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46268</v>
      </c>
      <c r="F444" t="inlineStr">
        <is>
          <t>GÄVLEBORGS LÄN</t>
        </is>
      </c>
      <c r="G444" t="inlineStr">
        <is>
          <t>SÖDERHAMN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46268</v>
      </c>
      <c r="F445" t="inlineStr">
        <is>
          <t>GÄVLEBORGS LÄN</t>
        </is>
      </c>
      <c r="G445" t="inlineStr">
        <is>
          <t>SÖDERHAMN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44963</v>
      </c>
      <c r="E446" s="1" t="n">
        <v>46268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43191-2024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45567</v>
      </c>
      <c r="E447" s="1" t="n">
        <v>46268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46150</v>
      </c>
      <c r="E448" s="1" t="n">
        <v>46268</v>
      </c>
      <c r="F448" t="inlineStr">
        <is>
          <t>GÄVLEBORGS LÄN</t>
        </is>
      </c>
      <c r="G448" t="inlineStr">
        <is>
          <t>SÖDERHAMN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46268</v>
      </c>
      <c r="F449" t="inlineStr">
        <is>
          <t>GÄVLEBORGS LÄN</t>
        </is>
      </c>
      <c r="G449" t="inlineStr">
        <is>
          <t>SÖDERHAMN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45750</v>
      </c>
      <c r="E450" s="1" t="n">
        <v>46268</v>
      </c>
      <c r="F450" t="inlineStr">
        <is>
          <t>GÄVLEBORGS LÄN</t>
        </is>
      </c>
      <c r="G450" t="inlineStr">
        <is>
          <t>SÖDERHAMN</t>
        </is>
      </c>
      <c r="H450" t="inlineStr">
        <is>
          <t>Kommuner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46268</v>
      </c>
      <c r="F451" t="inlineStr">
        <is>
          <t>GÄVLEBORGS LÄN</t>
        </is>
      </c>
      <c r="G451" t="inlineStr">
        <is>
          <t>SÖDERHAMN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46155</v>
      </c>
      <c r="E452" s="1" t="n">
        <v>46268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44957</v>
      </c>
      <c r="E453" s="1" t="n">
        <v>46268</v>
      </c>
      <c r="F453" t="inlineStr">
        <is>
          <t>GÄVLEBORGS LÄN</t>
        </is>
      </c>
      <c r="G453" t="inlineStr">
        <is>
          <t>SÖDERHAMN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46268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46268</v>
      </c>
      <c r="F455" t="inlineStr">
        <is>
          <t>GÄVLEBORGS LÄN</t>
        </is>
      </c>
      <c r="G455" t="inlineStr">
        <is>
          <t>SÖDERHAMN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46157</v>
      </c>
      <c r="E456" s="1" t="n">
        <v>46268</v>
      </c>
      <c r="F456" t="inlineStr">
        <is>
          <t>GÄVLEBORGS LÄN</t>
        </is>
      </c>
      <c r="G456" t="inlineStr">
        <is>
          <t>SÖDERHAMN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46157</v>
      </c>
      <c r="E457" s="1" t="n">
        <v>46268</v>
      </c>
      <c r="F457" t="inlineStr">
        <is>
          <t>GÄVLEBORGS LÄN</t>
        </is>
      </c>
      <c r="G457" t="inlineStr">
        <is>
          <t>SÖDERHAMN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46268</v>
      </c>
      <c r="F458" t="inlineStr">
        <is>
          <t>GÄVLEBORGS LÄN</t>
        </is>
      </c>
      <c r="G458" t="inlineStr">
        <is>
          <t>SÖDERHAMN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46157</v>
      </c>
      <c r="E459" s="1" t="n">
        <v>46268</v>
      </c>
      <c r="F459" t="inlineStr">
        <is>
          <t>GÄVLEBORGS LÄN</t>
        </is>
      </c>
      <c r="G459" t="inlineStr">
        <is>
          <t>SÖDERHAMN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46157</v>
      </c>
      <c r="E460" s="1" t="n">
        <v>46268</v>
      </c>
      <c r="F460" t="inlineStr">
        <is>
          <t>GÄVLEBORGS LÄN</t>
        </is>
      </c>
      <c r="G460" t="inlineStr">
        <is>
          <t>SÖDERHAMN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46268</v>
      </c>
      <c r="F461" t="inlineStr">
        <is>
          <t>GÄVLEBORGS LÄN</t>
        </is>
      </c>
      <c r="G461" t="inlineStr">
        <is>
          <t>SÖDERHAMN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46268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22727-2026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46157</v>
      </c>
      <c r="E463" s="1" t="n">
        <v>46268</v>
      </c>
      <c r="F463" t="inlineStr">
        <is>
          <t>GÄVLEBORGS LÄN</t>
        </is>
      </c>
      <c r="G463" t="inlineStr">
        <is>
          <t>SÖDERHAMN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46163</v>
      </c>
      <c r="E464" s="1" t="n">
        <v>46268</v>
      </c>
      <c r="F464" t="inlineStr">
        <is>
          <t>GÄVLEBORGS LÄN</t>
        </is>
      </c>
      <c r="G464" t="inlineStr">
        <is>
          <t>SÖDERHAMN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46268</v>
      </c>
      <c r="F465" t="inlineStr">
        <is>
          <t>GÄVLEBORGS LÄN</t>
        </is>
      </c>
      <c r="G465" t="inlineStr">
        <is>
          <t>SÖDERHAMN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72644-2021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46268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58141-2024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46268</v>
      </c>
      <c r="F467" t="inlineStr">
        <is>
          <t>GÄVLEBORGS LÄN</t>
        </is>
      </c>
      <c r="G467" t="inlineStr">
        <is>
          <t>SÖDERHAMN</t>
        </is>
      </c>
      <c r="H467" t="inlineStr">
        <is>
          <t>Bergvik skog väst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45062</v>
      </c>
      <c r="E468" s="1" t="n">
        <v>46268</v>
      </c>
      <c r="F468" t="inlineStr">
        <is>
          <t>GÄVLEBORGS LÄN</t>
        </is>
      </c>
      <c r="G468" t="inlineStr">
        <is>
          <t>SÖDERHAMN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46268</v>
      </c>
      <c r="F469" t="inlineStr">
        <is>
          <t>GÄVLEBORGS LÄN</t>
        </is>
      </c>
      <c r="G469" t="inlineStr">
        <is>
          <t>SÖDERHAMN</t>
        </is>
      </c>
      <c r="I469" t="n">
        <v>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46163</v>
      </c>
      <c r="E470" s="1" t="n">
        <v>46268</v>
      </c>
      <c r="F470" t="inlineStr">
        <is>
          <t>GÄVLEBORGS LÄN</t>
        </is>
      </c>
      <c r="G470" t="inlineStr">
        <is>
          <t>SÖDERHAMN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46268</v>
      </c>
      <c r="F471" t="inlineStr">
        <is>
          <t>GÄVLEBORGS LÄN</t>
        </is>
      </c>
      <c r="G471" t="inlineStr">
        <is>
          <t>SÖDERHAMN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23770-2026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46268</v>
      </c>
      <c r="F472" t="inlineStr">
        <is>
          <t>GÄVLEBORGS LÄN</t>
        </is>
      </c>
      <c r="G472" t="inlineStr">
        <is>
          <t>SÖDERHAMN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45113</v>
      </c>
      <c r="E473" s="1" t="n">
        <v>46268</v>
      </c>
      <c r="F473" t="inlineStr">
        <is>
          <t>GÄVLEBORGS LÄN</t>
        </is>
      </c>
      <c r="G473" t="inlineStr">
        <is>
          <t>SÖDERHAMN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46164</v>
      </c>
      <c r="E474" s="1" t="n">
        <v>46268</v>
      </c>
      <c r="F474" t="inlineStr">
        <is>
          <t>GÄVLEBORGS LÄN</t>
        </is>
      </c>
      <c r="G474" t="inlineStr">
        <is>
          <t>SÖDERHAMN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46165</v>
      </c>
      <c r="E475" s="1" t="n">
        <v>46268</v>
      </c>
      <c r="F475" t="inlineStr">
        <is>
          <t>GÄVLEBORGS LÄN</t>
        </is>
      </c>
      <c r="G475" t="inlineStr">
        <is>
          <t>SÖDERHAMN</t>
        </is>
      </c>
      <c r="H475" t="inlineStr">
        <is>
          <t>Bergvik skog väst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48797-2024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46268</v>
      </c>
      <c r="F476" t="inlineStr">
        <is>
          <t>GÄVLEBORGS LÄN</t>
        </is>
      </c>
      <c r="G476" t="inlineStr">
        <is>
          <t>SÖDERHAMN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48561-2025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45936</v>
      </c>
      <c r="E477" s="1" t="n">
        <v>46268</v>
      </c>
      <c r="F477" t="inlineStr">
        <is>
          <t>GÄVLEBORGS LÄN</t>
        </is>
      </c>
      <c r="G477" t="inlineStr">
        <is>
          <t>SÖDERHAMN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46268</v>
      </c>
      <c r="F478" t="inlineStr">
        <is>
          <t>GÄVLEBORGS LÄN</t>
        </is>
      </c>
      <c r="G478" t="inlineStr">
        <is>
          <t>SÖDERHAMN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46268</v>
      </c>
      <c r="F479" t="inlineStr">
        <is>
          <t>GÄVLEBORGS LÄN</t>
        </is>
      </c>
      <c r="G479" t="inlineStr">
        <is>
          <t>SÖDERHAMN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46268</v>
      </c>
      <c r="F480" t="inlineStr">
        <is>
          <t>GÄVLEBORGS LÄN</t>
        </is>
      </c>
      <c r="G480" t="inlineStr">
        <is>
          <t>SÖDERHAMN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46268</v>
      </c>
      <c r="F481" t="inlineStr">
        <is>
          <t>GÄVLEBORGS LÄN</t>
        </is>
      </c>
      <c r="G481" t="inlineStr">
        <is>
          <t>SÖDERHAMN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45425</v>
      </c>
      <c r="E482" s="1" t="n">
        <v>46268</v>
      </c>
      <c r="F482" t="inlineStr">
        <is>
          <t>GÄVLEBORGS LÄN</t>
        </is>
      </c>
      <c r="G482" t="inlineStr">
        <is>
          <t>SÖDERHAMN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46268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40811-2022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44824</v>
      </c>
      <c r="E484" s="1" t="n">
        <v>46268</v>
      </c>
      <c r="F484" t="inlineStr">
        <is>
          <t>GÄVLEBORGS LÄN</t>
        </is>
      </c>
      <c r="G484" t="inlineStr">
        <is>
          <t>SÖDERHAMN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42549-2024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45565</v>
      </c>
      <c r="E485" s="1" t="n">
        <v>46268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46268</v>
      </c>
      <c r="F486" t="inlineStr">
        <is>
          <t>GÄVLEBORGS LÄN</t>
        </is>
      </c>
      <c r="G486" t="inlineStr">
        <is>
          <t>SÖDERHAMN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46268</v>
      </c>
      <c r="F487" t="inlineStr">
        <is>
          <t>GÄVLEBORGS LÄN</t>
        </is>
      </c>
      <c r="G487" t="inlineStr">
        <is>
          <t>SÖDERHAMN</t>
        </is>
      </c>
      <c r="I487" t="n">
        <v>8.300000000000001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46268</v>
      </c>
      <c r="F488" t="inlineStr">
        <is>
          <t>GÄVLEBORGS LÄN</t>
        </is>
      </c>
      <c r="G488" t="inlineStr">
        <is>
          <t>SÖDERHAMN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46268</v>
      </c>
      <c r="F489" t="inlineStr">
        <is>
          <t>GÄVLEBORGS LÄN</t>
        </is>
      </c>
      <c r="G489" t="inlineStr">
        <is>
          <t>SÖDERHAMN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7972-2025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45707</v>
      </c>
      <c r="E490" s="1" t="n">
        <v>46268</v>
      </c>
      <c r="F490" t="inlineStr">
        <is>
          <t>GÄVLEBORGS LÄN</t>
        </is>
      </c>
      <c r="G490" t="inlineStr">
        <is>
          <t>SÖDERHAMN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57814-2022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44897</v>
      </c>
      <c r="E491" s="1" t="n">
        <v>46268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46268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51458-2022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44869</v>
      </c>
      <c r="E493" s="1" t="n">
        <v>46268</v>
      </c>
      <c r="F493" t="inlineStr">
        <is>
          <t>GÄVLEBORGS LÄN</t>
        </is>
      </c>
      <c r="G493" t="inlineStr">
        <is>
          <t>SÖDERHAMN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57500-2023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45246</v>
      </c>
      <c r="E494" s="1" t="n">
        <v>46268</v>
      </c>
      <c r="F494" t="inlineStr">
        <is>
          <t>GÄVLEBORGS LÄN</t>
        </is>
      </c>
      <c r="G494" t="inlineStr">
        <is>
          <t>SÖDERHAMN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46268</v>
      </c>
      <c r="F495" t="inlineStr">
        <is>
          <t>GÄVLEBORGS LÄN</t>
        </is>
      </c>
      <c r="G495" t="inlineStr">
        <is>
          <t>SÖDERHAMN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46268</v>
      </c>
      <c r="F496" t="inlineStr">
        <is>
          <t>GÄVLEBORGS LÄN</t>
        </is>
      </c>
      <c r="G496" t="inlineStr">
        <is>
          <t>SÖDERHAMN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54135-2024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46268</v>
      </c>
      <c r="F497" t="inlineStr">
        <is>
          <t>GÄVLEBORGS LÄN</t>
        </is>
      </c>
      <c r="G497" t="inlineStr">
        <is>
          <t>SÖDERHAMN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46175</v>
      </c>
      <c r="E498" s="1" t="n">
        <v>46268</v>
      </c>
      <c r="F498" t="inlineStr">
        <is>
          <t>GÄVLEBORGS LÄN</t>
        </is>
      </c>
      <c r="G498" t="inlineStr">
        <is>
          <t>SÖDERHAMN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51492-2023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46268</v>
      </c>
      <c r="F499" t="inlineStr">
        <is>
          <t>GÄVLEBORGS LÄN</t>
        </is>
      </c>
      <c r="G499" t="inlineStr">
        <is>
          <t>SÖDERHAMN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46268</v>
      </c>
      <c r="F500" t="inlineStr">
        <is>
          <t>GÄVLEBORGS LÄN</t>
        </is>
      </c>
      <c r="G500" t="inlineStr">
        <is>
          <t>SÖDERHAMN</t>
        </is>
      </c>
      <c r="I500" t="n">
        <v>20.9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46268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45324</v>
      </c>
      <c r="E502" s="1" t="n">
        <v>46268</v>
      </c>
      <c r="F502" t="inlineStr">
        <is>
          <t>GÄVLEBORGS LÄN</t>
        </is>
      </c>
      <c r="G502" t="inlineStr">
        <is>
          <t>SÖDERHAMN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45219</v>
      </c>
      <c r="E503" s="1" t="n">
        <v>46268</v>
      </c>
      <c r="F503" t="inlineStr">
        <is>
          <t>GÄVLEBORGS LÄN</t>
        </is>
      </c>
      <c r="G503" t="inlineStr">
        <is>
          <t>SÖDERHAMN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46268</v>
      </c>
      <c r="F504" t="inlineStr">
        <is>
          <t>GÄVLEBORGS LÄN</t>
        </is>
      </c>
      <c r="G504" t="inlineStr">
        <is>
          <t>SÖDERHAMN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46268</v>
      </c>
      <c r="F505" t="inlineStr">
        <is>
          <t>GÄVLEBORGS LÄN</t>
        </is>
      </c>
      <c r="G505" t="inlineStr">
        <is>
          <t>SÖDERHAMN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26042-2026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46177</v>
      </c>
      <c r="E506" s="1" t="n">
        <v>46268</v>
      </c>
      <c r="F506" t="inlineStr">
        <is>
          <t>GÄVLEBORGS LÄN</t>
        </is>
      </c>
      <c r="G506" t="inlineStr">
        <is>
          <t>SÖDERHAMN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46268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49306-2023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45210</v>
      </c>
      <c r="E508" s="1" t="n">
        <v>46268</v>
      </c>
      <c r="F508" t="inlineStr">
        <is>
          <t>GÄVLEBORGS LÄN</t>
        </is>
      </c>
      <c r="G508" t="inlineStr">
        <is>
          <t>SÖDERHAMN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26013-2026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46268</v>
      </c>
      <c r="F509" t="inlineStr">
        <is>
          <t>GÄVLEBORGS LÄN</t>
        </is>
      </c>
      <c r="G509" t="inlineStr">
        <is>
          <t>SÖDERHAMN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46268</v>
      </c>
      <c r="F510" t="inlineStr">
        <is>
          <t>GÄVLEBORGS LÄN</t>
        </is>
      </c>
      <c r="G510" t="inlineStr">
        <is>
          <t>SÖDERHAMN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46268</v>
      </c>
      <c r="F511" t="inlineStr">
        <is>
          <t>GÄVLEBORGS LÄN</t>
        </is>
      </c>
      <c r="G511" t="inlineStr">
        <is>
          <t>SÖDERHAMN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46227</v>
      </c>
      <c r="E512" s="1" t="n">
        <v>46268</v>
      </c>
      <c r="F512" t="inlineStr">
        <is>
          <t>GÄVLEBORGS LÄN</t>
        </is>
      </c>
      <c r="G512" t="inlineStr">
        <is>
          <t>SÖDERHAMN</t>
        </is>
      </c>
      <c r="I512" t="n">
        <v>11.5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45260</v>
      </c>
      <c r="E513" s="1" t="n">
        <v>46268</v>
      </c>
      <c r="F513" t="inlineStr">
        <is>
          <t>GÄVLEBORGS LÄN</t>
        </is>
      </c>
      <c r="G513" t="inlineStr">
        <is>
          <t>SÖDERHAMN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46268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16731-2025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45754</v>
      </c>
      <c r="E515" s="1" t="n">
        <v>46268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52518-2024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45609</v>
      </c>
      <c r="E516" s="1" t="n">
        <v>46268</v>
      </c>
      <c r="F516" t="inlineStr">
        <is>
          <t>GÄVLEBORGS LÄN</t>
        </is>
      </c>
      <c r="G516" t="inlineStr">
        <is>
          <t>SÖDERHAMN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44564</v>
      </c>
      <c r="E517" s="1" t="n">
        <v>46268</v>
      </c>
      <c r="F517" t="inlineStr">
        <is>
          <t>GÄVLEBORGS LÄN</t>
        </is>
      </c>
      <c r="G517" t="inlineStr">
        <is>
          <t>SÖDERHAMN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17809-2026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46122</v>
      </c>
      <c r="E518" s="1" t="n">
        <v>46268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7608-2026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46062</v>
      </c>
      <c r="E519" s="1" t="n">
        <v>46268</v>
      </c>
      <c r="F519" t="inlineStr">
        <is>
          <t>GÄVLEBORGS LÄN</t>
        </is>
      </c>
      <c r="G519" t="inlineStr">
        <is>
          <t>SÖDERHAMN</t>
        </is>
      </c>
      <c r="I519" t="n">
        <v>11.8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45677</v>
      </c>
      <c r="E520" s="1" t="n">
        <v>46268</v>
      </c>
      <c r="F520" t="inlineStr">
        <is>
          <t>GÄVLEBORGS LÄN</t>
        </is>
      </c>
      <c r="G520" t="inlineStr">
        <is>
          <t>SÖDERHAMN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56500-2023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46268</v>
      </c>
      <c r="F521" t="inlineStr">
        <is>
          <t>GÄVLEBORGS LÄN</t>
        </is>
      </c>
      <c r="G521" t="inlineStr">
        <is>
          <t>SÖDERHAMN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46237</v>
      </c>
      <c r="E522" s="1" t="n">
        <v>46268</v>
      </c>
      <c r="F522" t="inlineStr">
        <is>
          <t>GÄVLEBORGS LÄN</t>
        </is>
      </c>
      <c r="G522" t="inlineStr">
        <is>
          <t>SÖDERHAMN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46268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46268</v>
      </c>
      <c r="F524" t="inlineStr">
        <is>
          <t>GÄVLEBORGS LÄN</t>
        </is>
      </c>
      <c r="G524" t="inlineStr">
        <is>
          <t>SÖDERHAMN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23467-2026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46163</v>
      </c>
      <c r="E525" s="1" t="n">
        <v>46268</v>
      </c>
      <c r="F525" t="inlineStr">
        <is>
          <t>GÄVLEBORGS LÄN</t>
        </is>
      </c>
      <c r="G525" t="inlineStr">
        <is>
          <t>SÖDERHAMN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46007-2024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46268</v>
      </c>
      <c r="F526" t="inlineStr">
        <is>
          <t>GÄVLEBORGS LÄN</t>
        </is>
      </c>
      <c r="G526" t="inlineStr">
        <is>
          <t>SÖDERHAMN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46268</v>
      </c>
      <c r="F527" t="inlineStr">
        <is>
          <t>GÄVLEBORGS LÄN</t>
        </is>
      </c>
      <c r="G527" t="inlineStr">
        <is>
          <t>SÖDERHAMN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46268</v>
      </c>
      <c r="F528" t="inlineStr">
        <is>
          <t>GÄVLEBORGS LÄN</t>
        </is>
      </c>
      <c r="G528" t="inlineStr">
        <is>
          <t>SÖDERHAMN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41649-2024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46268</v>
      </c>
      <c r="F529" t="inlineStr">
        <is>
          <t>GÄVLEBORGS LÄN</t>
        </is>
      </c>
      <c r="G529" t="inlineStr">
        <is>
          <t>SÖDERHAMN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46268</v>
      </c>
      <c r="F530" t="inlineStr">
        <is>
          <t>GÄVLEBORGS LÄN</t>
        </is>
      </c>
      <c r="G530" t="inlineStr">
        <is>
          <t>SÖDERHAMN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29818-2023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45107</v>
      </c>
      <c r="E531" s="1" t="n">
        <v>46268</v>
      </c>
      <c r="F531" t="inlineStr">
        <is>
          <t>GÄVLEBORGS LÄN</t>
        </is>
      </c>
      <c r="G531" t="inlineStr">
        <is>
          <t>SÖDERHAMN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51273-2021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44460</v>
      </c>
      <c r="E532" s="1" t="n">
        <v>46268</v>
      </c>
      <c r="F532" t="inlineStr">
        <is>
          <t>GÄVLEBORGS LÄN</t>
        </is>
      </c>
      <c r="G532" t="inlineStr">
        <is>
          <t>SÖDERHAMN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11075-2023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44992</v>
      </c>
      <c r="E533" s="1" t="n">
        <v>46268</v>
      </c>
      <c r="F533" t="inlineStr">
        <is>
          <t>GÄVLEBORGS LÄN</t>
        </is>
      </c>
      <c r="G533" t="inlineStr">
        <is>
          <t>SÖDERHAMN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30336-2022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44760</v>
      </c>
      <c r="E534" s="1" t="n">
        <v>46268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46268</v>
      </c>
      <c r="F535" t="inlineStr">
        <is>
          <t>GÄVLEBORGS LÄN</t>
        </is>
      </c>
      <c r="G535" t="inlineStr">
        <is>
          <t>SÖDERHAMN</t>
        </is>
      </c>
      <c r="H535" t="inlineStr">
        <is>
          <t>Kommuner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45278</v>
      </c>
      <c r="E536" s="1" t="n">
        <v>46268</v>
      </c>
      <c r="F536" t="inlineStr">
        <is>
          <t>GÄVLEBORGS LÄN</t>
        </is>
      </c>
      <c r="G536" t="inlineStr">
        <is>
          <t>SÖDERHAMN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46268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26554-2022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44739</v>
      </c>
      <c r="E538" s="1" t="n">
        <v>46268</v>
      </c>
      <c r="F538" t="inlineStr">
        <is>
          <t>GÄVLEBORGS LÄN</t>
        </is>
      </c>
      <c r="G538" t="inlineStr">
        <is>
          <t>SÖDERHAMN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44582</v>
      </c>
      <c r="E539" s="1" t="n">
        <v>46268</v>
      </c>
      <c r="F539" t="inlineStr">
        <is>
          <t>GÄVLEBORGS LÄN</t>
        </is>
      </c>
      <c r="G539" t="inlineStr">
        <is>
          <t>SÖDERHAMN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15454-2025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45747</v>
      </c>
      <c r="E540" s="1" t="n">
        <v>46268</v>
      </c>
      <c r="F540" t="inlineStr">
        <is>
          <t>GÄVLEBORGS LÄN</t>
        </is>
      </c>
      <c r="G540" t="inlineStr">
        <is>
          <t>SÖDERHAMN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37837-2024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46268</v>
      </c>
      <c r="F541" t="inlineStr">
        <is>
          <t>GÄVLEBORGS LÄN</t>
        </is>
      </c>
      <c r="G541" t="inlineStr">
        <is>
          <t>SÖDERHAMN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45093</v>
      </c>
      <c r="E542" s="1" t="n">
        <v>46268</v>
      </c>
      <c r="F542" t="inlineStr">
        <is>
          <t>GÄVLEBORGS LÄN</t>
        </is>
      </c>
      <c r="G542" t="inlineStr">
        <is>
          <t>SÖDERHAMN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30321-2026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46207</v>
      </c>
      <c r="E543" s="1" t="n">
        <v>46268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45722</v>
      </c>
      <c r="E544" s="1" t="n">
        <v>46268</v>
      </c>
      <c r="F544" t="inlineStr">
        <is>
          <t>GÄVLEBORGS LÄN</t>
        </is>
      </c>
      <c r="G544" t="inlineStr">
        <is>
          <t>SÖDERHAMN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4563-2023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44956</v>
      </c>
      <c r="E545" s="1" t="n">
        <v>46268</v>
      </c>
      <c r="F545" t="inlineStr">
        <is>
          <t>GÄVLEBORGS LÄN</t>
        </is>
      </c>
      <c r="G545" t="inlineStr">
        <is>
          <t>SÖDERHAMN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46253</v>
      </c>
      <c r="E546" s="1" t="n">
        <v>46268</v>
      </c>
      <c r="F546" t="inlineStr">
        <is>
          <t>GÄVLEBORGS LÄN</t>
        </is>
      </c>
      <c r="G546" t="inlineStr">
        <is>
          <t>SÖDERHAMN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46268</v>
      </c>
      <c r="F547" t="inlineStr">
        <is>
          <t>GÄVLEBORGS LÄN</t>
        </is>
      </c>
      <c r="G547" t="inlineStr">
        <is>
          <t>SÖDERHAMN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46253</v>
      </c>
      <c r="E548" s="1" t="n">
        <v>46268</v>
      </c>
      <c r="F548" t="inlineStr">
        <is>
          <t>GÄVLEBORGS LÄN</t>
        </is>
      </c>
      <c r="G548" t="inlineStr">
        <is>
          <t>SÖDERHAMN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41648-2024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45560</v>
      </c>
      <c r="E549" s="1" t="n">
        <v>46268</v>
      </c>
      <c r="F549" t="inlineStr">
        <is>
          <t>GÄVLEBORGS LÄN</t>
        </is>
      </c>
      <c r="G549" t="inlineStr">
        <is>
          <t>SÖDERHAMN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46268</v>
      </c>
      <c r="F550" t="inlineStr">
        <is>
          <t>GÄVLEBORGS LÄN</t>
        </is>
      </c>
      <c r="G550" t="inlineStr">
        <is>
          <t>SÖDERHAMN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59773-2024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45639</v>
      </c>
      <c r="E551" s="1" t="n">
        <v>46268</v>
      </c>
      <c r="F551" t="inlineStr">
        <is>
          <t>GÄVLEBORGS LÄN</t>
        </is>
      </c>
      <c r="G551" t="inlineStr">
        <is>
          <t>SÖDERHAMN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44992</v>
      </c>
      <c r="E552" s="1" t="n">
        <v>46268</v>
      </c>
      <c r="F552" t="inlineStr">
        <is>
          <t>GÄVLEBORGS LÄN</t>
        </is>
      </c>
      <c r="G552" t="inlineStr">
        <is>
          <t>SÖDERHAMN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45477</v>
      </c>
      <c r="E553" s="1" t="n">
        <v>46268</v>
      </c>
      <c r="F553" t="inlineStr">
        <is>
          <t>GÄVLEBORGS LÄN</t>
        </is>
      </c>
      <c r="G553" t="inlineStr">
        <is>
          <t>SÖDERHAMN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27151-2023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45096</v>
      </c>
      <c r="E554" s="1" t="n">
        <v>46268</v>
      </c>
      <c r="F554" t="inlineStr">
        <is>
          <t>GÄVLEBORGS LÄN</t>
        </is>
      </c>
      <c r="G554" t="inlineStr">
        <is>
          <t>SÖDERHAMN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30848-2026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46268</v>
      </c>
      <c r="F555" t="inlineStr">
        <is>
          <t>GÄVLEBORGS LÄN</t>
        </is>
      </c>
      <c r="G555" t="inlineStr">
        <is>
          <t>SÖDERHAMN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46268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Kyrkan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46268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Kyrkan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46268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Kyrkan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46211</v>
      </c>
      <c r="E559" s="1" t="n">
        <v>46268</v>
      </c>
      <c r="F559" t="inlineStr">
        <is>
          <t>GÄVLEBORGS LÄN</t>
        </is>
      </c>
      <c r="G559" t="inlineStr">
        <is>
          <t>SÖDERHAMN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45231</v>
      </c>
      <c r="E560" s="1" t="n">
        <v>46268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46268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46268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46268</v>
      </c>
      <c r="F563" t="inlineStr">
        <is>
          <t>GÄVLEBORGS LÄN</t>
        </is>
      </c>
      <c r="G563" t="inlineStr">
        <is>
          <t>SÖDERHAMN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46268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45597</v>
      </c>
      <c r="E565" s="1" t="n">
        <v>46268</v>
      </c>
      <c r="F565" t="inlineStr">
        <is>
          <t>GÄVLEBORGS LÄN</t>
        </is>
      </c>
      <c r="G565" t="inlineStr">
        <is>
          <t>SÖDERHAMN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19652-2024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45432</v>
      </c>
      <c r="E566" s="1" t="n">
        <v>46268</v>
      </c>
      <c r="F566" t="inlineStr">
        <is>
          <t>GÄVLEBORGS LÄN</t>
        </is>
      </c>
      <c r="G566" t="inlineStr">
        <is>
          <t>SÖDERHAMN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40577-2022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44823</v>
      </c>
      <c r="E567" s="1" t="n">
        <v>46268</v>
      </c>
      <c r="F567" t="inlineStr">
        <is>
          <t>GÄVLEBORGS LÄN</t>
        </is>
      </c>
      <c r="G567" t="inlineStr">
        <is>
          <t>SÖDERHAMN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46268</v>
      </c>
      <c r="F568" t="inlineStr">
        <is>
          <t>GÄVLEBORGS LÄN</t>
        </is>
      </c>
      <c r="G568" t="inlineStr">
        <is>
          <t>SÖDERHAMN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50809-2024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46268</v>
      </c>
      <c r="F569" t="inlineStr">
        <is>
          <t>GÄVLEBORGS LÄN</t>
        </is>
      </c>
      <c r="G569" t="inlineStr">
        <is>
          <t>SÖDERHAMN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45799</v>
      </c>
      <c r="E570" s="1" t="n">
        <v>46268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24305-2025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45797</v>
      </c>
      <c r="E571" s="1" t="n">
        <v>46268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45770</v>
      </c>
      <c r="E572" s="1" t="n">
        <v>46268</v>
      </c>
      <c r="F572" t="inlineStr">
        <is>
          <t>GÄVLEBORGS LÄN</t>
        </is>
      </c>
      <c r="G572" t="inlineStr">
        <is>
          <t>SÖDERHAMN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35182-2026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46268</v>
      </c>
      <c r="F573" t="inlineStr">
        <is>
          <t>GÄVLEBORGS LÄN</t>
        </is>
      </c>
      <c r="G573" t="inlineStr">
        <is>
          <t>SÖDERHAMN</t>
        </is>
      </c>
      <c r="H573" t="inlineStr">
        <is>
          <t>Övriga statliga verk och myndigheter</t>
        </is>
      </c>
      <c r="I573" t="n">
        <v>8.6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29982-2023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45108</v>
      </c>
      <c r="E574" s="1" t="n">
        <v>46268</v>
      </c>
      <c r="F574" t="inlineStr">
        <is>
          <t>GÄVLEBORGS LÄN</t>
        </is>
      </c>
      <c r="G574" t="inlineStr">
        <is>
          <t>SÖDERHAMN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52519-2024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45609</v>
      </c>
      <c r="E575" s="1" t="n">
        <v>46268</v>
      </c>
      <c r="F575" t="inlineStr">
        <is>
          <t>GÄVLEBORGS LÄN</t>
        </is>
      </c>
      <c r="G575" t="inlineStr">
        <is>
          <t>SÖDERHAMN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35167-2026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46260</v>
      </c>
      <c r="E576" s="1" t="n">
        <v>46268</v>
      </c>
      <c r="F576" t="inlineStr">
        <is>
          <t>GÄVLEBORGS LÄN</t>
        </is>
      </c>
      <c r="G576" t="inlineStr">
        <is>
          <t>SÖDERHAMN</t>
        </is>
      </c>
      <c r="H576" t="inlineStr">
        <is>
          <t>Övriga statliga verk och myndigheter</t>
        </is>
      </c>
      <c r="I576" t="n">
        <v>14.9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49282-2024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45595</v>
      </c>
      <c r="E577" s="1" t="n">
        <v>46268</v>
      </c>
      <c r="F577" t="inlineStr">
        <is>
          <t>GÄVLEBORGS LÄN</t>
        </is>
      </c>
      <c r="G577" t="inlineStr">
        <is>
          <t>SÖDERHAMN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19782-2025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45771</v>
      </c>
      <c r="E578" s="1" t="n">
        <v>46268</v>
      </c>
      <c r="F578" t="inlineStr">
        <is>
          <t>GÄVLEBORGS LÄN</t>
        </is>
      </c>
      <c r="G578" t="inlineStr">
        <is>
          <t>SÖDERHAMN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46218</v>
      </c>
      <c r="E579" s="1" t="n">
        <v>46268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48313-2024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45590</v>
      </c>
      <c r="E580" s="1" t="n">
        <v>46268</v>
      </c>
      <c r="F580" t="inlineStr">
        <is>
          <t>GÄVLEBORGS LÄN</t>
        </is>
      </c>
      <c r="G580" t="inlineStr">
        <is>
          <t>SÖDERHAMN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7533-2025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45705</v>
      </c>
      <c r="E581" s="1" t="n">
        <v>46268</v>
      </c>
      <c r="F581" t="inlineStr">
        <is>
          <t>GÄVLEBORGS LÄN</t>
        </is>
      </c>
      <c r="G581" t="inlineStr">
        <is>
          <t>SÖDERHAMN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46219</v>
      </c>
      <c r="E582" s="1" t="n">
        <v>46268</v>
      </c>
      <c r="F582" t="inlineStr">
        <is>
          <t>GÄVLEBORGS LÄN</t>
        </is>
      </c>
      <c r="G582" t="inlineStr">
        <is>
          <t>SÖDERHAMN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4497-2024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45327</v>
      </c>
      <c r="E583" s="1" t="n">
        <v>46268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46219</v>
      </c>
      <c r="E584" s="1" t="n">
        <v>46268</v>
      </c>
      <c r="F584" t="inlineStr">
        <is>
          <t>GÄVLEBORGS LÄN</t>
        </is>
      </c>
      <c r="G584" t="inlineStr">
        <is>
          <t>SÖDERHAMN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20456-2024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45435</v>
      </c>
      <c r="E585" s="1" t="n">
        <v>46268</v>
      </c>
      <c r="F585" t="inlineStr">
        <is>
          <t>GÄVLEBORGS LÄN</t>
        </is>
      </c>
      <c r="G585" t="inlineStr">
        <is>
          <t>SÖDERHAMN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31363-2026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46219</v>
      </c>
      <c r="E586" s="1" t="n">
        <v>46268</v>
      </c>
      <c r="F586" t="inlineStr">
        <is>
          <t>GÄVLEBORGS LÄN</t>
        </is>
      </c>
      <c r="G586" t="inlineStr">
        <is>
          <t>SÖDERHAMN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46219</v>
      </c>
      <c r="E587" s="1" t="n">
        <v>46268</v>
      </c>
      <c r="F587" t="inlineStr">
        <is>
          <t>GÄVLEBORGS LÄN</t>
        </is>
      </c>
      <c r="G587" t="inlineStr">
        <is>
          <t>SÖDERHAMN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46223</v>
      </c>
      <c r="E588" s="1" t="n">
        <v>46268</v>
      </c>
      <c r="F588" t="inlineStr">
        <is>
          <t>GÄVLEBORGS LÄN</t>
        </is>
      </c>
      <c r="G588" t="inlineStr">
        <is>
          <t>SÖDERHAMN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46267</v>
      </c>
      <c r="E589" s="1" t="n">
        <v>46268</v>
      </c>
      <c r="F589" t="inlineStr">
        <is>
          <t>GÄVLEBORGS LÄN</t>
        </is>
      </c>
      <c r="G589" t="inlineStr">
        <is>
          <t>SÖDERHAMN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36204-2024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46268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48943-2024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45594</v>
      </c>
      <c r="E591" s="1" t="n">
        <v>46268</v>
      </c>
      <c r="F591" t="inlineStr">
        <is>
          <t>GÄVLEBORGS LÄN</t>
        </is>
      </c>
      <c r="G591" t="inlineStr">
        <is>
          <t>SÖDERHAMN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46268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46268</v>
      </c>
      <c r="F593" t="inlineStr">
        <is>
          <t>GÄVLEBORGS LÄN</t>
        </is>
      </c>
      <c r="G593" t="inlineStr">
        <is>
          <t>SÖDERHAMN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50283-2024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45600</v>
      </c>
      <c r="E594" s="1" t="n">
        <v>46268</v>
      </c>
      <c r="F594" t="inlineStr">
        <is>
          <t>GÄVLEBORGS LÄN</t>
        </is>
      </c>
      <c r="G594" t="inlineStr">
        <is>
          <t>SÖDERHAMN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45749</v>
      </c>
      <c r="E595" s="1" t="n">
        <v>46268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45779</v>
      </c>
      <c r="E596" s="1" t="n">
        <v>46268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37916-2024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45544</v>
      </c>
      <c r="E597" s="1" t="n">
        <v>46268</v>
      </c>
      <c r="F597" t="inlineStr">
        <is>
          <t>GÄVLEBORGS LÄN</t>
        </is>
      </c>
      <c r="G597" t="inlineStr">
        <is>
          <t>SÖDERHAMN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47676-2024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45588</v>
      </c>
      <c r="E598" s="1" t="n">
        <v>46268</v>
      </c>
      <c r="F598" t="inlineStr">
        <is>
          <t>GÄVLEBORGS LÄN</t>
        </is>
      </c>
      <c r="G598" t="inlineStr">
        <is>
          <t>SÖDERHAMN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36059-2023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45149</v>
      </c>
      <c r="E599" s="1" t="n">
        <v>46268</v>
      </c>
      <c r="F599" t="inlineStr">
        <is>
          <t>GÄVLEBORGS LÄN</t>
        </is>
      </c>
      <c r="G599" t="inlineStr">
        <is>
          <t>SÖDERHAMN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18189-2024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45420</v>
      </c>
      <c r="E600" s="1" t="n">
        <v>46268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23265-2025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46268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23307-2025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45791</v>
      </c>
      <c r="E602" s="1" t="n">
        <v>46268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13.5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45791</v>
      </c>
      <c r="E603" s="1" t="n">
        <v>46268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44698</v>
      </c>
      <c r="E604" s="1" t="n">
        <v>46268</v>
      </c>
      <c r="F604" t="inlineStr">
        <is>
          <t>GÄVLEBORGS LÄN</t>
        </is>
      </c>
      <c r="G604" t="inlineStr">
        <is>
          <t>SÖDERHAMN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46268</v>
      </c>
      <c r="F605" t="inlineStr">
        <is>
          <t>GÄVLEBORGS LÄN</t>
        </is>
      </c>
      <c r="G605" t="inlineStr">
        <is>
          <t>SÖDERHAMN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21789-2024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45442</v>
      </c>
      <c r="E606" s="1" t="n">
        <v>46268</v>
      </c>
      <c r="F606" t="inlineStr">
        <is>
          <t>GÄVLEBORGS LÄN</t>
        </is>
      </c>
      <c r="G606" t="inlineStr">
        <is>
          <t>SÖDERHAMN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25900-2024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45467</v>
      </c>
      <c r="E607" s="1" t="n">
        <v>46268</v>
      </c>
      <c r="F607" t="inlineStr">
        <is>
          <t>GÄVLEBORGS LÄN</t>
        </is>
      </c>
      <c r="G607" t="inlineStr">
        <is>
          <t>SÖDERHAMN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31676-2022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44776</v>
      </c>
      <c r="E608" s="1" t="n">
        <v>46268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24610-2025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45798</v>
      </c>
      <c r="E609" s="1" t="n">
        <v>46268</v>
      </c>
      <c r="F609" t="inlineStr">
        <is>
          <t>GÄVLEBORGS LÄN</t>
        </is>
      </c>
      <c r="G609" t="inlineStr">
        <is>
          <t>SÖDERHAMN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45293</v>
      </c>
      <c r="E610" s="1" t="n">
        <v>46268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46268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46268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46268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46268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2026-09-03T02:03:35Z</dcterms:created>
  <dcterms:modified xmlns:dcterms="http://purl.org/dc/terms/" xmlns:xsi="http://www.w3.org/2001/XMLSchema-instance" xsi:type="dcterms:W3CDTF">2026-09-03T02:03:35Z</dcterms:modified>
</cp:coreProperties>
</file>