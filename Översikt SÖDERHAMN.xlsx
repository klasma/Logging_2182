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46275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46275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46275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46275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46275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53562-2024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46275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Havsörn
Fläcknycklar</t>
        </is>
      </c>
      <c r="W18">
        <f>HYPERLINK("https://klasma.github.io/Logging_2182/artfynd/A 53562-2024 artfynd.xlsx", "A 53562-2024")</f>
        <v/>
      </c>
      <c r="X18">
        <f>HYPERLINK("https://klasma.github.io/Logging_2182/kartor/A 53562-2024 karta.png", "A 53562-2024")</f>
        <v/>
      </c>
      <c r="Y18">
        <f>HYPERLINK("https://klasma.github.io/Logging_2182/kartor_geotiff/A 53562-2024 georefererad karta.tif", "A 53562-2024")</f>
        <v/>
      </c>
      <c r="AA18">
        <f>HYPERLINK("https://klasma.github.io/Logging_2182/klagomål/A 53562-2024 FSC-klagomål.docx", "A 53562-2024")</f>
        <v/>
      </c>
      <c r="AB18">
        <f>HYPERLINK("https://klasma.github.io/Logging_2182/klagomålsmail/A 53562-2024 FSC-klagomål mail.docx", "A 53562-2024")</f>
        <v/>
      </c>
      <c r="AC18">
        <f>HYPERLINK("https://klasma.github.io/Logging_2182/tillsyn/A 53562-2024 tillsynsbegäran.docx", "A 53562-2024")</f>
        <v/>
      </c>
      <c r="AD18">
        <f>HYPERLINK("https://klasma.github.io/Logging_2182/tillsynsmail/A 53562-2024 tillsynsbegäran mail.docx", "A 53562-2024")</f>
        <v/>
      </c>
      <c r="AE18">
        <f>HYPERLINK("https://klasma.github.io/Logging_2182/fåglar/A 53562-2024 prioriterade fågelarter.docx", "A 53562-2024")</f>
        <v/>
      </c>
    </row>
    <row r="19" ht="15" customHeight="1">
      <c r="A19" t="inlineStr">
        <is>
          <t>A 19921-2025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46275</v>
      </c>
      <c r="F19" t="inlineStr">
        <is>
          <t>GÄVLEBORGS LÄN</t>
        </is>
      </c>
      <c r="G19" t="inlineStr">
        <is>
          <t>SÖDERHAMN</t>
        </is>
      </c>
      <c r="I19" t="n">
        <v>5.2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Kolflarnlav
Mörk kolflarnlav</t>
        </is>
      </c>
      <c r="W19">
        <f>HYPERLINK("https://klasma.github.io/Logging_2182/artfynd/A 19921-2025 artfynd.xlsx", "A 19921-2025")</f>
        <v/>
      </c>
      <c r="X19">
        <f>HYPERLINK("https://klasma.github.io/Logging_2182/kartor/A 19921-2025 karta.png", "A 19921-2025")</f>
        <v/>
      </c>
      <c r="Y19">
        <f>HYPERLINK("https://klasma.github.io/Logging_2182/kartor_geotiff/A 19921-2025 georefererad karta.tif", "A 19921-2025")</f>
        <v/>
      </c>
      <c r="AA19">
        <f>HYPERLINK("https://klasma.github.io/Logging_2182/klagomål/A 19921-2025 FSC-klagomål.docx", "A 19921-2025")</f>
        <v/>
      </c>
      <c r="AB19">
        <f>HYPERLINK("https://klasma.github.io/Logging_2182/klagomålsmail/A 19921-2025 FSC-klagomål mail.docx", "A 19921-2025")</f>
        <v/>
      </c>
      <c r="AC19">
        <f>HYPERLINK("https://klasma.github.io/Logging_2182/tillsyn/A 19921-2025 tillsynsbegäran.docx", "A 19921-2025")</f>
        <v/>
      </c>
      <c r="AD19">
        <f>HYPERLINK("https://klasma.github.io/Logging_2182/tillsynsmail/A 19921-2025 tillsynsbegäran mail.docx", "A 19921-2025")</f>
        <v/>
      </c>
    </row>
    <row r="20" ht="15" customHeight="1">
      <c r="A20" t="inlineStr">
        <is>
          <t>A 18546-2024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46275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1.7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 sköldmossa
Spillkråka</t>
        </is>
      </c>
      <c r="W20">
        <f>HYPERLINK("https://klasma.github.io/Logging_2182/artfynd/A 18546-2024 artfynd.xlsx", "A 18546-2024")</f>
        <v/>
      </c>
      <c r="X20">
        <f>HYPERLINK("https://klasma.github.io/Logging_2182/kartor/A 18546-2024 karta.png", "A 18546-2024")</f>
        <v/>
      </c>
      <c r="Y20">
        <f>HYPERLINK("https://klasma.github.io/Logging_2182/kartor_geotiff/A 18546-2024 georefererad karta.tif", "A 18546-2024")</f>
        <v/>
      </c>
      <c r="AA20">
        <f>HYPERLINK("https://klasma.github.io/Logging_2182/klagomål/A 18546-2024 FSC-klagomål.docx", "A 18546-2024")</f>
        <v/>
      </c>
      <c r="AB20">
        <f>HYPERLINK("https://klasma.github.io/Logging_2182/klagomålsmail/A 18546-2024 FSC-klagomål mail.docx", "A 18546-2024")</f>
        <v/>
      </c>
      <c r="AC20">
        <f>HYPERLINK("https://klasma.github.io/Logging_2182/tillsyn/A 18546-2024 tillsynsbegäran.docx", "A 18546-2024")</f>
        <v/>
      </c>
      <c r="AD20">
        <f>HYPERLINK("https://klasma.github.io/Logging_2182/tillsynsmail/A 18546-2024 tillsynsbegäran mail.docx", "A 18546-2024")</f>
        <v/>
      </c>
      <c r="AE20">
        <f>HYPERLINK("https://klasma.github.io/Logging_2182/fåglar/A 18546-2024 prioriterade fågelarter.docx", "A 18546-2024")</f>
        <v/>
      </c>
    </row>
    <row r="21" ht="15" customHeight="1">
      <c r="A21" t="inlineStr">
        <is>
          <t>A 42469-2025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46275</v>
      </c>
      <c r="F21" t="inlineStr">
        <is>
          <t>GÄVLEBORGS LÄN</t>
        </is>
      </c>
      <c r="G21" t="inlineStr">
        <is>
          <t>SÖDERHAMN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HYPERLINK("https://klasma.github.io/Logging_2182/artfynd/A 42469-2025 artfynd.xlsx", "A 42469-2025")</f>
        <v/>
      </c>
      <c r="X21">
        <f>HYPERLINK("https://klasma.github.io/Logging_2182/kartor/A 42469-2025 karta.png", "A 42469-2025")</f>
        <v/>
      </c>
      <c r="Y21">
        <f>HYPERLINK("https://klasma.github.io/Logging_2182/kartor_geotiff/A 42469-2025 georefererad karta.tif", "A 42469-2025")</f>
        <v/>
      </c>
      <c r="AA21">
        <f>HYPERLINK("https://klasma.github.io/Logging_2182/klagomål/A 42469-2025 FSC-klagomål.docx", "A 42469-2025")</f>
        <v/>
      </c>
      <c r="AB21">
        <f>HYPERLINK("https://klasma.github.io/Logging_2182/klagomålsmail/A 42469-2025 FSC-klagomål mail.docx", "A 42469-2025")</f>
        <v/>
      </c>
      <c r="AC21">
        <f>HYPERLINK("https://klasma.github.io/Logging_2182/tillsyn/A 42469-2025 tillsynsbegäran.docx", "A 42469-2025")</f>
        <v/>
      </c>
      <c r="AD21">
        <f>HYPERLINK("https://klasma.github.io/Logging_2182/tillsynsmail/A 42469-2025 tillsynsbegäran mail.docx", "A 42469-2025")</f>
        <v/>
      </c>
      <c r="AE21">
        <f>HYPERLINK("https://klasma.github.io/Logging_2182/fåglar/A 42469-2025 prioriterade fågelarter.docx", "A 42469-2025")</f>
        <v/>
      </c>
    </row>
    <row r="22" ht="15" customHeight="1">
      <c r="A22" t="inlineStr">
        <is>
          <t>A 59754-2025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45992</v>
      </c>
      <c r="E22" s="1" t="n">
        <v>46275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2.8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Jättesvampmal
Spillkråka</t>
        </is>
      </c>
      <c r="W22">
        <f>HYPERLINK("https://klasma.github.io/Logging_2182/artfynd/A 59754-2025 artfynd.xlsx", "A 59754-2025")</f>
        <v/>
      </c>
      <c r="X22">
        <f>HYPERLINK("https://klasma.github.io/Logging_2182/kartor/A 59754-2025 karta.png", "A 59754-2025")</f>
        <v/>
      </c>
      <c r="Y22">
        <f>HYPERLINK("https://klasma.github.io/Logging_2182/kartor_geotiff/A 59754-2025 georefererad karta.tif", "A 59754-2025")</f>
        <v/>
      </c>
      <c r="AA22">
        <f>HYPERLINK("https://klasma.github.io/Logging_2182/klagomål/A 59754-2025 FSC-klagomål.docx", "A 59754-2025")</f>
        <v/>
      </c>
      <c r="AB22">
        <f>HYPERLINK("https://klasma.github.io/Logging_2182/klagomålsmail/A 59754-2025 FSC-klagomål mail.docx", "A 59754-2025")</f>
        <v/>
      </c>
      <c r="AC22">
        <f>HYPERLINK("https://klasma.github.io/Logging_2182/tillsyn/A 59754-2025 tillsynsbegäran.docx", "A 59754-2025")</f>
        <v/>
      </c>
      <c r="AD22">
        <f>HYPERLINK("https://klasma.github.io/Logging_2182/tillsynsmail/A 59754-2025 tillsynsbegäran mail.docx", "A 59754-2025")</f>
        <v/>
      </c>
      <c r="AE22">
        <f>HYPERLINK("https://klasma.github.io/Logging_2182/fåglar/A 59754-2025 prioriterade fågelarter.docx", "A 59754-2025")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46275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23333-2026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46162</v>
      </c>
      <c r="E24" s="1" t="n">
        <v>46275</v>
      </c>
      <c r="F24" t="inlineStr">
        <is>
          <t>GÄVLEBORGS LÄN</t>
        </is>
      </c>
      <c r="G24" t="inlineStr">
        <is>
          <t>SÖDERHAMN</t>
        </is>
      </c>
      <c r="I24" t="n">
        <v>1.1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Korallblylav
Stuplav</t>
        </is>
      </c>
      <c r="W24">
        <f>HYPERLINK("https://klasma.github.io/Logging_2182/artfynd/A 23333-2026 artfynd.xlsx", "A 23333-2026")</f>
        <v/>
      </c>
      <c r="X24">
        <f>HYPERLINK("https://klasma.github.io/Logging_2182/kartor/A 23333-2026 karta.png", "A 23333-2026")</f>
        <v/>
      </c>
      <c r="Y24">
        <f>HYPERLINK("https://klasma.github.io/Logging_2182/kartor_geotiff/A 23333-2026 georefererad karta.tif", "A 23333-2026")</f>
        <v/>
      </c>
      <c r="AA24">
        <f>HYPERLINK("https://klasma.github.io/Logging_2182/klagomål/A 23333-2026 FSC-klagomål.docx", "A 23333-2026")</f>
        <v/>
      </c>
      <c r="AB24">
        <f>HYPERLINK("https://klasma.github.io/Logging_2182/klagomålsmail/A 23333-2026 FSC-klagomål mail.docx", "A 23333-2026")</f>
        <v/>
      </c>
      <c r="AC24">
        <f>HYPERLINK("https://klasma.github.io/Logging_2182/tillsyn/A 23333-2026 tillsynsbegäran.docx", "A 23333-2026")</f>
        <v/>
      </c>
      <c r="AD24">
        <f>HYPERLINK("https://klasma.github.io/Logging_2182/tillsynsmail/A 23333-2026 tillsynsbegäran mail.docx", "A 23333-2026")</f>
        <v/>
      </c>
    </row>
    <row r="25" ht="15" customHeight="1">
      <c r="A25" t="inlineStr">
        <is>
          <t>A 24156-2026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46168</v>
      </c>
      <c r="E25" s="1" t="n">
        <v>46275</v>
      </c>
      <c r="F25" t="inlineStr">
        <is>
          <t>GÄVLEBORGS LÄN</t>
        </is>
      </c>
      <c r="G25" t="inlineStr">
        <is>
          <t>SÖDERHAMN</t>
        </is>
      </c>
      <c r="I25" t="n">
        <v>15.1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trolldruva
Blåsippa</t>
        </is>
      </c>
      <c r="W25">
        <f>HYPERLINK("https://klasma.github.io/Logging_2182/artfynd/A 24156-2026 artfynd.xlsx", "A 24156-2026")</f>
        <v/>
      </c>
      <c r="X25">
        <f>HYPERLINK("https://klasma.github.io/Logging_2182/kartor/A 24156-2026 karta.png", "A 24156-2026")</f>
        <v/>
      </c>
      <c r="Y25">
        <f>HYPERLINK("https://klasma.github.io/Logging_2182/kartor_geotiff/A 24156-2026 georefererad karta.tif", "A 24156-2026")</f>
        <v/>
      </c>
      <c r="AA25">
        <f>HYPERLINK("https://klasma.github.io/Logging_2182/klagomål/A 24156-2026 FSC-klagomål.docx", "A 24156-2026")</f>
        <v/>
      </c>
      <c r="AB25">
        <f>HYPERLINK("https://klasma.github.io/Logging_2182/klagomålsmail/A 24156-2026 FSC-klagomål mail.docx", "A 24156-2026")</f>
        <v/>
      </c>
      <c r="AC25">
        <f>HYPERLINK("https://klasma.github.io/Logging_2182/tillsyn/A 24156-2026 tillsynsbegäran.docx", "A 24156-2026")</f>
        <v/>
      </c>
      <c r="AD25">
        <f>HYPERLINK("https://klasma.github.io/Logging_2182/tillsynsmail/A 24156-2026 tillsynsbegäran mail.docx", "A 24156-2026")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46275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46275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58074-2024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46275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Doftskinn</t>
        </is>
      </c>
      <c r="W28">
        <f>HYPERLINK("https://klasma.github.io/Logging_2182/artfynd/A 58074-2024 artfynd.xlsx", "A 58074-2024")</f>
        <v/>
      </c>
      <c r="X28">
        <f>HYPERLINK("https://klasma.github.io/Logging_2182/kartor/A 58074-2024 karta.png", "A 58074-2024")</f>
        <v/>
      </c>
      <c r="Y28">
        <f>HYPERLINK("https://klasma.github.io/Logging_2182/kartor_geotiff/A 58074-2024 georefererad karta.tif", "A 58074-2024")</f>
        <v/>
      </c>
      <c r="AA28">
        <f>HYPERLINK("https://klasma.github.io/Logging_2182/klagomål/A 58074-2024 FSC-klagomål.docx", "A 58074-2024")</f>
        <v/>
      </c>
      <c r="AB28">
        <f>HYPERLINK("https://klasma.github.io/Logging_2182/klagomålsmail/A 58074-2024 FSC-klagomål mail.docx", "A 58074-2024")</f>
        <v/>
      </c>
      <c r="AC28">
        <f>HYPERLINK("https://klasma.github.io/Logging_2182/tillsyn/A 58074-2024 tillsynsbegäran.docx", "A 58074-2024")</f>
        <v/>
      </c>
      <c r="AD28">
        <f>HYPERLINK("https://klasma.github.io/Logging_2182/tillsynsmail/A 58074-2024 tillsynsbegäran mail.docx", "A 58074-2024")</f>
        <v/>
      </c>
    </row>
    <row r="29" ht="15" customHeight="1">
      <c r="A29" t="inlineStr">
        <is>
          <t>A 54608-2024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46275</v>
      </c>
      <c r="F29" t="inlineStr">
        <is>
          <t>GÄVLEBORGS LÄN</t>
        </is>
      </c>
      <c r="G29" t="inlineStr">
        <is>
          <t>SÖDERHAMN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HYPERLINK("https://klasma.github.io/Logging_2182/artfynd/A 54608-2024 artfynd.xlsx", "A 54608-2024")</f>
        <v/>
      </c>
      <c r="X29">
        <f>HYPERLINK("https://klasma.github.io/Logging_2182/kartor/A 54608-2024 karta.png", "A 54608-2024")</f>
        <v/>
      </c>
      <c r="Y29">
        <f>HYPERLINK("https://klasma.github.io/Logging_2182/kartor_geotiff/A 54608-2024 georefererad karta.tif", "A 54608-2024")</f>
        <v/>
      </c>
      <c r="AA29">
        <f>HYPERLINK("https://klasma.github.io/Logging_2182/klagomål/A 54608-2024 FSC-klagomål.docx", "A 54608-2024")</f>
        <v/>
      </c>
      <c r="AB29">
        <f>HYPERLINK("https://klasma.github.io/Logging_2182/klagomålsmail/A 54608-2024 FSC-klagomål mail.docx", "A 54608-2024")</f>
        <v/>
      </c>
      <c r="AC29">
        <f>HYPERLINK("https://klasma.github.io/Logging_2182/tillsyn/A 54608-2024 tillsynsbegäran.docx", "A 54608-2024")</f>
        <v/>
      </c>
      <c r="AD29">
        <f>HYPERLINK("https://klasma.github.io/Logging_2182/tillsynsmail/A 54608-2024 tillsynsbegäran mail.docx", "A 54608-2024")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46275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46275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21316-2024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45440</v>
      </c>
      <c r="E32" s="1" t="n">
        <v>46275</v>
      </c>
      <c r="F32" t="inlineStr">
        <is>
          <t>GÄVLEBORGS LÄN</t>
        </is>
      </c>
      <c r="G32" t="inlineStr">
        <is>
          <t>SÖDERHAMN</t>
        </is>
      </c>
      <c r="H32" t="inlineStr">
        <is>
          <t>Kommuner</t>
        </is>
      </c>
      <c r="I32" t="n">
        <v>2.3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Brunfläckig pärlemorfjäril</t>
        </is>
      </c>
      <c r="W32">
        <f>HYPERLINK("https://klasma.github.io/Logging_2182/artfynd/A 21316-2024 artfynd.xlsx", "A 21316-2024")</f>
        <v/>
      </c>
      <c r="X32">
        <f>HYPERLINK("https://klasma.github.io/Logging_2182/kartor/A 21316-2024 karta.png", "A 21316-2024")</f>
        <v/>
      </c>
      <c r="Y32">
        <f>HYPERLINK("https://klasma.github.io/Logging_2182/kartor_geotiff/A 21316-2024 georefererad karta.tif", "A 21316-2024")</f>
        <v/>
      </c>
      <c r="AA32">
        <f>HYPERLINK("https://klasma.github.io/Logging_2182/klagomål/A 21316-2024 FSC-klagomål.docx", "A 21316-2024")</f>
        <v/>
      </c>
      <c r="AB32">
        <f>HYPERLINK("https://klasma.github.io/Logging_2182/klagomålsmail/A 21316-2024 FSC-klagomål mail.docx", "A 21316-2024")</f>
        <v/>
      </c>
      <c r="AC32">
        <f>HYPERLINK("https://klasma.github.io/Logging_2182/tillsyn/A 21316-2024 tillsynsbegäran.docx", "A 21316-2024")</f>
        <v/>
      </c>
      <c r="AD32">
        <f>HYPERLINK("https://klasma.github.io/Logging_2182/tillsynsmail/A 21316-2024 tillsynsbegäran mail.docx", "A 21316-2024")</f>
        <v/>
      </c>
    </row>
    <row r="33" ht="15" customHeight="1">
      <c r="A33" t="inlineStr">
        <is>
          <t>A 58261-2024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45632</v>
      </c>
      <c r="E33" s="1" t="n">
        <v>46275</v>
      </c>
      <c r="F33" t="inlineStr">
        <is>
          <t>GÄVLEBORGS LÄN</t>
        </is>
      </c>
      <c r="G33" t="inlineStr">
        <is>
          <t>SÖDERHAMN</t>
        </is>
      </c>
      <c r="H33" t="inlineStr">
        <is>
          <t>Bergvik skog väst AB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HYPERLINK("https://klasma.github.io/Logging_2182/artfynd/A 58261-2024 artfynd.xlsx", "A 58261-2024")</f>
        <v/>
      </c>
      <c r="X33">
        <f>HYPERLINK("https://klasma.github.io/Logging_2182/kartor/A 58261-2024 karta.png", "A 58261-2024")</f>
        <v/>
      </c>
      <c r="Y33">
        <f>HYPERLINK("https://klasma.github.io/Logging_2182/kartor_geotiff/A 58261-2024 georefererad karta.tif", "A 58261-2024")</f>
        <v/>
      </c>
      <c r="AA33">
        <f>HYPERLINK("https://klasma.github.io/Logging_2182/klagomål/A 58261-2024 FSC-klagomål.docx", "A 58261-2024")</f>
        <v/>
      </c>
      <c r="AB33">
        <f>HYPERLINK("https://klasma.github.io/Logging_2182/klagomålsmail/A 58261-2024 FSC-klagomål mail.docx", "A 58261-2024")</f>
        <v/>
      </c>
      <c r="AC33">
        <f>HYPERLINK("https://klasma.github.io/Logging_2182/tillsyn/A 58261-2024 tillsynsbegäran.docx", "A 58261-2024")</f>
        <v/>
      </c>
      <c r="AD33">
        <f>HYPERLINK("https://klasma.github.io/Logging_2182/tillsynsmail/A 58261-2024 tillsynsbegäran mail.docx", "A 58261-2024")</f>
        <v/>
      </c>
    </row>
    <row r="34" ht="15" customHeight="1">
      <c r="A34" t="inlineStr">
        <is>
          <t>A 40097-2024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46275</v>
      </c>
      <c r="F34" t="inlineStr">
        <is>
          <t>GÄVLEBORGS LÄN</t>
        </is>
      </c>
      <c r="G34" t="inlineStr">
        <is>
          <t>SÖDERHAMN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40097-2024 artfynd.xlsx", "A 40097-2024")</f>
        <v/>
      </c>
      <c r="X34">
        <f>HYPERLINK("https://klasma.github.io/Logging_2182/kartor/A 40097-2024 karta.png", "A 40097-2024")</f>
        <v/>
      </c>
      <c r="Y34">
        <f>HYPERLINK("https://klasma.github.io/Logging_2182/kartor_geotiff/A 40097-2024 georefererad karta.tif", "A 40097-2024")</f>
        <v/>
      </c>
      <c r="AA34">
        <f>HYPERLINK("https://klasma.github.io/Logging_2182/klagomål/A 40097-2024 FSC-klagomål.docx", "A 40097-2024")</f>
        <v/>
      </c>
      <c r="AB34">
        <f>HYPERLINK("https://klasma.github.io/Logging_2182/klagomålsmail/A 40097-2024 FSC-klagomål mail.docx", "A 40097-2024")</f>
        <v/>
      </c>
      <c r="AC34">
        <f>HYPERLINK("https://klasma.github.io/Logging_2182/tillsyn/A 40097-2024 tillsynsbegäran.docx", "A 40097-2024")</f>
        <v/>
      </c>
      <c r="AD34">
        <f>HYPERLINK("https://klasma.github.io/Logging_2182/tillsynsmail/A 40097-2024 tillsynsbegäran mail.docx", "A 40097-2024")</f>
        <v/>
      </c>
    </row>
    <row r="35" ht="15" customHeight="1">
      <c r="A35" t="inlineStr">
        <is>
          <t>A 58077-2024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46275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Motaggsvamp</t>
        </is>
      </c>
      <c r="W35">
        <f>HYPERLINK("https://klasma.github.io/Logging_2182/artfynd/A 58077-2024 artfynd.xlsx", "A 58077-2024")</f>
        <v/>
      </c>
      <c r="X35">
        <f>HYPERLINK("https://klasma.github.io/Logging_2182/kartor/A 58077-2024 karta.png", "A 58077-2024")</f>
        <v/>
      </c>
      <c r="Y35">
        <f>HYPERLINK("https://klasma.github.io/Logging_2182/kartor_geotiff/A 58077-2024 georefererad karta.tif", "A 58077-2024")</f>
        <v/>
      </c>
      <c r="AA35">
        <f>HYPERLINK("https://klasma.github.io/Logging_2182/klagomål/A 58077-2024 FSC-klagomål.docx", "A 58077-2024")</f>
        <v/>
      </c>
      <c r="AB35">
        <f>HYPERLINK("https://klasma.github.io/Logging_2182/klagomålsmail/A 58077-2024 FSC-klagomål mail.docx", "A 58077-2024")</f>
        <v/>
      </c>
      <c r="AC35">
        <f>HYPERLINK("https://klasma.github.io/Logging_2182/tillsyn/A 58077-2024 tillsynsbegäran.docx", "A 58077-2024")</f>
        <v/>
      </c>
      <c r="AD35">
        <f>HYPERLINK("https://klasma.github.io/Logging_2182/tillsynsmail/A 58077-2024 tillsynsbegäran mail.docx", "A 58077-2024")</f>
        <v/>
      </c>
    </row>
    <row r="36" ht="15" customHeight="1">
      <c r="A36" t="inlineStr">
        <is>
          <t>A 17412-2023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46275</v>
      </c>
      <c r="F36" t="inlineStr">
        <is>
          <t>GÄVLEBORGS LÄN</t>
        </is>
      </c>
      <c r="G36" t="inlineStr">
        <is>
          <t>SÖDERHAMN</t>
        </is>
      </c>
      <c r="I36" t="n">
        <v>4.8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HYPERLINK("https://klasma.github.io/Logging_2182/artfynd/A 17412-2023 artfynd.xlsx", "A 17412-2023")</f>
        <v/>
      </c>
      <c r="X36">
        <f>HYPERLINK("https://klasma.github.io/Logging_2182/kartor/A 17412-2023 karta.png", "A 17412-2023")</f>
        <v/>
      </c>
      <c r="Y36">
        <f>HYPERLINK("https://klasma.github.io/Logging_2182/kartor_geotiff/A 17412-2023 georefererad karta.tif", "A 17412-2023")</f>
        <v/>
      </c>
      <c r="AA36">
        <f>HYPERLINK("https://klasma.github.io/Logging_2182/klagomål/A 17412-2023 FSC-klagomål.docx", "A 17412-2023")</f>
        <v/>
      </c>
      <c r="AB36">
        <f>HYPERLINK("https://klasma.github.io/Logging_2182/klagomålsmail/A 17412-2023 FSC-klagomål mail.docx", "A 17412-2023")</f>
        <v/>
      </c>
      <c r="AC36">
        <f>HYPERLINK("https://klasma.github.io/Logging_2182/tillsyn/A 17412-2023 tillsynsbegäran.docx", "A 17412-2023")</f>
        <v/>
      </c>
      <c r="AD36">
        <f>HYPERLINK("https://klasma.github.io/Logging_2182/tillsynsmail/A 17412-2023 tillsynsbegäran mail.docx", "A 17412-2023")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46275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29834-2025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46275</v>
      </c>
      <c r="F38" t="inlineStr">
        <is>
          <t>GÄVLEBORGS LÄN</t>
        </is>
      </c>
      <c r="G38" t="inlineStr">
        <is>
          <t>SÖDERHAMN</t>
        </is>
      </c>
      <c r="I38" t="n">
        <v>3.7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HYPERLINK("https://klasma.github.io/Logging_2182/artfynd/A 29834-2025 artfynd.xlsx", "A 29834-2025")</f>
        <v/>
      </c>
      <c r="X38">
        <f>HYPERLINK("https://klasma.github.io/Logging_2182/kartor/A 29834-2025 karta.png", "A 29834-2025")</f>
        <v/>
      </c>
      <c r="Y38">
        <f>HYPERLINK("https://klasma.github.io/Logging_2182/kartor_geotiff/A 29834-2025 georefererad karta.tif", "A 29834-2025")</f>
        <v/>
      </c>
      <c r="AA38">
        <f>HYPERLINK("https://klasma.github.io/Logging_2182/klagomål/A 29834-2025 FSC-klagomål.docx", "A 29834-2025")</f>
        <v/>
      </c>
      <c r="AB38">
        <f>HYPERLINK("https://klasma.github.io/Logging_2182/klagomålsmail/A 29834-2025 FSC-klagomål mail.docx", "A 29834-2025")</f>
        <v/>
      </c>
      <c r="AC38">
        <f>HYPERLINK("https://klasma.github.io/Logging_2182/tillsyn/A 29834-2025 tillsynsbegäran.docx", "A 29834-2025")</f>
        <v/>
      </c>
      <c r="AD38">
        <f>HYPERLINK("https://klasma.github.io/Logging_2182/tillsynsmail/A 29834-2025 tillsynsbegäran mail.docx", "A 29834-2025")</f>
        <v/>
      </c>
    </row>
    <row r="39" ht="15" customHeight="1">
      <c r="A39" t="inlineStr">
        <is>
          <t>A 38545-2025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46275</v>
      </c>
      <c r="F39" t="inlineStr">
        <is>
          <t>GÄVLEBORGS LÄN</t>
        </is>
      </c>
      <c r="G39" t="inlineStr">
        <is>
          <t>SÖDERHAMN</t>
        </is>
      </c>
      <c r="I39" t="n">
        <v>2.3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HYPERLINK("https://klasma.github.io/Logging_2182/artfynd/A 38545-2025 artfynd.xlsx", "A 38545-2025")</f>
        <v/>
      </c>
      <c r="X39">
        <f>HYPERLINK("https://klasma.github.io/Logging_2182/kartor/A 38545-2025 karta.png", "A 38545-2025")</f>
        <v/>
      </c>
      <c r="Y39">
        <f>HYPERLINK("https://klasma.github.io/Logging_2182/kartor_geotiff/A 38545-2025 georefererad karta.tif", "A 38545-2025")</f>
        <v/>
      </c>
      <c r="Z39">
        <f>HYPERLINK("https://klasma.github.io/Logging_2182/knärot/A 38545-2025 karta knärot.png", "A 38545-2025")</f>
        <v/>
      </c>
      <c r="AA39">
        <f>HYPERLINK("https://klasma.github.io/Logging_2182/klagomål/A 38545-2025 FSC-klagomål.docx", "A 38545-2025")</f>
        <v/>
      </c>
      <c r="AB39">
        <f>HYPERLINK("https://klasma.github.io/Logging_2182/klagomålsmail/A 38545-2025 FSC-klagomål mail.docx", "A 38545-2025")</f>
        <v/>
      </c>
      <c r="AC39">
        <f>HYPERLINK("https://klasma.github.io/Logging_2182/tillsyn/A 38545-2025 tillsynsbegäran.docx", "A 38545-2025")</f>
        <v/>
      </c>
      <c r="AD39">
        <f>HYPERLINK("https://klasma.github.io/Logging_2182/tillsynsmail/A 38545-2025 tillsynsbegäran mail.docx", "A 38545-2025")</f>
        <v/>
      </c>
    </row>
    <row r="40" ht="15" customHeight="1">
      <c r="A40" t="inlineStr">
        <is>
          <t>A 39774-2025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45891</v>
      </c>
      <c r="E40" s="1" t="n">
        <v>46275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6.7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Järpe</t>
        </is>
      </c>
      <c r="W40">
        <f>HYPERLINK("https://klasma.github.io/Logging_2182/artfynd/A 39774-2025 artfynd.xlsx", "A 39774-2025")</f>
        <v/>
      </c>
      <c r="X40">
        <f>HYPERLINK("https://klasma.github.io/Logging_2182/kartor/A 39774-2025 karta.png", "A 39774-2025")</f>
        <v/>
      </c>
      <c r="Y40">
        <f>HYPERLINK("https://klasma.github.io/Logging_2182/kartor_geotiff/A 39774-2025 georefererad karta.tif", "A 39774-2025")</f>
        <v/>
      </c>
      <c r="AA40">
        <f>HYPERLINK("https://klasma.github.io/Logging_2182/klagomål/A 39774-2025 FSC-klagomål.docx", "A 39774-2025")</f>
        <v/>
      </c>
      <c r="AB40">
        <f>HYPERLINK("https://klasma.github.io/Logging_2182/klagomålsmail/A 39774-2025 FSC-klagomål mail.docx", "A 39774-2025")</f>
        <v/>
      </c>
      <c r="AC40">
        <f>HYPERLINK("https://klasma.github.io/Logging_2182/tillsyn/A 39774-2025 tillsynsbegäran.docx", "A 39774-2025")</f>
        <v/>
      </c>
      <c r="AD40">
        <f>HYPERLINK("https://klasma.github.io/Logging_2182/tillsynsmail/A 39774-2025 tillsynsbegäran mail.docx", "A 39774-2025")</f>
        <v/>
      </c>
      <c r="AE40">
        <f>HYPERLINK("https://klasma.github.io/Logging_2182/fåglar/A 39774-2025 prioriterade fågelarter.docx", "A 39774-2025")</f>
        <v/>
      </c>
    </row>
    <row r="41" ht="15" customHeight="1">
      <c r="A41" t="inlineStr">
        <is>
          <t>A 51157-2025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45947</v>
      </c>
      <c r="E41" s="1" t="n">
        <v>46275</v>
      </c>
      <c r="F41" t="inlineStr">
        <is>
          <t>GÄVLEBORGS LÄN</t>
        </is>
      </c>
      <c r="G41" t="inlineStr">
        <is>
          <t>SÖDERHAMN</t>
        </is>
      </c>
      <c r="I41" t="n">
        <v>10.2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Gråspett</t>
        </is>
      </c>
      <c r="W41">
        <f>HYPERLINK("https://klasma.github.io/Logging_2182/artfynd/A 51157-2025 artfynd.xlsx", "A 51157-2025")</f>
        <v/>
      </c>
      <c r="X41">
        <f>HYPERLINK("https://klasma.github.io/Logging_2182/kartor/A 51157-2025 karta.png", "A 51157-2025")</f>
        <v/>
      </c>
      <c r="Y41">
        <f>HYPERLINK("https://klasma.github.io/Logging_2182/kartor_geotiff/A 51157-2025 georefererad karta.tif", "A 51157-2025")</f>
        <v/>
      </c>
      <c r="AA41">
        <f>HYPERLINK("https://klasma.github.io/Logging_2182/klagomål/A 51157-2025 FSC-klagomål.docx", "A 51157-2025")</f>
        <v/>
      </c>
      <c r="AB41">
        <f>HYPERLINK("https://klasma.github.io/Logging_2182/klagomålsmail/A 51157-2025 FSC-klagomål mail.docx", "A 51157-2025")</f>
        <v/>
      </c>
      <c r="AC41">
        <f>HYPERLINK("https://klasma.github.io/Logging_2182/tillsyn/A 51157-2025 tillsynsbegäran.docx", "A 51157-2025")</f>
        <v/>
      </c>
      <c r="AD41">
        <f>HYPERLINK("https://klasma.github.io/Logging_2182/tillsynsmail/A 51157-2025 tillsynsbegäran mail.docx", "A 51157-2025")</f>
        <v/>
      </c>
      <c r="AE41">
        <f>HYPERLINK("https://klasma.github.io/Logging_2182/fåglar/A 51157-2025 prioriterade fågelarter.docx", "A 51157-2025")</f>
        <v/>
      </c>
    </row>
    <row r="42" ht="15" customHeight="1">
      <c r="A42" t="inlineStr">
        <is>
          <t>A 31803-2024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45509</v>
      </c>
      <c r="E42" s="1" t="n">
        <v>46275</v>
      </c>
      <c r="F42" t="inlineStr">
        <is>
          <t>GÄVLEBORGS LÄN</t>
        </is>
      </c>
      <c r="G42" t="inlineStr">
        <is>
          <t>SÖDERHAMN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5</v>
      </c>
      <c r="V42" s="2" t="inlineStr">
        <is>
          <t>Knärot</t>
        </is>
      </c>
      <c r="W42">
        <f>HYPERLINK("https://klasma.github.io/Logging_2182/artfynd/A 31803-2024 artfynd.xlsx", "A 31803-2024")</f>
        <v/>
      </c>
      <c r="X42">
        <f>HYPERLINK("https://klasma.github.io/Logging_2182/kartor/A 31803-2024 karta.png", "A 31803-2024")</f>
        <v/>
      </c>
      <c r="Y42">
        <f>HYPERLINK("https://klasma.github.io/Logging_2182/kartor_geotiff/A 31803-2024 georefererad karta.tif", "A 31803-2024")</f>
        <v/>
      </c>
      <c r="Z42">
        <f>HYPERLINK("https://klasma.github.io/Logging_2182/knärot/A 31803-2024 karta knärot.png", "A 31803-2024")</f>
        <v/>
      </c>
      <c r="AA42">
        <f>HYPERLINK("https://klasma.github.io/Logging_2182/klagomål/A 31803-2024 FSC-klagomål.docx", "A 31803-2024")</f>
        <v/>
      </c>
      <c r="AB42">
        <f>HYPERLINK("https://klasma.github.io/Logging_2182/klagomålsmail/A 31803-2024 FSC-klagomål mail.docx", "A 31803-2024")</f>
        <v/>
      </c>
      <c r="AC42">
        <f>HYPERLINK("https://klasma.github.io/Logging_2182/tillsyn/A 31803-2024 tillsynsbegäran.docx", "A 31803-2024")</f>
        <v/>
      </c>
      <c r="AD42">
        <f>HYPERLINK("https://klasma.github.io/Logging_2182/tillsynsmail/A 31803-2024 tillsynsbegäran mail.docx", "A 31803-2024")</f>
        <v/>
      </c>
    </row>
    <row r="43" ht="15" customHeight="1">
      <c r="A43" t="inlineStr">
        <is>
          <t>A 19700-2023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45051</v>
      </c>
      <c r="E43" s="1" t="n">
        <v>46275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Ängsblåvinge</t>
        </is>
      </c>
      <c r="W43">
        <f>HYPERLINK("https://klasma.github.io/Logging_2182/artfynd/A 19700-2023 artfynd.xlsx", "A 19700-2023")</f>
        <v/>
      </c>
      <c r="X43">
        <f>HYPERLINK("https://klasma.github.io/Logging_2182/kartor/A 19700-2023 karta.png", "A 19700-2023")</f>
        <v/>
      </c>
      <c r="Y43">
        <f>HYPERLINK("https://klasma.github.io/Logging_2182/kartor_geotiff/A 19700-2023 georefererad karta.tif", "A 19700-2023")</f>
        <v/>
      </c>
      <c r="AA43">
        <f>HYPERLINK("https://klasma.github.io/Logging_2182/klagomål/A 19700-2023 FSC-klagomål.docx", "A 19700-2023")</f>
        <v/>
      </c>
      <c r="AB43">
        <f>HYPERLINK("https://klasma.github.io/Logging_2182/klagomålsmail/A 19700-2023 FSC-klagomål mail.docx", "A 19700-2023")</f>
        <v/>
      </c>
      <c r="AC43">
        <f>HYPERLINK("https://klasma.github.io/Logging_2182/tillsyn/A 19700-2023 tillsynsbegäran.docx", "A 19700-2023")</f>
        <v/>
      </c>
      <c r="AD43">
        <f>HYPERLINK("https://klasma.github.io/Logging_2182/tillsynsmail/A 19700-2023 tillsynsbegäran mail.docx", "A 19700-2023")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46275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59848-2025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46275</v>
      </c>
      <c r="F45" t="inlineStr">
        <is>
          <t>GÄVLEBORGS LÄN</t>
        </is>
      </c>
      <c r="G45" t="inlineStr">
        <is>
          <t>SÖDERHAMN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Revlummer</t>
        </is>
      </c>
      <c r="W45">
        <f>HYPERLINK("https://klasma.github.io/Logging_2182/artfynd/A 59848-2025 artfynd.xlsx", "A 59848-2025")</f>
        <v/>
      </c>
      <c r="X45">
        <f>HYPERLINK("https://klasma.github.io/Logging_2182/kartor/A 59848-2025 karta.png", "A 59848-2025")</f>
        <v/>
      </c>
      <c r="Y45">
        <f>HYPERLINK("https://klasma.github.io/Logging_2182/kartor_geotiff/A 59848-2025 georefererad karta.tif", "A 59848-2025")</f>
        <v/>
      </c>
      <c r="AA45">
        <f>HYPERLINK("https://klasma.github.io/Logging_2182/klagomål/A 59848-2025 FSC-klagomål.docx", "A 59848-2025")</f>
        <v/>
      </c>
      <c r="AB45">
        <f>HYPERLINK("https://klasma.github.io/Logging_2182/klagomålsmail/A 59848-2025 FSC-klagomål mail.docx", "A 59848-2025")</f>
        <v/>
      </c>
      <c r="AC45">
        <f>HYPERLINK("https://klasma.github.io/Logging_2182/tillsyn/A 59848-2025 tillsynsbegäran.docx", "A 59848-2025")</f>
        <v/>
      </c>
      <c r="AD45">
        <f>HYPERLINK("https://klasma.github.io/Logging_2182/tillsynsmail/A 59848-2025 tillsynsbegäran mail.docx", "A 59848-2025")</f>
        <v/>
      </c>
    </row>
    <row r="46" ht="15" customHeight="1">
      <c r="A46" t="inlineStr">
        <is>
          <t>A 60301-2025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45994</v>
      </c>
      <c r="E46" s="1" t="n">
        <v>46275</v>
      </c>
      <c r="F46" t="inlineStr">
        <is>
          <t>GÄVLEBORGS LÄN</t>
        </is>
      </c>
      <c r="G46" t="inlineStr">
        <is>
          <t>SÖDERHAMN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HYPERLINK("https://klasma.github.io/Logging_2182/artfynd/A 60301-2025 artfynd.xlsx", "A 60301-2025")</f>
        <v/>
      </c>
      <c r="X46">
        <f>HYPERLINK("https://klasma.github.io/Logging_2182/kartor/A 60301-2025 karta.png", "A 60301-2025")</f>
        <v/>
      </c>
      <c r="Y46">
        <f>HYPERLINK("https://klasma.github.io/Logging_2182/kartor_geotiff/A 60301-2025 georefererad karta.tif", "A 60301-2025")</f>
        <v/>
      </c>
      <c r="AA46">
        <f>HYPERLINK("https://klasma.github.io/Logging_2182/klagomål/A 60301-2025 FSC-klagomål.docx", "A 60301-2025")</f>
        <v/>
      </c>
      <c r="AB46">
        <f>HYPERLINK("https://klasma.github.io/Logging_2182/klagomålsmail/A 60301-2025 FSC-klagomål mail.docx", "A 60301-2025")</f>
        <v/>
      </c>
      <c r="AC46">
        <f>HYPERLINK("https://klasma.github.io/Logging_2182/tillsyn/A 60301-2025 tillsynsbegäran.docx", "A 60301-2025")</f>
        <v/>
      </c>
      <c r="AD46">
        <f>HYPERLINK("https://klasma.github.io/Logging_2182/tillsynsmail/A 60301-2025 tillsynsbegäran mail.docx", "A 60301-2025")</f>
        <v/>
      </c>
    </row>
    <row r="47" ht="15" customHeight="1">
      <c r="A47" t="inlineStr">
        <is>
          <t>A 60318-2025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45994</v>
      </c>
      <c r="E47" s="1" t="n">
        <v>46275</v>
      </c>
      <c r="F47" t="inlineStr">
        <is>
          <t>GÄVLEBORGS LÄN</t>
        </is>
      </c>
      <c r="G47" t="inlineStr">
        <is>
          <t>SÖDERHAMN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Revlummer</t>
        </is>
      </c>
      <c r="W47">
        <f>HYPERLINK("https://klasma.github.io/Logging_2182/artfynd/A 60318-2025 artfynd.xlsx", "A 60318-2025")</f>
        <v/>
      </c>
      <c r="X47">
        <f>HYPERLINK("https://klasma.github.io/Logging_2182/kartor/A 60318-2025 karta.png", "A 60318-2025")</f>
        <v/>
      </c>
      <c r="Y47">
        <f>HYPERLINK("https://klasma.github.io/Logging_2182/kartor_geotiff/A 60318-2025 georefererad karta.tif", "A 60318-2025")</f>
        <v/>
      </c>
      <c r="AA47">
        <f>HYPERLINK("https://klasma.github.io/Logging_2182/klagomål/A 60318-2025 FSC-klagomål.docx", "A 60318-2025")</f>
        <v/>
      </c>
      <c r="AB47">
        <f>HYPERLINK("https://klasma.github.io/Logging_2182/klagomålsmail/A 60318-2025 FSC-klagomål mail.docx", "A 60318-2025")</f>
        <v/>
      </c>
      <c r="AC47">
        <f>HYPERLINK("https://klasma.github.io/Logging_2182/tillsyn/A 60318-2025 tillsynsbegäran.docx", "A 60318-2025")</f>
        <v/>
      </c>
      <c r="AD47">
        <f>HYPERLINK("https://klasma.github.io/Logging_2182/tillsynsmail/A 60318-2025 tillsynsbegäran mail.docx", "A 60318-2025")</f>
        <v/>
      </c>
    </row>
    <row r="48" ht="15" customHeight="1">
      <c r="A48" t="inlineStr">
        <is>
          <t>A 5946-2026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46275</v>
      </c>
      <c r="F48" t="inlineStr">
        <is>
          <t>GÄVLEBORGS LÄN</t>
        </is>
      </c>
      <c r="G48" t="inlineStr">
        <is>
          <t>SÖDERHAMN</t>
        </is>
      </c>
      <c r="I48" t="n">
        <v>8.800000000000001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Stor aspticka</t>
        </is>
      </c>
      <c r="W48">
        <f>HYPERLINK("https://klasma.github.io/Logging_2182/artfynd/A 5946-2026 artfynd.xlsx", "A 5946-2026")</f>
        <v/>
      </c>
      <c r="X48">
        <f>HYPERLINK("https://klasma.github.io/Logging_2182/kartor/A 5946-2026 karta.png", "A 5946-2026")</f>
        <v/>
      </c>
      <c r="Y48">
        <f>HYPERLINK("https://klasma.github.io/Logging_2182/kartor_geotiff/A 5946-2026 georefererad karta.tif", "A 5946-2026")</f>
        <v/>
      </c>
      <c r="AA48">
        <f>HYPERLINK("https://klasma.github.io/Logging_2182/klagomål/A 5946-2026 FSC-klagomål.docx", "A 5946-2026")</f>
        <v/>
      </c>
      <c r="AB48">
        <f>HYPERLINK("https://klasma.github.io/Logging_2182/klagomålsmail/A 5946-2026 FSC-klagomål mail.docx", "A 5946-2026")</f>
        <v/>
      </c>
      <c r="AC48">
        <f>HYPERLINK("https://klasma.github.io/Logging_2182/tillsyn/A 5946-2026 tillsynsbegäran.docx", "A 5946-2026")</f>
        <v/>
      </c>
      <c r="AD48">
        <f>HYPERLINK("https://klasma.github.io/Logging_2182/tillsynsmail/A 5946-2026 tillsynsbegäran mail.docx", "A 5946-2026")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46275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A 9284-2026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46275</v>
      </c>
      <c r="F50" t="inlineStr">
        <is>
          <t>GÄVLEBORGS LÄN</t>
        </is>
      </c>
      <c r="G50" t="inlineStr">
        <is>
          <t>SÖDERHAMN</t>
        </is>
      </c>
      <c r="I50" t="n">
        <v>0.2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HYPERLINK("https://klasma.github.io/Logging_2182/artfynd/A 9284-2026 artfynd.xlsx", "A 9284-2026")</f>
        <v/>
      </c>
      <c r="X50">
        <f>HYPERLINK("https://klasma.github.io/Logging_2182/kartor/A 9284-2026 karta.png", "A 9284-2026")</f>
        <v/>
      </c>
      <c r="Y50">
        <f>HYPERLINK("https://klasma.github.io/Logging_2182/kartor_geotiff/A 9284-2026 georefererad karta.tif", "A 9284-2026")</f>
        <v/>
      </c>
      <c r="Z50">
        <f>HYPERLINK("https://klasma.github.io/Logging_2182/knärot/A 9284-2026 karta knärot.png", "A 9284-2026")</f>
        <v/>
      </c>
      <c r="AA50">
        <f>HYPERLINK("https://klasma.github.io/Logging_2182/klagomål/A 9284-2026 FSC-klagomål.docx", "A 9284-2026")</f>
        <v/>
      </c>
      <c r="AB50">
        <f>HYPERLINK("https://klasma.github.io/Logging_2182/klagomålsmail/A 9284-2026 FSC-klagomål mail.docx", "A 9284-2026")</f>
        <v/>
      </c>
      <c r="AC50">
        <f>HYPERLINK("https://klasma.github.io/Logging_2182/tillsyn/A 9284-2026 tillsynsbegäran.docx", "A 9284-2026")</f>
        <v/>
      </c>
      <c r="AD50">
        <f>HYPERLINK("https://klasma.github.io/Logging_2182/tillsynsmail/A 9284-2026 tillsynsbegäran mail.docx", "A 9284-2026")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46275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A 55768-2025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45972</v>
      </c>
      <c r="E52" s="1" t="n">
        <v>46275</v>
      </c>
      <c r="F52" t="inlineStr">
        <is>
          <t>GÄVLEBORGS LÄN</t>
        </is>
      </c>
      <c r="G52" t="inlineStr">
        <is>
          <t>SÖDERHAMN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Sydlig ladlav</t>
        </is>
      </c>
      <c r="W52">
        <f>HYPERLINK("https://klasma.github.io/Logging_2182/artfynd/A 55768-2025 artfynd.xlsx", "A 55768-2025")</f>
        <v/>
      </c>
      <c r="X52">
        <f>HYPERLINK("https://klasma.github.io/Logging_2182/kartor/A 55768-2025 karta.png", "A 55768-2025")</f>
        <v/>
      </c>
      <c r="Y52">
        <f>HYPERLINK("https://klasma.github.io/Logging_2182/kartor_geotiff/A 55768-2025 georefererad karta.tif", "A 55768-2025")</f>
        <v/>
      </c>
      <c r="AA52">
        <f>HYPERLINK("https://klasma.github.io/Logging_2182/klagomål/A 55768-2025 FSC-klagomål.docx", "A 55768-2025")</f>
        <v/>
      </c>
      <c r="AB52">
        <f>HYPERLINK("https://klasma.github.io/Logging_2182/klagomålsmail/A 55768-2025 FSC-klagomål mail.docx", "A 55768-2025")</f>
        <v/>
      </c>
      <c r="AC52">
        <f>HYPERLINK("https://klasma.github.io/Logging_2182/tillsyn/A 55768-2025 tillsynsbegäran.docx", "A 55768-2025")</f>
        <v/>
      </c>
      <c r="AD52">
        <f>HYPERLINK("https://klasma.github.io/Logging_2182/tillsynsmail/A 55768-2025 tillsynsbegäran mail.docx", "A 55768-2025")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46275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46275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46275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46275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46275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46275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46275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46275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46275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46275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46275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46275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46275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46275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46275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44867</v>
      </c>
      <c r="E68" s="1" t="n">
        <v>46275</v>
      </c>
      <c r="F68" t="inlineStr">
        <is>
          <t>GÄVLEBORGS LÄN</t>
        </is>
      </c>
      <c r="G68" t="inlineStr">
        <is>
          <t>SÖDERHAMN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46275</v>
      </c>
      <c r="F69" t="inlineStr">
        <is>
          <t>GÄVLEBORGS LÄN</t>
        </is>
      </c>
      <c r="G69" t="inlineStr">
        <is>
          <t>SÖDERHAMN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46275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46275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46275</v>
      </c>
      <c r="F72" t="inlineStr">
        <is>
          <t>GÄVLEBORGS LÄN</t>
        </is>
      </c>
      <c r="G72" t="inlineStr">
        <is>
          <t>SÖDERHAMN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46275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46275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46275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46275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46275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46275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46275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46275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46275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46275</v>
      </c>
      <c r="F82" t="inlineStr">
        <is>
          <t>GÄVLEBORGS LÄN</t>
        </is>
      </c>
      <c r="G82" t="inlineStr">
        <is>
          <t>SÖDERHAMN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46275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46275</v>
      </c>
      <c r="F84" t="inlineStr">
        <is>
          <t>GÄVLEBORGS LÄN</t>
        </is>
      </c>
      <c r="G84" t="inlineStr">
        <is>
          <t>SÖDERHAMN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46275</v>
      </c>
      <c r="F85" t="inlineStr">
        <is>
          <t>GÄVLEBORGS LÄN</t>
        </is>
      </c>
      <c r="G85" t="inlineStr">
        <is>
          <t>SÖDERHAMN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46275</v>
      </c>
      <c r="F86" t="inlineStr">
        <is>
          <t>GÄVLEBORGS LÄN</t>
        </is>
      </c>
      <c r="G86" t="inlineStr">
        <is>
          <t>SÖDERHAMN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46275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45254</v>
      </c>
      <c r="E88" s="1" t="n">
        <v>46275</v>
      </c>
      <c r="F88" t="inlineStr">
        <is>
          <t>GÄVLEBORGS LÄN</t>
        </is>
      </c>
      <c r="G88" t="inlineStr">
        <is>
          <t>SÖDERHAMN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46275</v>
      </c>
      <c r="F89" t="inlineStr">
        <is>
          <t>GÄVLEBORGS LÄN</t>
        </is>
      </c>
      <c r="G89" t="inlineStr">
        <is>
          <t>SÖDERHAMN</t>
        </is>
      </c>
      <c r="I89" t="n">
        <v>11.2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46275</v>
      </c>
      <c r="F90" t="inlineStr">
        <is>
          <t>GÄVLEBORGS LÄN</t>
        </is>
      </c>
      <c r="G90" t="inlineStr">
        <is>
          <t>SÖDERHAMN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46275</v>
      </c>
      <c r="F91" t="inlineStr">
        <is>
          <t>GÄVLEBORGS LÄN</t>
        </is>
      </c>
      <c r="G91" t="inlineStr">
        <is>
          <t>SÖDERHAMN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46275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46275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45246</v>
      </c>
      <c r="E94" s="1" t="n">
        <v>46275</v>
      </c>
      <c r="F94" t="inlineStr">
        <is>
          <t>GÄVLEBORGS LÄN</t>
        </is>
      </c>
      <c r="G94" t="inlineStr">
        <is>
          <t>SÖDERHAMN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46275</v>
      </c>
      <c r="F95" t="inlineStr">
        <is>
          <t>GÄVLEBORGS LÄN</t>
        </is>
      </c>
      <c r="G95" t="inlineStr">
        <is>
          <t>SÖDERHAMN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46275</v>
      </c>
      <c r="F96" t="inlineStr">
        <is>
          <t>GÄVLEBORGS LÄN</t>
        </is>
      </c>
      <c r="G96" t="inlineStr">
        <is>
          <t>SÖDERHAMN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46275</v>
      </c>
      <c r="F97" t="inlineStr">
        <is>
          <t>GÄVLEBORGS LÄN</t>
        </is>
      </c>
      <c r="G97" t="inlineStr">
        <is>
          <t>SÖDERHAMN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45327</v>
      </c>
      <c r="E98" s="1" t="n">
        <v>46275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45183</v>
      </c>
      <c r="E99" s="1" t="n">
        <v>46275</v>
      </c>
      <c r="F99" t="inlineStr">
        <is>
          <t>GÄVLEBORGS LÄN</t>
        </is>
      </c>
      <c r="G99" t="inlineStr">
        <is>
          <t>SÖDERHAMN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44856</v>
      </c>
      <c r="E100" s="1" t="n">
        <v>46275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45775</v>
      </c>
      <c r="E101" s="1" t="n">
        <v>46275</v>
      </c>
      <c r="F101" t="inlineStr">
        <is>
          <t>GÄVLEBORGS LÄN</t>
        </is>
      </c>
      <c r="G101" t="inlineStr">
        <is>
          <t>SÖDERHAMN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45342</v>
      </c>
      <c r="E102" s="1" t="n">
        <v>46275</v>
      </c>
      <c r="F102" t="inlineStr">
        <is>
          <t>GÄVLEBORGS LÄN</t>
        </is>
      </c>
      <c r="G102" t="inlineStr">
        <is>
          <t>SÖDERHAMN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46275</v>
      </c>
      <c r="F103" t="inlineStr">
        <is>
          <t>GÄVLEBORGS LÄN</t>
        </is>
      </c>
      <c r="G103" t="inlineStr">
        <is>
          <t>SÖDERHAMN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46275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46275</v>
      </c>
      <c r="F105" t="inlineStr">
        <is>
          <t>GÄVLEBORGS LÄN</t>
        </is>
      </c>
      <c r="G105" t="inlineStr">
        <is>
          <t>SÖDERHAMN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46275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46275</v>
      </c>
      <c r="F107" t="inlineStr">
        <is>
          <t>GÄVLEBORGS LÄN</t>
        </is>
      </c>
      <c r="G107" t="inlineStr">
        <is>
          <t>SÖDERHAMN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46275</v>
      </c>
      <c r="F108" t="inlineStr">
        <is>
          <t>GÄVLEBORGS LÄN</t>
        </is>
      </c>
      <c r="G108" t="inlineStr">
        <is>
          <t>SÖDERHAMN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46275</v>
      </c>
      <c r="F109" t="inlineStr">
        <is>
          <t>GÄVLEBORGS LÄN</t>
        </is>
      </c>
      <c r="G109" t="inlineStr">
        <is>
          <t>SÖDERHAMN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46275</v>
      </c>
      <c r="F110" t="inlineStr">
        <is>
          <t>GÄVLEBORGS LÄN</t>
        </is>
      </c>
      <c r="G110" t="inlineStr">
        <is>
          <t>SÖDERHAMN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46275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46275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46275</v>
      </c>
      <c r="F113" t="inlineStr">
        <is>
          <t>GÄVLEBORGS LÄN</t>
        </is>
      </c>
      <c r="G113" t="inlineStr">
        <is>
          <t>SÖDERHAMN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46275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46275</v>
      </c>
      <c r="F115" t="inlineStr">
        <is>
          <t>GÄVLEBORGS LÄN</t>
        </is>
      </c>
      <c r="G115" t="inlineStr">
        <is>
          <t>SÖDERHAMN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46275</v>
      </c>
      <c r="F116" t="inlineStr">
        <is>
          <t>GÄVLEBORGS LÄN</t>
        </is>
      </c>
      <c r="G116" t="inlineStr">
        <is>
          <t>SÖDERHAMN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46275</v>
      </c>
      <c r="F117" t="inlineStr">
        <is>
          <t>GÄVLEBORGS LÄN</t>
        </is>
      </c>
      <c r="G117" t="inlineStr">
        <is>
          <t>SÖDERHAMN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46275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46275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45677</v>
      </c>
      <c r="E120" s="1" t="n">
        <v>46275</v>
      </c>
      <c r="F120" t="inlineStr">
        <is>
          <t>GÄVLEBORGS LÄN</t>
        </is>
      </c>
      <c r="G120" t="inlineStr">
        <is>
          <t>SÖDERHAMN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46275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46275</v>
      </c>
      <c r="F122" t="inlineStr">
        <is>
          <t>GÄVLEBORGS LÄN</t>
        </is>
      </c>
      <c r="G122" t="inlineStr">
        <is>
          <t>SÖDERHAMN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45170</v>
      </c>
      <c r="E123" s="1" t="n">
        <v>46275</v>
      </c>
      <c r="F123" t="inlineStr">
        <is>
          <t>GÄVLEBORGS LÄN</t>
        </is>
      </c>
      <c r="G123" t="inlineStr">
        <is>
          <t>SÖDERHAMN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45750</v>
      </c>
      <c r="E124" s="1" t="n">
        <v>46275</v>
      </c>
      <c r="F124" t="inlineStr">
        <is>
          <t>GÄVLEBORGS LÄN</t>
        </is>
      </c>
      <c r="G124" t="inlineStr">
        <is>
          <t>SÖDERHAMN</t>
        </is>
      </c>
      <c r="H124" t="inlineStr">
        <is>
          <t>Kommuner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46275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46275</v>
      </c>
      <c r="F126" t="inlineStr">
        <is>
          <t>GÄVLEBORGS LÄN</t>
        </is>
      </c>
      <c r="G126" t="inlineStr">
        <is>
          <t>SÖDERHAMN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46275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46275</v>
      </c>
      <c r="F128" t="inlineStr">
        <is>
          <t>GÄVLEBORGS LÄN</t>
        </is>
      </c>
      <c r="G128" t="inlineStr">
        <is>
          <t>SÖDERHAMN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45428</v>
      </c>
      <c r="E129" s="1" t="n">
        <v>46275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46275</v>
      </c>
      <c r="F130" t="inlineStr">
        <is>
          <t>GÄVLEBORGS LÄN</t>
        </is>
      </c>
      <c r="G130" t="inlineStr">
        <is>
          <t>SÖDERHAMN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45750</v>
      </c>
      <c r="E131" s="1" t="n">
        <v>46275</v>
      </c>
      <c r="F131" t="inlineStr">
        <is>
          <t>GÄVLEBORGS LÄN</t>
        </is>
      </c>
      <c r="G131" t="inlineStr">
        <is>
          <t>SÖDERHAMN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46275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46275</v>
      </c>
      <c r="F133" t="inlineStr">
        <is>
          <t>GÄVLEBORGS LÄN</t>
        </is>
      </c>
      <c r="G133" t="inlineStr">
        <is>
          <t>SÖDERHAMN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46275</v>
      </c>
      <c r="F134" t="inlineStr">
        <is>
          <t>GÄVLEBORGS LÄN</t>
        </is>
      </c>
      <c r="G134" t="inlineStr">
        <is>
          <t>SÖDERHAMN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44508</v>
      </c>
      <c r="E135" s="1" t="n">
        <v>46275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46275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46275</v>
      </c>
      <c r="F137" t="inlineStr">
        <is>
          <t>GÄVLEBORGS LÄN</t>
        </is>
      </c>
      <c r="G137" t="inlineStr">
        <is>
          <t>SÖDERHAMN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46275</v>
      </c>
      <c r="F138" t="inlineStr">
        <is>
          <t>GÄVLEBORGS LÄN</t>
        </is>
      </c>
      <c r="G138" t="inlineStr">
        <is>
          <t>SÖDERHAMN</t>
        </is>
      </c>
      <c r="H138" t="inlineStr">
        <is>
          <t>Kommuner</t>
        </is>
      </c>
      <c r="I138" t="n">
        <v>10.8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46275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56933-2024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45628</v>
      </c>
      <c r="E140" s="1" t="n">
        <v>46275</v>
      </c>
      <c r="F140" t="inlineStr">
        <is>
          <t>GÄVLEBORGS LÄN</t>
        </is>
      </c>
      <c r="G140" t="inlineStr">
        <is>
          <t>SÖDERHAMN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44760</v>
      </c>
      <c r="E141" s="1" t="n">
        <v>46275</v>
      </c>
      <c r="F141" t="inlineStr">
        <is>
          <t>GÄVLEBORGS LÄN</t>
        </is>
      </c>
      <c r="G141" t="inlineStr">
        <is>
          <t>SÖDERHAMN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46275</v>
      </c>
      <c r="F142" t="inlineStr">
        <is>
          <t>GÄVLEBORGS LÄN</t>
        </is>
      </c>
      <c r="G142" t="inlineStr">
        <is>
          <t>SÖDERHAMN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46275</v>
      </c>
      <c r="F143" t="inlineStr">
        <is>
          <t>GÄVLEBORGS LÄN</t>
        </is>
      </c>
      <c r="G143" t="inlineStr">
        <is>
          <t>SÖDERHAMN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45545</v>
      </c>
      <c r="E144" s="1" t="n">
        <v>46275</v>
      </c>
      <c r="F144" t="inlineStr">
        <is>
          <t>GÄVLEBORGS LÄN</t>
        </is>
      </c>
      <c r="G144" t="inlineStr">
        <is>
          <t>SÖDERHAMN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46275</v>
      </c>
      <c r="F145" t="inlineStr">
        <is>
          <t>GÄVLEBORGS LÄN</t>
        </is>
      </c>
      <c r="G145" t="inlineStr">
        <is>
          <t>SÖDERHAMN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45113</v>
      </c>
      <c r="E146" s="1" t="n">
        <v>46275</v>
      </c>
      <c r="F146" t="inlineStr">
        <is>
          <t>GÄVLEBORGS LÄN</t>
        </is>
      </c>
      <c r="G146" t="inlineStr">
        <is>
          <t>SÖDERHAMN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46275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46275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46275</v>
      </c>
      <c r="F149" t="inlineStr">
        <is>
          <t>GÄVLEBORGS LÄN</t>
        </is>
      </c>
      <c r="G149" t="inlineStr">
        <is>
          <t>SÖDERHAMN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46275</v>
      </c>
      <c r="F150" t="inlineStr">
        <is>
          <t>GÄVLEBORGS LÄN</t>
        </is>
      </c>
      <c r="G150" t="inlineStr">
        <is>
          <t>SÖDERHAMN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46275</v>
      </c>
      <c r="F151" t="inlineStr">
        <is>
          <t>GÄVLEBORGS LÄN</t>
        </is>
      </c>
      <c r="G151" t="inlineStr">
        <is>
          <t>SÖDERHAMN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45202</v>
      </c>
      <c r="E152" s="1" t="n">
        <v>46275</v>
      </c>
      <c r="F152" t="inlineStr">
        <is>
          <t>GÄVLEBORGS LÄN</t>
        </is>
      </c>
      <c r="G152" t="inlineStr">
        <is>
          <t>SÖDERHAMN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46275</v>
      </c>
      <c r="F153" t="inlineStr">
        <is>
          <t>GÄVLEBORGS LÄN</t>
        </is>
      </c>
      <c r="G153" t="inlineStr">
        <is>
          <t>SÖDERHAMN</t>
        </is>
      </c>
      <c r="H153" t="inlineStr">
        <is>
          <t>Kommuner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46275</v>
      </c>
      <c r="F154" t="inlineStr">
        <is>
          <t>GÄVLEBORGS LÄN</t>
        </is>
      </c>
      <c r="G154" t="inlineStr">
        <is>
          <t>SÖDERHAMN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45453</v>
      </c>
      <c r="E155" s="1" t="n">
        <v>46275</v>
      </c>
      <c r="F155" t="inlineStr">
        <is>
          <t>GÄVLEBORGS LÄN</t>
        </is>
      </c>
      <c r="G155" t="inlineStr">
        <is>
          <t>SÖDERHAMN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45604</v>
      </c>
      <c r="E156" s="1" t="n">
        <v>46275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46275</v>
      </c>
      <c r="F157" t="inlineStr">
        <is>
          <t>GÄVLEBORGS LÄN</t>
        </is>
      </c>
      <c r="G157" t="inlineStr">
        <is>
          <t>SÖDERHAMN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41221-2022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44826</v>
      </c>
      <c r="E158" s="1" t="n">
        <v>46275</v>
      </c>
      <c r="F158" t="inlineStr">
        <is>
          <t>GÄVLEBORGS LÄN</t>
        </is>
      </c>
      <c r="G158" t="inlineStr">
        <is>
          <t>SÖDERHAMN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46275</v>
      </c>
      <c r="F159" t="inlineStr">
        <is>
          <t>GÄVLEBORGS LÄN</t>
        </is>
      </c>
      <c r="G159" t="inlineStr">
        <is>
          <t>SÖDERHAMN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46275</v>
      </c>
      <c r="F160" t="inlineStr">
        <is>
          <t>GÄVLEBORGS LÄN</t>
        </is>
      </c>
      <c r="G160" t="inlineStr">
        <is>
          <t>SÖDERHAMN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46275</v>
      </c>
      <c r="F161" t="inlineStr">
        <is>
          <t>GÄVLEBORGS LÄN</t>
        </is>
      </c>
      <c r="G161" t="inlineStr">
        <is>
          <t>SÖDERHAMN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46275</v>
      </c>
      <c r="F162" t="inlineStr">
        <is>
          <t>GÄVLEBORGS LÄN</t>
        </is>
      </c>
      <c r="G162" t="inlineStr">
        <is>
          <t>SÖDERHAMN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46275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45108</v>
      </c>
      <c r="E164" s="1" t="n">
        <v>46275</v>
      </c>
      <c r="F164" t="inlineStr">
        <is>
          <t>GÄVLEBORGS LÄN</t>
        </is>
      </c>
      <c r="G164" t="inlineStr">
        <is>
          <t>SÖDERHAMN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46275</v>
      </c>
      <c r="F165" t="inlineStr">
        <is>
          <t>GÄVLEBORGS LÄN</t>
        </is>
      </c>
      <c r="G165" t="inlineStr">
        <is>
          <t>SÖDERHAMN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46275</v>
      </c>
      <c r="F166" t="inlineStr">
        <is>
          <t>GÄVLEBORGS LÄN</t>
        </is>
      </c>
      <c r="G166" t="inlineStr">
        <is>
          <t>SÖDERHAMN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58544-2023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45251</v>
      </c>
      <c r="E167" s="1" t="n">
        <v>46275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46275</v>
      </c>
      <c r="F168" t="inlineStr">
        <is>
          <t>GÄVLEBORGS LÄN</t>
        </is>
      </c>
      <c r="G168" t="inlineStr">
        <is>
          <t>SÖDERHAMN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46275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45264</v>
      </c>
      <c r="E170" s="1" t="n">
        <v>46275</v>
      </c>
      <c r="F170" t="inlineStr">
        <is>
          <t>GÄVLEBORGS LÄN</t>
        </is>
      </c>
      <c r="G170" t="inlineStr">
        <is>
          <t>SÖDERHAMN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45394</v>
      </c>
      <c r="E171" s="1" t="n">
        <v>46275</v>
      </c>
      <c r="F171" t="inlineStr">
        <is>
          <t>GÄVLEBORGS LÄN</t>
        </is>
      </c>
      <c r="G171" t="inlineStr">
        <is>
          <t>SÖDERHAMN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11075-2023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44992</v>
      </c>
      <c r="E172" s="1" t="n">
        <v>46275</v>
      </c>
      <c r="F172" t="inlineStr">
        <is>
          <t>GÄVLEBORGS LÄN</t>
        </is>
      </c>
      <c r="G172" t="inlineStr">
        <is>
          <t>SÖDERHAMN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46275</v>
      </c>
      <c r="F173" t="inlineStr">
        <is>
          <t>GÄVLEBORGS LÄN</t>
        </is>
      </c>
      <c r="G173" t="inlineStr">
        <is>
          <t>SÖDERHAMN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46275</v>
      </c>
      <c r="F174" t="inlineStr">
        <is>
          <t>GÄVLEBORGS LÄN</t>
        </is>
      </c>
      <c r="G174" t="inlineStr">
        <is>
          <t>SÖDERHAMN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44907</v>
      </c>
      <c r="E175" s="1" t="n">
        <v>46275</v>
      </c>
      <c r="F175" t="inlineStr">
        <is>
          <t>GÄVLEBORGS LÄN</t>
        </is>
      </c>
      <c r="G175" t="inlineStr">
        <is>
          <t>SÖDERHAMN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46275</v>
      </c>
      <c r="F176" t="inlineStr">
        <is>
          <t>GÄVLEBORGS LÄN</t>
        </is>
      </c>
      <c r="G176" t="inlineStr">
        <is>
          <t>SÖDERHAMN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46275</v>
      </c>
      <c r="F177" t="inlineStr">
        <is>
          <t>GÄVLEBORGS LÄN</t>
        </is>
      </c>
      <c r="G177" t="inlineStr">
        <is>
          <t>SÖDERHAMN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45770</v>
      </c>
      <c r="E178" s="1" t="n">
        <v>46275</v>
      </c>
      <c r="F178" t="inlineStr">
        <is>
          <t>GÄVLEBORGS LÄN</t>
        </is>
      </c>
      <c r="G178" t="inlineStr">
        <is>
          <t>SÖDERHAMN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46275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1458-2023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44937</v>
      </c>
      <c r="E180" s="1" t="n">
        <v>46275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44869</v>
      </c>
      <c r="E181" s="1" t="n">
        <v>46275</v>
      </c>
      <c r="F181" t="inlineStr">
        <is>
          <t>GÄVLEBORGS LÄN</t>
        </is>
      </c>
      <c r="G181" t="inlineStr">
        <is>
          <t>SÖDERHAMN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24766-2023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45084</v>
      </c>
      <c r="E182" s="1" t="n">
        <v>46275</v>
      </c>
      <c r="F182" t="inlineStr">
        <is>
          <t>GÄVLEBORGS LÄN</t>
        </is>
      </c>
      <c r="G182" t="inlineStr">
        <is>
          <t>SÖDERHAMN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46275</v>
      </c>
      <c r="F183" t="inlineStr">
        <is>
          <t>GÄVLEBORGS LÄN</t>
        </is>
      </c>
      <c r="G183" t="inlineStr">
        <is>
          <t>SÖDERHAMN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46275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46275</v>
      </c>
      <c r="F185" t="inlineStr">
        <is>
          <t>GÄVLEBORGS LÄN</t>
        </is>
      </c>
      <c r="G185" t="inlineStr">
        <is>
          <t>SÖDERHAMN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46275</v>
      </c>
      <c r="F186" t="inlineStr">
        <is>
          <t>GÄVLEBORGS LÄN</t>
        </is>
      </c>
      <c r="G186" t="inlineStr">
        <is>
          <t>SÖDERHAMN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45560</v>
      </c>
      <c r="E187" s="1" t="n">
        <v>46275</v>
      </c>
      <c r="F187" t="inlineStr">
        <is>
          <t>GÄVLEBORGS LÄN</t>
        </is>
      </c>
      <c r="G187" t="inlineStr">
        <is>
          <t>SÖDERHAMN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45560</v>
      </c>
      <c r="E188" s="1" t="n">
        <v>46275</v>
      </c>
      <c r="F188" t="inlineStr">
        <is>
          <t>GÄVLEBORGS LÄN</t>
        </is>
      </c>
      <c r="G188" t="inlineStr">
        <is>
          <t>SÖDERHAMN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60698-2023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46275</v>
      </c>
      <c r="F189" t="inlineStr">
        <is>
          <t>GÄVLEBORGS LÄN</t>
        </is>
      </c>
      <c r="G189" t="inlineStr">
        <is>
          <t>SÖDERHAMN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46275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Kommuner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46275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46275</v>
      </c>
      <c r="F192" t="inlineStr">
        <is>
          <t>GÄVLEBORGS LÄN</t>
        </is>
      </c>
      <c r="G192" t="inlineStr">
        <is>
          <t>SÖDERHAMN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46275</v>
      </c>
      <c r="F193" t="inlineStr">
        <is>
          <t>GÄVLEBORGS LÄN</t>
        </is>
      </c>
      <c r="G193" t="inlineStr">
        <is>
          <t>SÖDERHAMN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46275</v>
      </c>
      <c r="F194" t="inlineStr">
        <is>
          <t>GÄVLEBORGS LÄN</t>
        </is>
      </c>
      <c r="G194" t="inlineStr">
        <is>
          <t>SÖDERHAMN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46275</v>
      </c>
      <c r="F195" t="inlineStr">
        <is>
          <t>GÄVLEBORGS LÄN</t>
        </is>
      </c>
      <c r="G195" t="inlineStr">
        <is>
          <t>SÖDERHAMN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46275</v>
      </c>
      <c r="F196" t="inlineStr">
        <is>
          <t>GÄVLEBORGS LÄN</t>
        </is>
      </c>
      <c r="G196" t="inlineStr">
        <is>
          <t>SÖDERHAMN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46275</v>
      </c>
      <c r="F197" t="inlineStr">
        <is>
          <t>GÄVLEBORGS LÄN</t>
        </is>
      </c>
      <c r="G197" t="inlineStr">
        <is>
          <t>SÖDERHAMN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45296</v>
      </c>
      <c r="E198" s="1" t="n">
        <v>46275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48943-2024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46275</v>
      </c>
      <c r="F199" t="inlineStr">
        <is>
          <t>GÄVLEBORGS LÄN</t>
        </is>
      </c>
      <c r="G199" t="inlineStr">
        <is>
          <t>SÖDERHAMN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21283-2023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45062</v>
      </c>
      <c r="E200" s="1" t="n">
        <v>46275</v>
      </c>
      <c r="F200" t="inlineStr">
        <is>
          <t>GÄVLEBORGS LÄN</t>
        </is>
      </c>
      <c r="G200" t="inlineStr">
        <is>
          <t>SÖDERHAMN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46275</v>
      </c>
      <c r="F201" t="inlineStr">
        <is>
          <t>GÄVLEBORGS LÄN</t>
        </is>
      </c>
      <c r="G201" t="inlineStr">
        <is>
          <t>SÖDERHAMN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46275</v>
      </c>
      <c r="F202" t="inlineStr">
        <is>
          <t>GÄVLEBORGS LÄN</t>
        </is>
      </c>
      <c r="G202" t="inlineStr">
        <is>
          <t>SÖDERHAMN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46275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24933-2024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45461</v>
      </c>
      <c r="E204" s="1" t="n">
        <v>46275</v>
      </c>
      <c r="F204" t="inlineStr">
        <is>
          <t>GÄVLEBORGS LÄN</t>
        </is>
      </c>
      <c r="G204" t="inlineStr">
        <is>
          <t>SÖDERHAMN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46275</v>
      </c>
      <c r="F205" t="inlineStr">
        <is>
          <t>GÄVLEBORGS LÄN</t>
        </is>
      </c>
      <c r="G205" t="inlineStr">
        <is>
          <t>SÖDERHAMN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45327</v>
      </c>
      <c r="E206" s="1" t="n">
        <v>46275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34752-2024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45526</v>
      </c>
      <c r="E207" s="1" t="n">
        <v>46275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44938</v>
      </c>
      <c r="E208" s="1" t="n">
        <v>46275</v>
      </c>
      <c r="F208" t="inlineStr">
        <is>
          <t>GÄVLEBORGS LÄN</t>
        </is>
      </c>
      <c r="G208" t="inlineStr">
        <is>
          <t>SÖDERHAMN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46275</v>
      </c>
      <c r="F209" t="inlineStr">
        <is>
          <t>GÄVLEBORGS LÄN</t>
        </is>
      </c>
      <c r="G209" t="inlineStr">
        <is>
          <t>SÖDERHAMN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46275</v>
      </c>
      <c r="F210" t="inlineStr">
        <is>
          <t>GÄVLEBORGS LÄN</t>
        </is>
      </c>
      <c r="G210" t="inlineStr">
        <is>
          <t>SÖDERHAMN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46275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7972-2025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45707</v>
      </c>
      <c r="E212" s="1" t="n">
        <v>46275</v>
      </c>
      <c r="F212" t="inlineStr">
        <is>
          <t>GÄVLEBORGS LÄN</t>
        </is>
      </c>
      <c r="G212" t="inlineStr">
        <is>
          <t>SÖDERHAMN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48797-2024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46275</v>
      </c>
      <c r="F213" t="inlineStr">
        <is>
          <t>GÄVLEBORGS LÄN</t>
        </is>
      </c>
      <c r="G213" t="inlineStr">
        <is>
          <t>SÖDERHAMN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46275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45616</v>
      </c>
      <c r="E215" s="1" t="n">
        <v>46275</v>
      </c>
      <c r="F215" t="inlineStr">
        <is>
          <t>GÄVLEBORGS LÄN</t>
        </is>
      </c>
      <c r="G215" t="inlineStr">
        <is>
          <t>SÖDERHAMN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46275</v>
      </c>
      <c r="F216" t="inlineStr">
        <is>
          <t>GÄVLEBORGS LÄN</t>
        </is>
      </c>
      <c r="G216" t="inlineStr">
        <is>
          <t>SÖDERHAMN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46275</v>
      </c>
      <c r="F217" t="inlineStr">
        <is>
          <t>GÄVLEBORGS LÄN</t>
        </is>
      </c>
      <c r="G217" t="inlineStr">
        <is>
          <t>SÖDERHAMN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46275</v>
      </c>
      <c r="F218" t="inlineStr">
        <is>
          <t>GÄVLEBORGS LÄN</t>
        </is>
      </c>
      <c r="G218" t="inlineStr">
        <is>
          <t>SÖDERHAMN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46275</v>
      </c>
      <c r="F219" t="inlineStr">
        <is>
          <t>GÄVLEBORGS LÄN</t>
        </is>
      </c>
      <c r="G219" t="inlineStr">
        <is>
          <t>SÖDERHAMN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46275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46275</v>
      </c>
      <c r="F221" t="inlineStr">
        <is>
          <t>GÄVLEBORGS LÄN</t>
        </is>
      </c>
      <c r="G221" t="inlineStr">
        <is>
          <t>SÖDERHAMN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44341-2023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45188</v>
      </c>
      <c r="E222" s="1" t="n">
        <v>46275</v>
      </c>
      <c r="F222" t="inlineStr">
        <is>
          <t>GÄVLEBORGS LÄN</t>
        </is>
      </c>
      <c r="G222" t="inlineStr">
        <is>
          <t>SÖDERHAMN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44662</v>
      </c>
      <c r="E223" s="1" t="n">
        <v>46275</v>
      </c>
      <c r="F223" t="inlineStr">
        <is>
          <t>GÄVLEBORGS LÄN</t>
        </is>
      </c>
      <c r="G223" t="inlineStr">
        <is>
          <t>SÖDERHAMN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44956</v>
      </c>
      <c r="E224" s="1" t="n">
        <v>46275</v>
      </c>
      <c r="F224" t="inlineStr">
        <is>
          <t>GÄVLEBORGS LÄN</t>
        </is>
      </c>
      <c r="G224" t="inlineStr">
        <is>
          <t>SÖDERHAMN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45108</v>
      </c>
      <c r="E225" s="1" t="n">
        <v>46275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45108</v>
      </c>
      <c r="E226" s="1" t="n">
        <v>46275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45426</v>
      </c>
      <c r="E227" s="1" t="n">
        <v>46275</v>
      </c>
      <c r="F227" t="inlineStr">
        <is>
          <t>GÄVLEBORGS LÄN</t>
        </is>
      </c>
      <c r="G227" t="inlineStr">
        <is>
          <t>SÖDERHAMN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44703-2024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45574</v>
      </c>
      <c r="E228" s="1" t="n">
        <v>46275</v>
      </c>
      <c r="F228" t="inlineStr">
        <is>
          <t>GÄVLEBORGS LÄN</t>
        </is>
      </c>
      <c r="G228" t="inlineStr">
        <is>
          <t>SÖDERHAMN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45779</v>
      </c>
      <c r="E229" s="1" t="n">
        <v>46275</v>
      </c>
      <c r="F229" t="inlineStr">
        <is>
          <t>GÄVLEBORGS LÄN</t>
        </is>
      </c>
      <c r="G229" t="inlineStr">
        <is>
          <t>SÖDERHAMN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46275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52518-2024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45609</v>
      </c>
      <c r="E231" s="1" t="n">
        <v>46275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46275</v>
      </c>
      <c r="F232" t="inlineStr">
        <is>
          <t>GÄVLEBORGS LÄN</t>
        </is>
      </c>
      <c r="G232" t="inlineStr">
        <is>
          <t>SÖDERHAMN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55240-2024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45621</v>
      </c>
      <c r="E233" s="1" t="n">
        <v>46275</v>
      </c>
      <c r="F233" t="inlineStr">
        <is>
          <t>GÄVLEBORGS LÄN</t>
        </is>
      </c>
      <c r="G233" t="inlineStr">
        <is>
          <t>SÖDERHAMN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46275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46275</v>
      </c>
      <c r="F235" t="inlineStr">
        <is>
          <t>GÄVLEBORGS LÄN</t>
        </is>
      </c>
      <c r="G235" t="inlineStr">
        <is>
          <t>SÖDERHAMN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46275</v>
      </c>
      <c r="F236" t="inlineStr">
        <is>
          <t>GÄVLEBORGS LÄN</t>
        </is>
      </c>
      <c r="G236" t="inlineStr">
        <is>
          <t>SÖDERHAMN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45027</v>
      </c>
      <c r="E237" s="1" t="n">
        <v>46275</v>
      </c>
      <c r="F237" t="inlineStr">
        <is>
          <t>GÄVLEBORGS LÄN</t>
        </is>
      </c>
      <c r="G237" t="inlineStr">
        <is>
          <t>SÖDERHAMN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44460</v>
      </c>
      <c r="E238" s="1" t="n">
        <v>46275</v>
      </c>
      <c r="F238" t="inlineStr">
        <is>
          <t>GÄVLEBORGS LÄN</t>
        </is>
      </c>
      <c r="G238" t="inlineStr">
        <is>
          <t>SÖDERHAMN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45607</v>
      </c>
      <c r="E239" s="1" t="n">
        <v>46275</v>
      </c>
      <c r="F239" t="inlineStr">
        <is>
          <t>GÄVLEBORGS LÄN</t>
        </is>
      </c>
      <c r="G239" t="inlineStr">
        <is>
          <t>SÖDERHAMN</t>
        </is>
      </c>
      <c r="H239" t="inlineStr">
        <is>
          <t>Bergvik skog väst AB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46275</v>
      </c>
      <c r="F240" t="inlineStr">
        <is>
          <t>GÄVLEBORGS LÄN</t>
        </is>
      </c>
      <c r="G240" t="inlineStr">
        <is>
          <t>SÖDERHAMN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46275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44750</v>
      </c>
      <c r="E242" s="1" t="n">
        <v>46275</v>
      </c>
      <c r="F242" t="inlineStr">
        <is>
          <t>GÄVLEBORGS LÄN</t>
        </is>
      </c>
      <c r="G242" t="inlineStr">
        <is>
          <t>SÖDERHAMN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46275</v>
      </c>
      <c r="F243" t="inlineStr">
        <is>
          <t>GÄVLEBORGS LÄN</t>
        </is>
      </c>
      <c r="G243" t="inlineStr">
        <is>
          <t>SÖDERHAMN</t>
        </is>
      </c>
      <c r="H243" t="inlineStr">
        <is>
          <t>Kommuner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46275</v>
      </c>
      <c r="F244" t="inlineStr">
        <is>
          <t>GÄVLEBORGS LÄN</t>
        </is>
      </c>
      <c r="G244" t="inlineStr">
        <is>
          <t>SÖDERHAMN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45670</v>
      </c>
      <c r="E245" s="1" t="n">
        <v>46275</v>
      </c>
      <c r="F245" t="inlineStr">
        <is>
          <t>GÄVLEBORGS LÄN</t>
        </is>
      </c>
      <c r="G245" t="inlineStr">
        <is>
          <t>SÖDERHAMN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46275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45544</v>
      </c>
      <c r="E247" s="1" t="n">
        <v>46275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46275</v>
      </c>
      <c r="F248" t="inlineStr">
        <is>
          <t>GÄVLEBORGS LÄN</t>
        </is>
      </c>
      <c r="G248" t="inlineStr">
        <is>
          <t>SÖDERHAMN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46275</v>
      </c>
      <c r="F249" t="inlineStr">
        <is>
          <t>GÄVLEBORGS LÄN</t>
        </is>
      </c>
      <c r="G249" t="inlineStr">
        <is>
          <t>SÖDERHAMN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45056</v>
      </c>
      <c r="E250" s="1" t="n">
        <v>46275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45615</v>
      </c>
      <c r="E251" s="1" t="n">
        <v>46275</v>
      </c>
      <c r="F251" t="inlineStr">
        <is>
          <t>GÄVLEBORGS LÄN</t>
        </is>
      </c>
      <c r="G251" t="inlineStr">
        <is>
          <t>SÖDERHAMN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46275</v>
      </c>
      <c r="F252" t="inlineStr">
        <is>
          <t>GÄVLEBORGS LÄN</t>
        </is>
      </c>
      <c r="G252" t="inlineStr">
        <is>
          <t>SÖDERHAMN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46275</v>
      </c>
      <c r="F253" t="inlineStr">
        <is>
          <t>GÄVLEBORGS LÄN</t>
        </is>
      </c>
      <c r="G253" t="inlineStr">
        <is>
          <t>SÖDERHAMN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46275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46275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46275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46275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44649</v>
      </c>
      <c r="E258" s="1" t="n">
        <v>46275</v>
      </c>
      <c r="F258" t="inlineStr">
        <is>
          <t>GÄVLEBORGS LÄN</t>
        </is>
      </c>
      <c r="G258" t="inlineStr">
        <is>
          <t>SÖDERHAMN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46275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45639</v>
      </c>
      <c r="E260" s="1" t="n">
        <v>46275</v>
      </c>
      <c r="F260" t="inlineStr">
        <is>
          <t>GÄVLEBORGS LÄN</t>
        </is>
      </c>
      <c r="G260" t="inlineStr">
        <is>
          <t>SÖDERHAMN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46275</v>
      </c>
      <c r="F261" t="inlineStr">
        <is>
          <t>GÄVLEBORGS LÄN</t>
        </is>
      </c>
      <c r="G261" t="inlineStr">
        <is>
          <t>SÖDERHAMN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46275</v>
      </c>
      <c r="F262" t="inlineStr">
        <is>
          <t>GÄVLEBORGS LÄN</t>
        </is>
      </c>
      <c r="G262" t="inlineStr">
        <is>
          <t>SÖDERHAMN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46275</v>
      </c>
      <c r="F263" t="inlineStr">
        <is>
          <t>GÄVLEBORGS LÄN</t>
        </is>
      </c>
      <c r="G263" t="inlineStr">
        <is>
          <t>SÖDERHAMN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45442</v>
      </c>
      <c r="E264" s="1" t="n">
        <v>46275</v>
      </c>
      <c r="F264" t="inlineStr">
        <is>
          <t>GÄVLEBORGS LÄN</t>
        </is>
      </c>
      <c r="G264" t="inlineStr">
        <is>
          <t>SÖDERHAMN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46275</v>
      </c>
      <c r="F265" t="inlineStr">
        <is>
          <t>GÄVLEBORGS LÄN</t>
        </is>
      </c>
      <c r="G265" t="inlineStr">
        <is>
          <t>SÖDERHAMN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20166-2022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44698</v>
      </c>
      <c r="E266" s="1" t="n">
        <v>46275</v>
      </c>
      <c r="F266" t="inlineStr">
        <is>
          <t>GÄVLEBORGS LÄN</t>
        </is>
      </c>
      <c r="G266" t="inlineStr">
        <is>
          <t>SÖDERHAMN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54799-2022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44883</v>
      </c>
      <c r="E267" s="1" t="n">
        <v>46275</v>
      </c>
      <c r="F267" t="inlineStr">
        <is>
          <t>GÄVLEBORGS LÄN</t>
        </is>
      </c>
      <c r="G267" t="inlineStr">
        <is>
          <t>SÖDERHAMN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46275</v>
      </c>
      <c r="F268" t="inlineStr">
        <is>
          <t>GÄVLEBORGS LÄN</t>
        </is>
      </c>
      <c r="G268" t="inlineStr">
        <is>
          <t>SÖDERHAMN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45272</v>
      </c>
      <c r="E269" s="1" t="n">
        <v>46275</v>
      </c>
      <c r="F269" t="inlineStr">
        <is>
          <t>GÄVLEBORGS LÄN</t>
        </is>
      </c>
      <c r="G269" t="inlineStr">
        <is>
          <t>SÖDERHAMN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46275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46275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46275</v>
      </c>
      <c r="F272" t="inlineStr">
        <is>
          <t>GÄVLEBORGS LÄN</t>
        </is>
      </c>
      <c r="G272" t="inlineStr">
        <is>
          <t>SÖDERHAMN</t>
        </is>
      </c>
      <c r="I272" t="n">
        <v>11.2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31676-2022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44776</v>
      </c>
      <c r="E273" s="1" t="n">
        <v>46275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46275</v>
      </c>
      <c r="F274" t="inlineStr">
        <is>
          <t>GÄVLEBORGS LÄN</t>
        </is>
      </c>
      <c r="G274" t="inlineStr">
        <is>
          <t>SÖDERHAMN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46275</v>
      </c>
      <c r="F275" t="inlineStr">
        <is>
          <t>GÄVLEBORGS LÄN</t>
        </is>
      </c>
      <c r="G275" t="inlineStr">
        <is>
          <t>SÖDERHAMN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46275</v>
      </c>
      <c r="F276" t="inlineStr">
        <is>
          <t>GÄVLEBORGS LÄN</t>
        </is>
      </c>
      <c r="G276" t="inlineStr">
        <is>
          <t>SÖDERHAMN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45799</v>
      </c>
      <c r="E277" s="1" t="n">
        <v>46275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46275</v>
      </c>
      <c r="F278" t="inlineStr">
        <is>
          <t>GÄVLEBORGS LÄN</t>
        </is>
      </c>
      <c r="G278" t="inlineStr">
        <is>
          <t>SÖDERHAMN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38355-2022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44812</v>
      </c>
      <c r="E279" s="1" t="n">
        <v>46275</v>
      </c>
      <c r="F279" t="inlineStr">
        <is>
          <t>GÄVLEBORGS LÄN</t>
        </is>
      </c>
      <c r="G279" t="inlineStr">
        <is>
          <t>SÖDERHAMN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46275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45597</v>
      </c>
      <c r="E281" s="1" t="n">
        <v>46275</v>
      </c>
      <c r="F281" t="inlineStr">
        <is>
          <t>GÄVLEBORGS LÄN</t>
        </is>
      </c>
      <c r="G281" t="inlineStr">
        <is>
          <t>SÖDERHAMN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45257</v>
      </c>
      <c r="E282" s="1" t="n">
        <v>46275</v>
      </c>
      <c r="F282" t="inlineStr">
        <is>
          <t>GÄVLEBORGS LÄN</t>
        </is>
      </c>
      <c r="G282" t="inlineStr">
        <is>
          <t>SÖDERHAMN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45821</v>
      </c>
      <c r="E283" s="1" t="n">
        <v>46275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46275</v>
      </c>
      <c r="F284" t="inlineStr">
        <is>
          <t>GÄVLEBORGS LÄN</t>
        </is>
      </c>
      <c r="G284" t="inlineStr">
        <is>
          <t>SÖDERHAMN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46275</v>
      </c>
      <c r="F285" t="inlineStr">
        <is>
          <t>GÄVLEBORGS LÄN</t>
        </is>
      </c>
      <c r="G285" t="inlineStr">
        <is>
          <t>SÖDERHAMN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46275</v>
      </c>
      <c r="F286" t="inlineStr">
        <is>
          <t>GÄVLEBORGS LÄN</t>
        </is>
      </c>
      <c r="G286" t="inlineStr">
        <is>
          <t>SÖDERHAMN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46275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46275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45883</v>
      </c>
      <c r="E289" s="1" t="n">
        <v>46275</v>
      </c>
      <c r="F289" t="inlineStr">
        <is>
          <t>GÄVLEBORGS LÄN</t>
        </is>
      </c>
      <c r="G289" t="inlineStr">
        <is>
          <t>SÖDERHAMN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46275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45899</v>
      </c>
      <c r="E291" s="1" t="n">
        <v>46275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46275</v>
      </c>
      <c r="F292" t="inlineStr">
        <is>
          <t>GÄVLEBORGS LÄN</t>
        </is>
      </c>
      <c r="G292" t="inlineStr">
        <is>
          <t>SÖDERHAMN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46275</v>
      </c>
      <c r="F293" t="inlineStr">
        <is>
          <t>GÄVLEBORGS LÄN</t>
        </is>
      </c>
      <c r="G293" t="inlineStr">
        <is>
          <t>SÖDERHAMN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46275</v>
      </c>
      <c r="F294" t="inlineStr">
        <is>
          <t>GÄVLEBORGS LÄN</t>
        </is>
      </c>
      <c r="G294" t="inlineStr">
        <is>
          <t>SÖDERHAMN</t>
        </is>
      </c>
      <c r="H294" t="inlineStr">
        <is>
          <t>Bergvik skog väst AB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46275</v>
      </c>
      <c r="F295" t="inlineStr">
        <is>
          <t>GÄVLEBORGS LÄN</t>
        </is>
      </c>
      <c r="G295" t="inlineStr">
        <is>
          <t>SÖDERHAMN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46275</v>
      </c>
      <c r="F296" t="inlineStr">
        <is>
          <t>GÄVLEBORGS LÄN</t>
        </is>
      </c>
      <c r="G296" t="inlineStr">
        <is>
          <t>SÖDERHAMN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46275</v>
      </c>
      <c r="F297" t="inlineStr">
        <is>
          <t>GÄVLEBORGS LÄN</t>
        </is>
      </c>
      <c r="G297" t="inlineStr">
        <is>
          <t>SÖDERHAMN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43355-2025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46275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46275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46275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45891</v>
      </c>
      <c r="E301" s="1" t="n">
        <v>46275</v>
      </c>
      <c r="F301" t="inlineStr">
        <is>
          <t>GÄVLEBORGS LÄN</t>
        </is>
      </c>
      <c r="G301" t="inlineStr">
        <is>
          <t>SÖDERHAMN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39784-2025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45891</v>
      </c>
      <c r="E302" s="1" t="n">
        <v>46275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46275</v>
      </c>
      <c r="F303" t="inlineStr">
        <is>
          <t>GÄVLEBORGS LÄN</t>
        </is>
      </c>
      <c r="G303" t="inlineStr">
        <is>
          <t>SÖDERHAMN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46275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46275</v>
      </c>
      <c r="F305" t="inlineStr">
        <is>
          <t>GÄVLEBORGS LÄN</t>
        </is>
      </c>
      <c r="G305" t="inlineStr">
        <is>
          <t>SÖDERHAMN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46275</v>
      </c>
      <c r="F306" t="inlineStr">
        <is>
          <t>GÄVLEBORGS LÄN</t>
        </is>
      </c>
      <c r="G306" t="inlineStr">
        <is>
          <t>SÖDERHAMN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46275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46275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46275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45477</v>
      </c>
      <c r="E310" s="1" t="n">
        <v>46275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46275</v>
      </c>
      <c r="F311" t="inlineStr">
        <is>
          <t>GÄVLEBORGS LÄN</t>
        </is>
      </c>
      <c r="G311" t="inlineStr">
        <is>
          <t>SÖDERHAMN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46275</v>
      </c>
      <c r="F312" t="inlineStr">
        <is>
          <t>GÄVLEBORGS LÄN</t>
        </is>
      </c>
      <c r="G312" t="inlineStr">
        <is>
          <t>SÖDERHAMN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45863</v>
      </c>
      <c r="E313" s="1" t="n">
        <v>46275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46275</v>
      </c>
      <c r="F314" t="inlineStr">
        <is>
          <t>GÄVLEBORGS LÄN</t>
        </is>
      </c>
      <c r="G314" t="inlineStr">
        <is>
          <t>SÖDERHAMN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46275</v>
      </c>
      <c r="F315" t="inlineStr">
        <is>
          <t>GÄVLEBORGS LÄN</t>
        </is>
      </c>
      <c r="G315" t="inlineStr">
        <is>
          <t>SÖDERHAMN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45867</v>
      </c>
      <c r="E316" s="1" t="n">
        <v>46275</v>
      </c>
      <c r="F316" t="inlineStr">
        <is>
          <t>GÄVLEBORGS LÄN</t>
        </is>
      </c>
      <c r="G316" t="inlineStr">
        <is>
          <t>SÖDERHAMN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46275</v>
      </c>
      <c r="F317" t="inlineStr">
        <is>
          <t>GÄVLEBORGS LÄN</t>
        </is>
      </c>
      <c r="G317" t="inlineStr">
        <is>
          <t>SÖDERHAMN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46275</v>
      </c>
      <c r="F318" t="inlineStr">
        <is>
          <t>GÄVLEBORGS LÄN</t>
        </is>
      </c>
      <c r="G318" t="inlineStr">
        <is>
          <t>SÖDERHAMN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45879</v>
      </c>
      <c r="E319" s="1" t="n">
        <v>46275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45879</v>
      </c>
      <c r="E320" s="1" t="n">
        <v>46275</v>
      </c>
      <c r="F320" t="inlineStr">
        <is>
          <t>GÄVLEBORGS LÄN</t>
        </is>
      </c>
      <c r="G320" t="inlineStr">
        <is>
          <t>SÖDERHAMN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46275</v>
      </c>
      <c r="F321" t="inlineStr">
        <is>
          <t>GÄVLEBORGS LÄN</t>
        </is>
      </c>
      <c r="G321" t="inlineStr">
        <is>
          <t>SÖDERHAMN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46275</v>
      </c>
      <c r="F322" t="inlineStr">
        <is>
          <t>GÄVLEBORGS LÄN</t>
        </is>
      </c>
      <c r="G322" t="inlineStr">
        <is>
          <t>SÖDERHAMN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46275</v>
      </c>
      <c r="F323" t="inlineStr">
        <is>
          <t>GÄVLEBORGS LÄN</t>
        </is>
      </c>
      <c r="G323" t="inlineStr">
        <is>
          <t>SÖDERHAMN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46275</v>
      </c>
      <c r="F324" t="inlineStr">
        <is>
          <t>GÄVLEBORGS LÄN</t>
        </is>
      </c>
      <c r="G324" t="inlineStr">
        <is>
          <t>SÖDERHAMN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45652</v>
      </c>
      <c r="E325" s="1" t="n">
        <v>46275</v>
      </c>
      <c r="F325" t="inlineStr">
        <is>
          <t>GÄVLEBORGS LÄN</t>
        </is>
      </c>
      <c r="G325" t="inlineStr">
        <is>
          <t>SÖDERHAMN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45393</v>
      </c>
      <c r="E326" s="1" t="n">
        <v>46275</v>
      </c>
      <c r="F326" t="inlineStr">
        <is>
          <t>GÄVLEBORGS LÄN</t>
        </is>
      </c>
      <c r="G326" t="inlineStr">
        <is>
          <t>SÖDERHAMN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46275</v>
      </c>
      <c r="F327" t="inlineStr">
        <is>
          <t>GÄVLEBORGS LÄN</t>
        </is>
      </c>
      <c r="G327" t="inlineStr">
        <is>
          <t>SÖDERHAMN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45510</v>
      </c>
      <c r="E328" s="1" t="n">
        <v>46275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46275</v>
      </c>
      <c r="F329" t="inlineStr">
        <is>
          <t>GÄVLEBORGS LÄN</t>
        </is>
      </c>
      <c r="G329" t="inlineStr">
        <is>
          <t>SÖDERHAMN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45425</v>
      </c>
      <c r="E330" s="1" t="n">
        <v>46275</v>
      </c>
      <c r="F330" t="inlineStr">
        <is>
          <t>GÄVLEBORGS LÄN</t>
        </is>
      </c>
      <c r="G330" t="inlineStr">
        <is>
          <t>SÖDERHAMN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46275</v>
      </c>
      <c r="F331" t="inlineStr">
        <is>
          <t>GÄVLEBORGS LÄN</t>
        </is>
      </c>
      <c r="G331" t="inlineStr">
        <is>
          <t>SÖDERHAMN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45957</v>
      </c>
      <c r="E332" s="1" t="n">
        <v>46275</v>
      </c>
      <c r="F332" t="inlineStr">
        <is>
          <t>GÄVLEBORGS LÄN</t>
        </is>
      </c>
      <c r="G332" t="inlineStr">
        <is>
          <t>SÖDERHAMN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53628-2025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46275</v>
      </c>
      <c r="F333" t="inlineStr">
        <is>
          <t>GÄVLEBORGS LÄN</t>
        </is>
      </c>
      <c r="G333" t="inlineStr">
        <is>
          <t>SÖDERHAMN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46275</v>
      </c>
      <c r="F334" t="inlineStr">
        <is>
          <t>GÄVLEBORGS LÄN</t>
        </is>
      </c>
      <c r="G334" t="inlineStr">
        <is>
          <t>SÖDERHAMN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46275</v>
      </c>
      <c r="F335" t="inlineStr">
        <is>
          <t>GÄVLEBORGS LÄN</t>
        </is>
      </c>
      <c r="G335" t="inlineStr">
        <is>
          <t>SÖDERHAMN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46275</v>
      </c>
      <c r="F336" t="inlineStr">
        <is>
          <t>GÄVLEBORGS LÄN</t>
        </is>
      </c>
      <c r="G336" t="inlineStr">
        <is>
          <t>SÖDERHAMN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46275</v>
      </c>
      <c r="F337" t="inlineStr">
        <is>
          <t>GÄVLEBORGS LÄN</t>
        </is>
      </c>
      <c r="G337" t="inlineStr">
        <is>
          <t>SÖDERHAMN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46275</v>
      </c>
      <c r="F338" t="inlineStr">
        <is>
          <t>GÄVLEBORGS LÄN</t>
        </is>
      </c>
      <c r="G338" t="inlineStr">
        <is>
          <t>SÖDERHAMN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45749</v>
      </c>
      <c r="E339" s="1" t="n">
        <v>46275</v>
      </c>
      <c r="F339" t="inlineStr">
        <is>
          <t>GÄVLEBORGS LÄN</t>
        </is>
      </c>
      <c r="G339" t="inlineStr">
        <is>
          <t>SÖDERHAMN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46275</v>
      </c>
      <c r="F340" t="inlineStr">
        <is>
          <t>GÄVLEBORGS LÄN</t>
        </is>
      </c>
      <c r="G340" t="inlineStr">
        <is>
          <t>SÖDERHAMN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46275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46275</v>
      </c>
      <c r="F342" t="inlineStr">
        <is>
          <t>GÄVLEBORGS LÄN</t>
        </is>
      </c>
      <c r="G342" t="inlineStr">
        <is>
          <t>SÖDERHAMN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45967</v>
      </c>
      <c r="E343" s="1" t="n">
        <v>46275</v>
      </c>
      <c r="F343" t="inlineStr">
        <is>
          <t>GÄVLEBORGS LÄN</t>
        </is>
      </c>
      <c r="G343" t="inlineStr">
        <is>
          <t>SÖDERHAMN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54995-2025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45967</v>
      </c>
      <c r="E344" s="1" t="n">
        <v>46275</v>
      </c>
      <c r="F344" t="inlineStr">
        <is>
          <t>GÄVLEBORGS LÄN</t>
        </is>
      </c>
      <c r="G344" t="inlineStr">
        <is>
          <t>SÖDERHAMN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45534</v>
      </c>
      <c r="E345" s="1" t="n">
        <v>46275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46275</v>
      </c>
      <c r="F346" t="inlineStr">
        <is>
          <t>GÄVLEBORGS LÄN</t>
        </is>
      </c>
      <c r="G346" t="inlineStr">
        <is>
          <t>SÖDERHAMN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44992</v>
      </c>
      <c r="E347" s="1" t="n">
        <v>46275</v>
      </c>
      <c r="F347" t="inlineStr">
        <is>
          <t>GÄVLEBORGS LÄN</t>
        </is>
      </c>
      <c r="G347" t="inlineStr">
        <is>
          <t>SÖDERHAMN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46275</v>
      </c>
      <c r="F348" t="inlineStr">
        <is>
          <t>GÄVLEBORGS LÄN</t>
        </is>
      </c>
      <c r="G348" t="inlineStr">
        <is>
          <t>SÖDERHAMN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55711-2025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45972</v>
      </c>
      <c r="E349" s="1" t="n">
        <v>46275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46275</v>
      </c>
      <c r="F350" t="inlineStr">
        <is>
          <t>GÄVLEBORGS LÄN</t>
        </is>
      </c>
      <c r="G350" t="inlineStr">
        <is>
          <t>SÖDERHAMN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55730-2025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45972</v>
      </c>
      <c r="E351" s="1" t="n">
        <v>46275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11215-2023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44992</v>
      </c>
      <c r="E352" s="1" t="n">
        <v>46275</v>
      </c>
      <c r="F352" t="inlineStr">
        <is>
          <t>GÄVLEBORGS LÄN</t>
        </is>
      </c>
      <c r="G352" t="inlineStr">
        <is>
          <t>SÖDERHAMN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46275</v>
      </c>
      <c r="F353" t="inlineStr">
        <is>
          <t>GÄVLEBORGS LÄN</t>
        </is>
      </c>
      <c r="G353" t="inlineStr">
        <is>
          <t>SÖDERHAMN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44957</v>
      </c>
      <c r="E354" s="1" t="n">
        <v>46275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46275</v>
      </c>
      <c r="F355" t="inlineStr">
        <is>
          <t>GÄVLEBORGS LÄN</t>
        </is>
      </c>
      <c r="G355" t="inlineStr">
        <is>
          <t>SÖDERHAMN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56949-2025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46275</v>
      </c>
      <c r="F356" t="inlineStr">
        <is>
          <t>GÄVLEBORGS LÄN</t>
        </is>
      </c>
      <c r="G356" t="inlineStr">
        <is>
          <t>SÖDERHAMN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53918-2025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45961</v>
      </c>
      <c r="E357" s="1" t="n">
        <v>46275</v>
      </c>
      <c r="F357" t="inlineStr">
        <is>
          <t>GÄVLEBORGS LÄN</t>
        </is>
      </c>
      <c r="G357" t="inlineStr">
        <is>
          <t>SÖDERHAMN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46275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53503-2023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45230</v>
      </c>
      <c r="E359" s="1" t="n">
        <v>46275</v>
      </c>
      <c r="F359" t="inlineStr">
        <is>
          <t>GÄVLEBORGS LÄN</t>
        </is>
      </c>
      <c r="G359" t="inlineStr">
        <is>
          <t>SÖDERHAMN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46275</v>
      </c>
      <c r="F360" t="inlineStr">
        <is>
          <t>GÄVLEBORGS LÄN</t>
        </is>
      </c>
      <c r="G360" t="inlineStr">
        <is>
          <t>SÖDERHAMN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46275</v>
      </c>
      <c r="F361" t="inlineStr">
        <is>
          <t>GÄVLEBORGS LÄN</t>
        </is>
      </c>
      <c r="G361" t="inlineStr">
        <is>
          <t>SÖDERHAMN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46275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45982</v>
      </c>
      <c r="E363" s="1" t="n">
        <v>46275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44665</v>
      </c>
      <c r="E364" s="1" t="n">
        <v>46275</v>
      </c>
      <c r="F364" t="inlineStr">
        <is>
          <t>GÄVLEBORGS LÄN</t>
        </is>
      </c>
      <c r="G364" t="inlineStr">
        <is>
          <t>SÖDERHAMN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46275</v>
      </c>
      <c r="F365" t="inlineStr">
        <is>
          <t>GÄVLEBORGS LÄN</t>
        </is>
      </c>
      <c r="G365" t="inlineStr">
        <is>
          <t>SÖDERHAMN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14128-2022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46275</v>
      </c>
      <c r="F366" t="inlineStr">
        <is>
          <t>GÄVLEBORGS LÄN</t>
        </is>
      </c>
      <c r="G366" t="inlineStr">
        <is>
          <t>SÖDERHAMN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46275</v>
      </c>
      <c r="F367" t="inlineStr">
        <is>
          <t>GÄVLEBORGS LÄN</t>
        </is>
      </c>
      <c r="G367" t="inlineStr">
        <is>
          <t>SÖDERHAMN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46275</v>
      </c>
      <c r="F368" t="inlineStr">
        <is>
          <t>GÄVLEBORGS LÄN</t>
        </is>
      </c>
      <c r="G368" t="inlineStr">
        <is>
          <t>SÖDERHAMN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46275</v>
      </c>
      <c r="F369" t="inlineStr">
        <is>
          <t>GÄVLEBORGS LÄN</t>
        </is>
      </c>
      <c r="G369" t="inlineStr">
        <is>
          <t>SÖDERHAMN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45108</v>
      </c>
      <c r="E370" s="1" t="n">
        <v>46275</v>
      </c>
      <c r="F370" t="inlineStr">
        <is>
          <t>GÄVLEBORGS LÄN</t>
        </is>
      </c>
      <c r="G370" t="inlineStr">
        <is>
          <t>SÖDERHAMN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45041</v>
      </c>
      <c r="E371" s="1" t="n">
        <v>46275</v>
      </c>
      <c r="F371" t="inlineStr">
        <is>
          <t>GÄVLEBORGS LÄN</t>
        </is>
      </c>
      <c r="G371" t="inlineStr">
        <is>
          <t>SÖDERHAMN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46275</v>
      </c>
      <c r="F372" t="inlineStr">
        <is>
          <t>GÄVLEBORGS LÄN</t>
        </is>
      </c>
      <c r="G372" t="inlineStr">
        <is>
          <t>SÖDERHAMN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44963</v>
      </c>
      <c r="E373" s="1" t="n">
        <v>46275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46275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45231</v>
      </c>
      <c r="E375" s="1" t="n">
        <v>46275</v>
      </c>
      <c r="F375" t="inlineStr">
        <is>
          <t>GÄVLEBORGS LÄN</t>
        </is>
      </c>
      <c r="G375" t="inlineStr">
        <is>
          <t>SÖDERHAMN</t>
        </is>
      </c>
      <c r="H375" t="inlineStr">
        <is>
          <t>Kommuner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46275</v>
      </c>
      <c r="F376" t="inlineStr">
        <is>
          <t>GÄVLEBORGS LÄN</t>
        </is>
      </c>
      <c r="G376" t="inlineStr">
        <is>
          <t>SÖDERHAMN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46275</v>
      </c>
      <c r="F377" t="inlineStr">
        <is>
          <t>GÄVLEBORGS LÄN</t>
        </is>
      </c>
      <c r="G377" t="inlineStr">
        <is>
          <t>SÖDERHAMN</t>
        </is>
      </c>
      <c r="I377" t="n">
        <v>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49786-2024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45597</v>
      </c>
      <c r="E378" s="1" t="n">
        <v>46275</v>
      </c>
      <c r="F378" t="inlineStr">
        <is>
          <t>GÄVLEBORGS LÄN</t>
        </is>
      </c>
      <c r="G378" t="inlineStr">
        <is>
          <t>SÖDERHAMN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46275</v>
      </c>
      <c r="F379" t="inlineStr">
        <is>
          <t>GÄVLEBORGS LÄN</t>
        </is>
      </c>
      <c r="G379" t="inlineStr">
        <is>
          <t>SÖDERHAMN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46275</v>
      </c>
      <c r="F380" t="inlineStr">
        <is>
          <t>GÄVLEBORGS LÄN</t>
        </is>
      </c>
      <c r="G380" t="inlineStr">
        <is>
          <t>SÖDERHAMN</t>
        </is>
      </c>
      <c r="I380" t="n">
        <v>14.1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58142-2024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46275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45632</v>
      </c>
      <c r="E382" s="1" t="n">
        <v>46275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45470</v>
      </c>
      <c r="E383" s="1" t="n">
        <v>46275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46275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71645-2021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44543</v>
      </c>
      <c r="E385" s="1" t="n">
        <v>46275</v>
      </c>
      <c r="F385" t="inlineStr">
        <is>
          <t>GÄVLEBORGS LÄN</t>
        </is>
      </c>
      <c r="G385" t="inlineStr">
        <is>
          <t>SÖDERHAMN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46275</v>
      </c>
      <c r="F386" t="inlineStr">
        <is>
          <t>GÄVLEBORGS LÄN</t>
        </is>
      </c>
      <c r="G386" t="inlineStr">
        <is>
          <t>SÖDERHAMN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45278</v>
      </c>
      <c r="E387" s="1" t="n">
        <v>46275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46275</v>
      </c>
      <c r="F388" t="inlineStr">
        <is>
          <t>GÄVLEBORGS LÄN</t>
        </is>
      </c>
      <c r="G388" t="inlineStr">
        <is>
          <t>SÖDERHAMN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46275</v>
      </c>
      <c r="F389" t="inlineStr">
        <is>
          <t>GÄVLEBORGS LÄN</t>
        </is>
      </c>
      <c r="G389" t="inlineStr">
        <is>
          <t>SÖDERHAMN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61042-2025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46275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46001</v>
      </c>
      <c r="E391" s="1" t="n">
        <v>46275</v>
      </c>
      <c r="F391" t="inlineStr">
        <is>
          <t>GÄVLEBORGS LÄN</t>
        </is>
      </c>
      <c r="G391" t="inlineStr">
        <is>
          <t>SÖDERHAMN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61416-2025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46001</v>
      </c>
      <c r="E392" s="1" t="n">
        <v>46275</v>
      </c>
      <c r="F392" t="inlineStr">
        <is>
          <t>GÄVLEBORGS LÄN</t>
        </is>
      </c>
      <c r="G392" t="inlineStr">
        <is>
          <t>SÖDERHAMN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46275</v>
      </c>
      <c r="F393" t="inlineStr">
        <is>
          <t>GÄVLEBORGS LÄN</t>
        </is>
      </c>
      <c r="G393" t="inlineStr">
        <is>
          <t>SÖDERHAMN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46275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46275</v>
      </c>
      <c r="F395" t="inlineStr">
        <is>
          <t>GÄVLEBORGS LÄN</t>
        </is>
      </c>
      <c r="G395" t="inlineStr">
        <is>
          <t>SÖDERHAMN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46275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46275</v>
      </c>
      <c r="F397" t="inlineStr">
        <is>
          <t>GÄVLEBORGS LÄN</t>
        </is>
      </c>
      <c r="G397" t="inlineStr">
        <is>
          <t>SÖDERHAMN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54156-2022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44881</v>
      </c>
      <c r="E398" s="1" t="n">
        <v>46275</v>
      </c>
      <c r="F398" t="inlineStr">
        <is>
          <t>GÄVLEBORGS LÄN</t>
        </is>
      </c>
      <c r="G398" t="inlineStr">
        <is>
          <t>SÖDERHAMN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50283-2024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45600</v>
      </c>
      <c r="E399" s="1" t="n">
        <v>46275</v>
      </c>
      <c r="F399" t="inlineStr">
        <is>
          <t>GÄVLEBORGS LÄN</t>
        </is>
      </c>
      <c r="G399" t="inlineStr">
        <is>
          <t>SÖDERHAMN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46275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46026</v>
      </c>
      <c r="E401" s="1" t="n">
        <v>46275</v>
      </c>
      <c r="F401" t="inlineStr">
        <is>
          <t>GÄVLEBORGS LÄN</t>
        </is>
      </c>
      <c r="G401" t="inlineStr">
        <is>
          <t>SÖDERHAMN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46026</v>
      </c>
      <c r="E402" s="1" t="n">
        <v>46275</v>
      </c>
      <c r="F402" t="inlineStr">
        <is>
          <t>GÄVLEBORGS LÄN</t>
        </is>
      </c>
      <c r="G402" t="inlineStr">
        <is>
          <t>SÖDERHAMN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46026</v>
      </c>
      <c r="E403" s="1" t="n">
        <v>46275</v>
      </c>
      <c r="F403" t="inlineStr">
        <is>
          <t>GÄVLEBORGS LÄN</t>
        </is>
      </c>
      <c r="G403" t="inlineStr">
        <is>
          <t>SÖDERHAMN</t>
        </is>
      </c>
      <c r="I403" t="n">
        <v>12.9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46275</v>
      </c>
      <c r="F404" t="inlineStr">
        <is>
          <t>GÄVLEBORGS LÄN</t>
        </is>
      </c>
      <c r="G404" t="inlineStr">
        <is>
          <t>SÖDERHAMN</t>
        </is>
      </c>
      <c r="I404" t="n">
        <v>13.8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46275</v>
      </c>
      <c r="F405" t="inlineStr">
        <is>
          <t>GÄVLEBORGS LÄN</t>
        </is>
      </c>
      <c r="G405" t="inlineStr">
        <is>
          <t>SÖDERHAMN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46275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46275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46275</v>
      </c>
      <c r="F408" t="inlineStr">
        <is>
          <t>GÄVLEBORGS LÄN</t>
        </is>
      </c>
      <c r="G408" t="inlineStr">
        <is>
          <t>SÖDERHAMN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46275</v>
      </c>
      <c r="F409" t="inlineStr">
        <is>
          <t>GÄVLEBORGS LÄN</t>
        </is>
      </c>
      <c r="G409" t="inlineStr">
        <is>
          <t>SÖDERHAMN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46275</v>
      </c>
      <c r="F410" t="inlineStr">
        <is>
          <t>GÄVLEBORGS LÄN</t>
        </is>
      </c>
      <c r="G410" t="inlineStr">
        <is>
          <t>SÖDERHAMN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46275</v>
      </c>
      <c r="F411" t="inlineStr">
        <is>
          <t>GÄVLEBORGS LÄN</t>
        </is>
      </c>
      <c r="G411" t="inlineStr">
        <is>
          <t>SÖDERHAMN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46275</v>
      </c>
      <c r="F412" t="inlineStr">
        <is>
          <t>GÄVLEBORGS LÄN</t>
        </is>
      </c>
      <c r="G412" t="inlineStr">
        <is>
          <t>SÖDERHAMN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46275</v>
      </c>
      <c r="F413" t="inlineStr">
        <is>
          <t>GÄVLEBORGS LÄN</t>
        </is>
      </c>
      <c r="G413" t="inlineStr">
        <is>
          <t>SÖDERHAMN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46275</v>
      </c>
      <c r="F414" t="inlineStr">
        <is>
          <t>GÄVLEBORGS LÄN</t>
        </is>
      </c>
      <c r="G414" t="inlineStr">
        <is>
          <t>SÖDERHAMN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46024</v>
      </c>
      <c r="E415" s="1" t="n">
        <v>46275</v>
      </c>
      <c r="F415" t="inlineStr">
        <is>
          <t>GÄVLEBORGS LÄN</t>
        </is>
      </c>
      <c r="G415" t="inlineStr">
        <is>
          <t>SÖDERHAMN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46275</v>
      </c>
      <c r="F416" t="inlineStr">
        <is>
          <t>GÄVLEBORGS LÄN</t>
        </is>
      </c>
      <c r="G416" t="inlineStr">
        <is>
          <t>SÖDERHAMN</t>
        </is>
      </c>
      <c r="I416" t="n">
        <v>12.5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46275</v>
      </c>
      <c r="F417" t="inlineStr">
        <is>
          <t>GÄVLEBORGS LÄN</t>
        </is>
      </c>
      <c r="G417" t="inlineStr">
        <is>
          <t>SÖDERHAMN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46275</v>
      </c>
      <c r="F418" t="inlineStr">
        <is>
          <t>GÄVLEBORGS LÄN</t>
        </is>
      </c>
      <c r="G418" t="inlineStr">
        <is>
          <t>SÖDERHAMN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46275</v>
      </c>
      <c r="F419" t="inlineStr">
        <is>
          <t>GÄVLEBORGS LÄN</t>
        </is>
      </c>
      <c r="G419" t="inlineStr">
        <is>
          <t>SÖDERHAMN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46275</v>
      </c>
      <c r="F420" t="inlineStr">
        <is>
          <t>GÄVLEBORGS LÄN</t>
        </is>
      </c>
      <c r="G420" t="inlineStr">
        <is>
          <t>SÖDERHAMN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46275</v>
      </c>
      <c r="F421" t="inlineStr">
        <is>
          <t>GÄVLEBORGS LÄN</t>
        </is>
      </c>
      <c r="G421" t="inlineStr">
        <is>
          <t>SÖDERHAMN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46275</v>
      </c>
      <c r="F422" t="inlineStr">
        <is>
          <t>GÄVLEBORGS LÄN</t>
        </is>
      </c>
      <c r="G422" t="inlineStr">
        <is>
          <t>SÖDERHAMN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46275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46275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46275</v>
      </c>
      <c r="F425" t="inlineStr">
        <is>
          <t>GÄVLEBORGS LÄN</t>
        </is>
      </c>
      <c r="G425" t="inlineStr">
        <is>
          <t>SÖDERHAMN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46275</v>
      </c>
      <c r="F426" t="inlineStr">
        <is>
          <t>GÄVLEBORGS LÄN</t>
        </is>
      </c>
      <c r="G426" t="inlineStr">
        <is>
          <t>SÖDERHAMN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46275</v>
      </c>
      <c r="F427" t="inlineStr">
        <is>
          <t>GÄVLEBORGS LÄN</t>
        </is>
      </c>
      <c r="G427" t="inlineStr">
        <is>
          <t>SÖDERHAMN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46275</v>
      </c>
      <c r="F428" t="inlineStr">
        <is>
          <t>GÄVLEBORGS LÄN</t>
        </is>
      </c>
      <c r="G428" t="inlineStr">
        <is>
          <t>SÖDERHAMN</t>
        </is>
      </c>
      <c r="I428" t="n">
        <v>14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46275</v>
      </c>
      <c r="F429" t="inlineStr">
        <is>
          <t>GÄVLEBORGS LÄN</t>
        </is>
      </c>
      <c r="G429" t="inlineStr">
        <is>
          <t>SÖDERHAMN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46275</v>
      </c>
      <c r="F430" t="inlineStr">
        <is>
          <t>GÄVLEBORGS LÄN</t>
        </is>
      </c>
      <c r="G430" t="inlineStr">
        <is>
          <t>SÖDERHAMN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46275</v>
      </c>
      <c r="F431" t="inlineStr">
        <is>
          <t>GÄVLEBORGS LÄN</t>
        </is>
      </c>
      <c r="G431" t="inlineStr">
        <is>
          <t>SÖDERHAMN</t>
        </is>
      </c>
      <c r="H431" t="inlineStr">
        <is>
          <t>Övriga statliga verk och myndigheter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46275</v>
      </c>
      <c r="F432" t="inlineStr">
        <is>
          <t>GÄVLEBORGS LÄN</t>
        </is>
      </c>
      <c r="G432" t="inlineStr">
        <is>
          <t>SÖDERHAMN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46275</v>
      </c>
      <c r="F433" t="inlineStr">
        <is>
          <t>GÄVLEBORGS LÄN</t>
        </is>
      </c>
      <c r="G433" t="inlineStr">
        <is>
          <t>SÖDERHAMN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46275</v>
      </c>
      <c r="F434" t="inlineStr">
        <is>
          <t>GÄVLEBORGS LÄN</t>
        </is>
      </c>
      <c r="G434" t="inlineStr">
        <is>
          <t>SÖDERHAMN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46275</v>
      </c>
      <c r="F435" t="inlineStr">
        <is>
          <t>GÄVLEBORGS LÄN</t>
        </is>
      </c>
      <c r="G435" t="inlineStr">
        <is>
          <t>SÖDERHAMN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46275</v>
      </c>
      <c r="F436" t="inlineStr">
        <is>
          <t>GÄVLEBORGS LÄN</t>
        </is>
      </c>
      <c r="G436" t="inlineStr">
        <is>
          <t>SÖDERHAMN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46275</v>
      </c>
      <c r="F437" t="inlineStr">
        <is>
          <t>GÄVLEBORGS LÄN</t>
        </is>
      </c>
      <c r="G437" t="inlineStr">
        <is>
          <t>SÖDERHAMN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46275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46275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46275</v>
      </c>
      <c r="F440" t="inlineStr">
        <is>
          <t>GÄVLEBORGS LÄN</t>
        </is>
      </c>
      <c r="G440" t="inlineStr">
        <is>
          <t>SÖDERHAMN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46275</v>
      </c>
      <c r="F441" t="inlineStr">
        <is>
          <t>GÄVLEBORGS LÄN</t>
        </is>
      </c>
      <c r="G441" t="inlineStr">
        <is>
          <t>SÖDERHAMN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46275</v>
      </c>
      <c r="F442" t="inlineStr">
        <is>
          <t>GÄVLEBORGS LÄN</t>
        </is>
      </c>
      <c r="G442" t="inlineStr">
        <is>
          <t>SÖDERHAMN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46275</v>
      </c>
      <c r="F443" t="inlineStr">
        <is>
          <t>GÄVLEBORGS LÄN</t>
        </is>
      </c>
      <c r="G443" t="inlineStr">
        <is>
          <t>SÖDERHAMN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46275</v>
      </c>
      <c r="F444" t="inlineStr">
        <is>
          <t>GÄVLEBORGS LÄN</t>
        </is>
      </c>
      <c r="G444" t="inlineStr">
        <is>
          <t>SÖDERHAMN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8944-2026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46275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46275</v>
      </c>
      <c r="F446" t="inlineStr">
        <is>
          <t>GÄVLEBORGS LÄN</t>
        </is>
      </c>
      <c r="G446" t="inlineStr">
        <is>
          <t>SÖDERHAMN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46275</v>
      </c>
      <c r="F447" t="inlineStr">
        <is>
          <t>GÄVLEBORGS LÄN</t>
        </is>
      </c>
      <c r="G447" t="inlineStr">
        <is>
          <t>SÖDERHAMN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46275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46275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46275</v>
      </c>
      <c r="F450" t="inlineStr">
        <is>
          <t>GÄVLEBORGS LÄN</t>
        </is>
      </c>
      <c r="G450" t="inlineStr">
        <is>
          <t>SÖDERHAMN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46275</v>
      </c>
      <c r="F451" t="inlineStr">
        <is>
          <t>GÄVLEBORGS LÄN</t>
        </is>
      </c>
      <c r="G451" t="inlineStr">
        <is>
          <t>SÖDERHAMN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46275</v>
      </c>
      <c r="F452" t="inlineStr">
        <is>
          <t>GÄVLEBORGS LÄN</t>
        </is>
      </c>
      <c r="G452" t="inlineStr">
        <is>
          <t>SÖDERHAMN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11794-2026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46275</v>
      </c>
      <c r="F453" t="inlineStr">
        <is>
          <t>GÄVLEBORGS LÄN</t>
        </is>
      </c>
      <c r="G453" t="inlineStr">
        <is>
          <t>SÖDERHAMN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46275</v>
      </c>
      <c r="F454" t="inlineStr">
        <is>
          <t>GÄVLEBORGS LÄN</t>
        </is>
      </c>
      <c r="G454" t="inlineStr">
        <is>
          <t>SÖDERHAMN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46275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46275</v>
      </c>
      <c r="F456" t="inlineStr">
        <is>
          <t>GÄVLEBORGS LÄN</t>
        </is>
      </c>
      <c r="G456" t="inlineStr">
        <is>
          <t>SÖDERHAMN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46275</v>
      </c>
      <c r="F457" t="inlineStr">
        <is>
          <t>GÄVLEBORGS LÄN</t>
        </is>
      </c>
      <c r="G457" t="inlineStr">
        <is>
          <t>SÖDERHAMN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46275</v>
      </c>
      <c r="F458" t="inlineStr">
        <is>
          <t>GÄVLEBORGS LÄN</t>
        </is>
      </c>
      <c r="G458" t="inlineStr">
        <is>
          <t>SÖDERHAMN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13289-2026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46275</v>
      </c>
      <c r="F459" t="inlineStr">
        <is>
          <t>GÄVLEBORGS LÄN</t>
        </is>
      </c>
      <c r="G459" t="inlineStr">
        <is>
          <t>SÖDERHAMN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14061-2026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46099</v>
      </c>
      <c r="E460" s="1" t="n">
        <v>46275</v>
      </c>
      <c r="F460" t="inlineStr">
        <is>
          <t>GÄVLEBORGS LÄN</t>
        </is>
      </c>
      <c r="G460" t="inlineStr">
        <is>
          <t>SÖDERHAMN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46275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46275</v>
      </c>
      <c r="F462" t="inlineStr">
        <is>
          <t>GÄVLEBORGS LÄN</t>
        </is>
      </c>
      <c r="G462" t="inlineStr">
        <is>
          <t>SÖDERHAMN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46275</v>
      </c>
      <c r="F463" t="inlineStr">
        <is>
          <t>GÄVLEBORGS LÄN</t>
        </is>
      </c>
      <c r="G463" t="inlineStr">
        <is>
          <t>SÖDERHAMN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46275</v>
      </c>
      <c r="F464" t="inlineStr">
        <is>
          <t>GÄVLEBORGS LÄN</t>
        </is>
      </c>
      <c r="G464" t="inlineStr">
        <is>
          <t>SÖDERHAMN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46275</v>
      </c>
      <c r="F465" t="inlineStr">
        <is>
          <t>GÄVLEBORGS LÄN</t>
        </is>
      </c>
      <c r="G465" t="inlineStr">
        <is>
          <t>SÖDERHAMN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46275</v>
      </c>
      <c r="F466" t="inlineStr">
        <is>
          <t>GÄVLEBORGS LÄN</t>
        </is>
      </c>
      <c r="G466" t="inlineStr">
        <is>
          <t>SÖDERHAMN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46275</v>
      </c>
      <c r="F467" t="inlineStr">
        <is>
          <t>GÄVLEBORGS LÄN</t>
        </is>
      </c>
      <c r="G467" t="inlineStr">
        <is>
          <t>SÖDERHAMN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46275</v>
      </c>
      <c r="F468" t="inlineStr">
        <is>
          <t>GÄVLEBORGS LÄN</t>
        </is>
      </c>
      <c r="G468" t="inlineStr">
        <is>
          <t>SÖDERHAMN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45757</v>
      </c>
      <c r="E469" s="1" t="n">
        <v>46275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46275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46275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16484-2026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46275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46275</v>
      </c>
      <c r="F473" t="inlineStr">
        <is>
          <t>GÄVLEBORGS LÄN</t>
        </is>
      </c>
      <c r="G473" t="inlineStr">
        <is>
          <t>SÖDERHAMN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16475-2026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46275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46117</v>
      </c>
      <c r="E475" s="1" t="n">
        <v>46275</v>
      </c>
      <c r="F475" t="inlineStr">
        <is>
          <t>GÄVLEBORGS LÄN</t>
        </is>
      </c>
      <c r="G475" t="inlineStr">
        <is>
          <t>SÖDERHAMN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17190-2026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46117</v>
      </c>
      <c r="E476" s="1" t="n">
        <v>46275</v>
      </c>
      <c r="F476" t="inlineStr">
        <is>
          <t>GÄVLEBORGS LÄN</t>
        </is>
      </c>
      <c r="G476" t="inlineStr">
        <is>
          <t>SÖDERHAMN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46117</v>
      </c>
      <c r="E477" s="1" t="n">
        <v>46275</v>
      </c>
      <c r="F477" t="inlineStr">
        <is>
          <t>GÄVLEBORGS LÄN</t>
        </is>
      </c>
      <c r="G477" t="inlineStr">
        <is>
          <t>SÖDERHAMN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46117</v>
      </c>
      <c r="E478" s="1" t="n">
        <v>46275</v>
      </c>
      <c r="F478" t="inlineStr">
        <is>
          <t>GÄVLEBORGS LÄN</t>
        </is>
      </c>
      <c r="G478" t="inlineStr">
        <is>
          <t>SÖDERHAMN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46275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46275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59216-2021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44490</v>
      </c>
      <c r="E481" s="1" t="n">
        <v>46275</v>
      </c>
      <c r="F481" t="inlineStr">
        <is>
          <t>GÄVLEBORGS LÄN</t>
        </is>
      </c>
      <c r="G481" t="inlineStr">
        <is>
          <t>SÖDERHAMN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46275</v>
      </c>
      <c r="F482" t="inlineStr">
        <is>
          <t>GÄVLEBORGS LÄN</t>
        </is>
      </c>
      <c r="G482" t="inlineStr">
        <is>
          <t>SÖDERHAMN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63632-2023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45275</v>
      </c>
      <c r="E483" s="1" t="n">
        <v>46275</v>
      </c>
      <c r="F483" t="inlineStr">
        <is>
          <t>GÄVLEBORGS LÄN</t>
        </is>
      </c>
      <c r="G483" t="inlineStr">
        <is>
          <t>SÖDERHAMN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46275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45398</v>
      </c>
      <c r="E485" s="1" t="n">
        <v>46275</v>
      </c>
      <c r="F485" t="inlineStr">
        <is>
          <t>GÄVLEBORGS LÄN</t>
        </is>
      </c>
      <c r="G485" t="inlineStr">
        <is>
          <t>SÖDERHAMN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46275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46275</v>
      </c>
      <c r="F487" t="inlineStr">
        <is>
          <t>GÄVLEBORGS LÄN</t>
        </is>
      </c>
      <c r="G487" t="inlineStr">
        <is>
          <t>SÖDERHAMN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46275</v>
      </c>
      <c r="F488" t="inlineStr">
        <is>
          <t>GÄVLEBORGS LÄN</t>
        </is>
      </c>
      <c r="G488" t="inlineStr">
        <is>
          <t>SÖDERHAMN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46275</v>
      </c>
      <c r="F489" t="inlineStr">
        <is>
          <t>GÄVLEBORGS LÄN</t>
        </is>
      </c>
      <c r="G489" t="inlineStr">
        <is>
          <t>SÖDERHAMN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13117-2026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46275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46275</v>
      </c>
      <c r="F491" t="inlineStr">
        <is>
          <t>GÄVLEBORGS LÄN</t>
        </is>
      </c>
      <c r="G491" t="inlineStr">
        <is>
          <t>SÖDERHAMN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45905</v>
      </c>
      <c r="E492" s="1" t="n">
        <v>46275</v>
      </c>
      <c r="F492" t="inlineStr">
        <is>
          <t>GÄVLEBORGS LÄN</t>
        </is>
      </c>
      <c r="G492" t="inlineStr">
        <is>
          <t>SÖDERHAMN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46275</v>
      </c>
      <c r="F493" t="inlineStr">
        <is>
          <t>GÄVLEBORGS LÄN</t>
        </is>
      </c>
      <c r="G493" t="inlineStr">
        <is>
          <t>SÖDERHAMN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46275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15975-2026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46275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46275</v>
      </c>
      <c r="F496" t="inlineStr">
        <is>
          <t>GÄVLEBORGS LÄN</t>
        </is>
      </c>
      <c r="G496" t="inlineStr">
        <is>
          <t>SÖDERHAMN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46275</v>
      </c>
      <c r="F497" t="inlineStr">
        <is>
          <t>GÄVLEBORGS LÄN</t>
        </is>
      </c>
      <c r="G497" t="inlineStr">
        <is>
          <t>SÖDERHAMN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46275</v>
      </c>
      <c r="F498" t="inlineStr">
        <is>
          <t>GÄVLEBORGS LÄN</t>
        </is>
      </c>
      <c r="G498" t="inlineStr">
        <is>
          <t>SÖDERHAMN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46275</v>
      </c>
      <c r="F499" t="inlineStr">
        <is>
          <t>GÄVLEBORGS LÄN</t>
        </is>
      </c>
      <c r="G499" t="inlineStr">
        <is>
          <t>SÖDERHAMN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46275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46275</v>
      </c>
      <c r="F501" t="inlineStr">
        <is>
          <t>GÄVLEBORGS LÄN</t>
        </is>
      </c>
      <c r="G501" t="inlineStr">
        <is>
          <t>SÖDERHAMN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45960</v>
      </c>
      <c r="E502" s="1" t="n">
        <v>46275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10876-2026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46275</v>
      </c>
      <c r="F503" t="inlineStr">
        <is>
          <t>GÄVLEBORGS LÄN</t>
        </is>
      </c>
      <c r="G503" t="inlineStr">
        <is>
          <t>SÖDERHAMN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45817</v>
      </c>
      <c r="E504" s="1" t="n">
        <v>46275</v>
      </c>
      <c r="F504" t="inlineStr">
        <is>
          <t>GÄVLEBORGS LÄN</t>
        </is>
      </c>
      <c r="G504" t="inlineStr">
        <is>
          <t>SÖDERHAMN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40793-2024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45558</v>
      </c>
      <c r="E505" s="1" t="n">
        <v>46275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46275</v>
      </c>
      <c r="F506" t="inlineStr">
        <is>
          <t>GÄVLEBORGS LÄN</t>
        </is>
      </c>
      <c r="G506" t="inlineStr">
        <is>
          <t>SÖDERHAMN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46275</v>
      </c>
      <c r="F507" t="inlineStr">
        <is>
          <t>GÄVLEBORGS LÄN</t>
        </is>
      </c>
      <c r="G507" t="inlineStr">
        <is>
          <t>SÖDERHAMN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45757</v>
      </c>
      <c r="E508" s="1" t="n">
        <v>46275</v>
      </c>
      <c r="F508" t="inlineStr">
        <is>
          <t>GÄVLEBORGS LÄN</t>
        </is>
      </c>
      <c r="G508" t="inlineStr">
        <is>
          <t>SÖDERHAMN</t>
        </is>
      </c>
      <c r="H508" t="inlineStr">
        <is>
          <t>Kommuner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46275</v>
      </c>
      <c r="F509" t="inlineStr">
        <is>
          <t>GÄVLEBORGS LÄN</t>
        </is>
      </c>
      <c r="G509" t="inlineStr">
        <is>
          <t>SÖDERHAMN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55383-2025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45971</v>
      </c>
      <c r="E510" s="1" t="n">
        <v>46275</v>
      </c>
      <c r="F510" t="inlineStr">
        <is>
          <t>GÄVLEBORGS LÄN</t>
        </is>
      </c>
      <c r="G510" t="inlineStr">
        <is>
          <t>SÖDERHAMN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46024</v>
      </c>
      <c r="E511" s="1" t="n">
        <v>46275</v>
      </c>
      <c r="F511" t="inlineStr">
        <is>
          <t>GÄVLEBORGS LÄN</t>
        </is>
      </c>
      <c r="G511" t="inlineStr">
        <is>
          <t>SÖDERHAMN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46275</v>
      </c>
      <c r="F512" t="inlineStr">
        <is>
          <t>GÄVLEBORGS LÄN</t>
        </is>
      </c>
      <c r="G512" t="inlineStr">
        <is>
          <t>SÖDERHAMN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46275</v>
      </c>
      <c r="F513" t="inlineStr">
        <is>
          <t>GÄVLEBORGS LÄN</t>
        </is>
      </c>
      <c r="G513" t="inlineStr">
        <is>
          <t>SÖDERHAMN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46275</v>
      </c>
      <c r="F514" t="inlineStr">
        <is>
          <t>GÄVLEBORGS LÄN</t>
        </is>
      </c>
      <c r="G514" t="inlineStr">
        <is>
          <t>SÖDERHAMN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46275</v>
      </c>
      <c r="F515" t="inlineStr">
        <is>
          <t>GÄVLEBORGS LÄN</t>
        </is>
      </c>
      <c r="G515" t="inlineStr">
        <is>
          <t>SÖDERHAMN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46275</v>
      </c>
      <c r="F516" t="inlineStr">
        <is>
          <t>GÄVLEBORGS LÄN</t>
        </is>
      </c>
      <c r="G516" t="inlineStr">
        <is>
          <t>SÖDERHAMN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20289-2026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46275</v>
      </c>
      <c r="F517" t="inlineStr">
        <is>
          <t>GÄVLEBORGS LÄN</t>
        </is>
      </c>
      <c r="G517" t="inlineStr">
        <is>
          <t>SÖDERHAMN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46275</v>
      </c>
      <c r="F518" t="inlineStr">
        <is>
          <t>GÄVLEBORGS LÄN</t>
        </is>
      </c>
      <c r="G518" t="inlineStr">
        <is>
          <t>SÖDERHAMN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46098</v>
      </c>
      <c r="E519" s="1" t="n">
        <v>46275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46142</v>
      </c>
      <c r="E520" s="1" t="n">
        <v>46275</v>
      </c>
      <c r="F520" t="inlineStr">
        <is>
          <t>GÄVLEBORGS LÄN</t>
        </is>
      </c>
      <c r="G520" t="inlineStr">
        <is>
          <t>SÖDERHAMN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46142</v>
      </c>
      <c r="E521" s="1" t="n">
        <v>46275</v>
      </c>
      <c r="F521" t="inlineStr">
        <is>
          <t>GÄVLEBORGS LÄN</t>
        </is>
      </c>
      <c r="G521" t="inlineStr">
        <is>
          <t>SÖDERHAMN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13661-2026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46097</v>
      </c>
      <c r="E522" s="1" t="n">
        <v>46275</v>
      </c>
      <c r="F522" t="inlineStr">
        <is>
          <t>GÄVLEBORGS LÄN</t>
        </is>
      </c>
      <c r="G522" t="inlineStr">
        <is>
          <t>SÖDERHAMN</t>
        </is>
      </c>
      <c r="I522" t="n">
        <v>14.2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46275</v>
      </c>
      <c r="F523" t="inlineStr">
        <is>
          <t>GÄVLEBORGS LÄN</t>
        </is>
      </c>
      <c r="G523" t="inlineStr">
        <is>
          <t>SÖDERHAMN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46275</v>
      </c>
      <c r="F524" t="inlineStr">
        <is>
          <t>GÄVLEBORGS LÄN</t>
        </is>
      </c>
      <c r="G524" t="inlineStr">
        <is>
          <t>SÖDERHAMN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39207-2024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45548</v>
      </c>
      <c r="E525" s="1" t="n">
        <v>46275</v>
      </c>
      <c r="F525" t="inlineStr">
        <is>
          <t>GÄVLEBORGS LÄN</t>
        </is>
      </c>
      <c r="G525" t="inlineStr">
        <is>
          <t>SÖDERHAMN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55765-2025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45972</v>
      </c>
      <c r="E526" s="1" t="n">
        <v>46275</v>
      </c>
      <c r="F526" t="inlineStr">
        <is>
          <t>GÄVLEBORGS LÄN</t>
        </is>
      </c>
      <c r="G526" t="inlineStr">
        <is>
          <t>SÖDERHAMN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46275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46275</v>
      </c>
      <c r="F528" t="inlineStr">
        <is>
          <t>GÄVLEBORGS LÄN</t>
        </is>
      </c>
      <c r="G528" t="inlineStr">
        <is>
          <t>SÖDERHAMN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46275</v>
      </c>
      <c r="F529" t="inlineStr">
        <is>
          <t>GÄVLEBORGS LÄN</t>
        </is>
      </c>
      <c r="G529" t="inlineStr">
        <is>
          <t>SÖDERHAMN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46275</v>
      </c>
      <c r="F530" t="inlineStr">
        <is>
          <t>GÄVLEBORGS LÄN</t>
        </is>
      </c>
      <c r="G530" t="inlineStr">
        <is>
          <t>SÖDERHAMN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46148</v>
      </c>
      <c r="E531" s="1" t="n">
        <v>46275</v>
      </c>
      <c r="F531" t="inlineStr">
        <is>
          <t>GÄVLEBORGS LÄN</t>
        </is>
      </c>
      <c r="G531" t="inlineStr">
        <is>
          <t>SÖDERHAMN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46275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46275</v>
      </c>
      <c r="F533" t="inlineStr">
        <is>
          <t>GÄVLEBORGS LÄN</t>
        </is>
      </c>
      <c r="G533" t="inlineStr">
        <is>
          <t>SÖDERHAMN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21690-2026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46149</v>
      </c>
      <c r="E534" s="1" t="n">
        <v>46275</v>
      </c>
      <c r="F534" t="inlineStr">
        <is>
          <t>GÄVLEBORGS LÄN</t>
        </is>
      </c>
      <c r="G534" t="inlineStr">
        <is>
          <t>SÖDERHAMN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46275</v>
      </c>
      <c r="F535" t="inlineStr">
        <is>
          <t>GÄVLEBORGS LÄN</t>
        </is>
      </c>
      <c r="G535" t="inlineStr">
        <is>
          <t>SÖDERHAMN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21694-2026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46149</v>
      </c>
      <c r="E536" s="1" t="n">
        <v>46275</v>
      </c>
      <c r="F536" t="inlineStr">
        <is>
          <t>GÄVLEBORGS LÄN</t>
        </is>
      </c>
      <c r="G536" t="inlineStr">
        <is>
          <t>SÖDERHAMN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46275</v>
      </c>
      <c r="F537" t="inlineStr">
        <is>
          <t>GÄVLEBORGS LÄN</t>
        </is>
      </c>
      <c r="G537" t="inlineStr">
        <is>
          <t>SÖDERHAMN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46275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46275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10138-2026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46076</v>
      </c>
      <c r="E540" s="1" t="n">
        <v>46275</v>
      </c>
      <c r="F540" t="inlineStr">
        <is>
          <t>GÄVLEBORGS LÄN</t>
        </is>
      </c>
      <c r="G540" t="inlineStr">
        <is>
          <t>SÖDERHAMN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46275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46157</v>
      </c>
      <c r="E542" s="1" t="n">
        <v>46275</v>
      </c>
      <c r="F542" t="inlineStr">
        <is>
          <t>GÄVLEBORGS LÄN</t>
        </is>
      </c>
      <c r="G542" t="inlineStr">
        <is>
          <t>SÖDERHAMN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22735-2026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46157</v>
      </c>
      <c r="E543" s="1" t="n">
        <v>46275</v>
      </c>
      <c r="F543" t="inlineStr">
        <is>
          <t>GÄVLEBORGS LÄN</t>
        </is>
      </c>
      <c r="G543" t="inlineStr">
        <is>
          <t>SÖDERHAMN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46157</v>
      </c>
      <c r="E544" s="1" t="n">
        <v>46275</v>
      </c>
      <c r="F544" t="inlineStr">
        <is>
          <t>GÄVLEBORGS LÄN</t>
        </is>
      </c>
      <c r="G544" t="inlineStr">
        <is>
          <t>SÖDERHAMN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46157</v>
      </c>
      <c r="E545" s="1" t="n">
        <v>46275</v>
      </c>
      <c r="F545" t="inlineStr">
        <is>
          <t>GÄVLEBORGS LÄN</t>
        </is>
      </c>
      <c r="G545" t="inlineStr">
        <is>
          <t>SÖDERHAMN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46157</v>
      </c>
      <c r="E546" s="1" t="n">
        <v>46275</v>
      </c>
      <c r="F546" t="inlineStr">
        <is>
          <t>GÄVLEBORGS LÄN</t>
        </is>
      </c>
      <c r="G546" t="inlineStr">
        <is>
          <t>SÖDERHAMN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46157</v>
      </c>
      <c r="E547" s="1" t="n">
        <v>46275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46157</v>
      </c>
      <c r="E548" s="1" t="n">
        <v>46275</v>
      </c>
      <c r="F548" t="inlineStr">
        <is>
          <t>GÄVLEBORGS LÄN</t>
        </is>
      </c>
      <c r="G548" t="inlineStr">
        <is>
          <t>SÖDERHAMN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46275</v>
      </c>
      <c r="F549" t="inlineStr">
        <is>
          <t>GÄVLEBORGS LÄN</t>
        </is>
      </c>
      <c r="G549" t="inlineStr">
        <is>
          <t>SÖDERHAMN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46275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46164</v>
      </c>
      <c r="E551" s="1" t="n">
        <v>46275</v>
      </c>
      <c r="F551" t="inlineStr">
        <is>
          <t>GÄVLEBORGS LÄN</t>
        </is>
      </c>
      <c r="G551" t="inlineStr">
        <is>
          <t>SÖDERHAMN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46164</v>
      </c>
      <c r="E552" s="1" t="n">
        <v>46275</v>
      </c>
      <c r="F552" t="inlineStr">
        <is>
          <t>GÄVLEBORGS LÄN</t>
        </is>
      </c>
      <c r="G552" t="inlineStr">
        <is>
          <t>SÖDERHAMN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46275</v>
      </c>
      <c r="F553" t="inlineStr">
        <is>
          <t>GÄVLEBORGS LÄN</t>
        </is>
      </c>
      <c r="G553" t="inlineStr">
        <is>
          <t>SÖDERHAMN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48561-2025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45936</v>
      </c>
      <c r="E554" s="1" t="n">
        <v>46275</v>
      </c>
      <c r="F554" t="inlineStr">
        <is>
          <t>GÄVLEBORGS LÄN</t>
        </is>
      </c>
      <c r="G554" t="inlineStr">
        <is>
          <t>SÖDERHAMN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46275</v>
      </c>
      <c r="F555" t="inlineStr">
        <is>
          <t>GÄVLEBORGS LÄN</t>
        </is>
      </c>
      <c r="G555" t="inlineStr">
        <is>
          <t>SÖDERHAMN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46165</v>
      </c>
      <c r="E556" s="1" t="n">
        <v>46275</v>
      </c>
      <c r="F556" t="inlineStr">
        <is>
          <t>GÄVLEBORGS LÄN</t>
        </is>
      </c>
      <c r="G556" t="inlineStr">
        <is>
          <t>SÖDERHAMN</t>
        </is>
      </c>
      <c r="H556" t="inlineStr">
        <is>
          <t>Bergvik skog väst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46112</v>
      </c>
      <c r="E557" s="1" t="n">
        <v>46275</v>
      </c>
      <c r="F557" t="inlineStr">
        <is>
          <t>GÄVLEBORGS LÄN</t>
        </is>
      </c>
      <c r="G557" t="inlineStr">
        <is>
          <t>SÖDERHAMN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46275</v>
      </c>
      <c r="F558" t="inlineStr">
        <is>
          <t>GÄVLEBORGS LÄN</t>
        </is>
      </c>
      <c r="G558" t="inlineStr">
        <is>
          <t>SÖDERHAMN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46275</v>
      </c>
      <c r="F559" t="inlineStr">
        <is>
          <t>GÄVLEBORGS LÄN</t>
        </is>
      </c>
      <c r="G559" t="inlineStr">
        <is>
          <t>SÖDERHAMN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46097</v>
      </c>
      <c r="E560" s="1" t="n">
        <v>46275</v>
      </c>
      <c r="F560" t="inlineStr">
        <is>
          <t>GÄVLEBORGS LÄN</t>
        </is>
      </c>
      <c r="G560" t="inlineStr">
        <is>
          <t>SÖDERHAMN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24918-2026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46275</v>
      </c>
      <c r="F561" t="inlineStr">
        <is>
          <t>GÄVLEBORGS LÄN</t>
        </is>
      </c>
      <c r="G561" t="inlineStr">
        <is>
          <t>SÖDERHAMN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46175</v>
      </c>
      <c r="E562" s="1" t="n">
        <v>46275</v>
      </c>
      <c r="F562" t="inlineStr">
        <is>
          <t>GÄVLEBORGS LÄN</t>
        </is>
      </c>
      <c r="G562" t="inlineStr">
        <is>
          <t>SÖDERHAMN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46275</v>
      </c>
      <c r="F563" t="inlineStr">
        <is>
          <t>GÄVLEBORGS LÄN</t>
        </is>
      </c>
      <c r="G563" t="inlineStr">
        <is>
          <t>SÖDERHAMN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46275</v>
      </c>
      <c r="F564" t="inlineStr">
        <is>
          <t>GÄVLEBORGS LÄN</t>
        </is>
      </c>
      <c r="G564" t="inlineStr">
        <is>
          <t>SÖDERHAMN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46275</v>
      </c>
      <c r="F565" t="inlineStr">
        <is>
          <t>GÄVLEBORGS LÄN</t>
        </is>
      </c>
      <c r="G565" t="inlineStr">
        <is>
          <t>SÖDERHAMN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46275</v>
      </c>
      <c r="F566" t="inlineStr">
        <is>
          <t>GÄVLEBORGS LÄN</t>
        </is>
      </c>
      <c r="G566" t="inlineStr">
        <is>
          <t>SÖDERHAMN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46275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46275</v>
      </c>
      <c r="F568" t="inlineStr">
        <is>
          <t>GÄVLEBORGS LÄN</t>
        </is>
      </c>
      <c r="G568" t="inlineStr">
        <is>
          <t>SÖDERHAMN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25477-2026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46275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46275</v>
      </c>
      <c r="F570" t="inlineStr">
        <is>
          <t>GÄVLEBORGS LÄN</t>
        </is>
      </c>
      <c r="G570" t="inlineStr">
        <is>
          <t>SÖDERHAMN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45210</v>
      </c>
      <c r="E571" s="1" t="n">
        <v>46275</v>
      </c>
      <c r="F571" t="inlineStr">
        <is>
          <t>GÄVLEBORGS LÄN</t>
        </is>
      </c>
      <c r="G571" t="inlineStr">
        <is>
          <t>SÖDERHAMN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46275</v>
      </c>
      <c r="F572" t="inlineStr">
        <is>
          <t>GÄVLEBORGS LÄN</t>
        </is>
      </c>
      <c r="G572" t="inlineStr">
        <is>
          <t>SÖDERHAMN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26042-2026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46177</v>
      </c>
      <c r="E573" s="1" t="n">
        <v>46275</v>
      </c>
      <c r="F573" t="inlineStr">
        <is>
          <t>GÄVLEBORGS LÄN</t>
        </is>
      </c>
      <c r="G573" t="inlineStr">
        <is>
          <t>SÖDERHAMN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46275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46275</v>
      </c>
      <c r="F575" t="inlineStr">
        <is>
          <t>GÄVLEBORGS LÄN</t>
        </is>
      </c>
      <c r="G575" t="inlineStr">
        <is>
          <t>SÖDERHAMN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46275</v>
      </c>
      <c r="F576" t="inlineStr">
        <is>
          <t>GÄVLEBORGS LÄN</t>
        </is>
      </c>
      <c r="G576" t="inlineStr">
        <is>
          <t>SÖDERHAMN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17809-2026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46122</v>
      </c>
      <c r="E577" s="1" t="n">
        <v>46275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46275</v>
      </c>
      <c r="F578" t="inlineStr">
        <is>
          <t>GÄVLEBORGS LÄN</t>
        </is>
      </c>
      <c r="G578" t="inlineStr">
        <is>
          <t>SÖDERHAMN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46237</v>
      </c>
      <c r="E579" s="1" t="n">
        <v>46275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46275</v>
      </c>
      <c r="F580" t="inlineStr">
        <is>
          <t>GÄVLEBORGS LÄN</t>
        </is>
      </c>
      <c r="G580" t="inlineStr">
        <is>
          <t>SÖDERHAMN</t>
        </is>
      </c>
      <c r="I580" t="n">
        <v>11.8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28426-2026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46197</v>
      </c>
      <c r="E581" s="1" t="n">
        <v>46275</v>
      </c>
      <c r="F581" t="inlineStr">
        <is>
          <t>GÄVLEBORGS LÄN</t>
        </is>
      </c>
      <c r="G581" t="inlineStr">
        <is>
          <t>SÖDERHAMN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46163</v>
      </c>
      <c r="E582" s="1" t="n">
        <v>46275</v>
      </c>
      <c r="F582" t="inlineStr">
        <is>
          <t>GÄVLEBORGS LÄN</t>
        </is>
      </c>
      <c r="G582" t="inlineStr">
        <is>
          <t>SÖDERHAMN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46197</v>
      </c>
      <c r="E583" s="1" t="n">
        <v>46275</v>
      </c>
      <c r="F583" t="inlineStr">
        <is>
          <t>GÄVLEBORGS LÄN</t>
        </is>
      </c>
      <c r="G583" t="inlineStr">
        <is>
          <t>SÖDERHAMN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46275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46275</v>
      </c>
      <c r="F585" t="inlineStr">
        <is>
          <t>GÄVLEBORGS LÄN</t>
        </is>
      </c>
      <c r="G585" t="inlineStr">
        <is>
          <t>SÖDERHAMN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46207</v>
      </c>
      <c r="E586" s="1" t="n">
        <v>46275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46275</v>
      </c>
      <c r="F587" t="inlineStr">
        <is>
          <t>GÄVLEBORGS LÄN</t>
        </is>
      </c>
      <c r="G587" t="inlineStr">
        <is>
          <t>SÖDERHAMN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46275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46275</v>
      </c>
      <c r="F589" t="inlineStr">
        <is>
          <t>GÄVLEBORGS LÄN</t>
        </is>
      </c>
      <c r="G589" t="inlineStr">
        <is>
          <t>SÖDERHAMN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46275</v>
      </c>
      <c r="F590" t="inlineStr">
        <is>
          <t>GÄVLEBORGS LÄN</t>
        </is>
      </c>
      <c r="G590" t="inlineStr">
        <is>
          <t>SÖDERHAMN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46275</v>
      </c>
      <c r="F591" t="inlineStr">
        <is>
          <t>GÄVLEBORGS LÄN</t>
        </is>
      </c>
      <c r="G591" t="inlineStr">
        <is>
          <t>SÖDERHAMN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45797</v>
      </c>
      <c r="E592" s="1" t="n">
        <v>46275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46275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46275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Kyrkan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46275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Kyrkan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46275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46275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46275</v>
      </c>
      <c r="F598" t="inlineStr">
        <is>
          <t>GÄVLEBORGS LÄN</t>
        </is>
      </c>
      <c r="G598" t="inlineStr">
        <is>
          <t>SÖDERHAMN</t>
        </is>
      </c>
      <c r="H598" t="inlineStr">
        <is>
          <t>Övriga statliga verk och myndigheter</t>
        </is>
      </c>
      <c r="I598" t="n">
        <v>14.9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46275</v>
      </c>
      <c r="F599" t="inlineStr">
        <is>
          <t>GÄVLEBORGS LÄN</t>
        </is>
      </c>
      <c r="G599" t="inlineStr">
        <is>
          <t>SÖDERHAMN</t>
        </is>
      </c>
      <c r="H599" t="inlineStr">
        <is>
          <t>Övriga statliga verk och myndigheter</t>
        </is>
      </c>
      <c r="I599" t="n">
        <v>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46042</v>
      </c>
      <c r="E600" s="1" t="n">
        <v>46275</v>
      </c>
      <c r="F600" t="inlineStr">
        <is>
          <t>GÄVLEBORGS LÄN</t>
        </is>
      </c>
      <c r="G600" t="inlineStr">
        <is>
          <t>SÖDERHAMN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46275</v>
      </c>
      <c r="F601" t="inlineStr">
        <is>
          <t>GÄVLEBORGS LÄN</t>
        </is>
      </c>
      <c r="G601" t="inlineStr">
        <is>
          <t>SÖDERHAMN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46275</v>
      </c>
      <c r="F602" t="inlineStr">
        <is>
          <t>GÄVLEBORGS LÄN</t>
        </is>
      </c>
      <c r="G602" t="inlineStr">
        <is>
          <t>SÖDERHAMN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46275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46275</v>
      </c>
      <c r="F604" t="inlineStr">
        <is>
          <t>GÄVLEBORGS LÄN</t>
        </is>
      </c>
      <c r="G604" t="inlineStr">
        <is>
          <t>SÖDERHAMN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46275</v>
      </c>
      <c r="F605" t="inlineStr">
        <is>
          <t>GÄVLEBORGS LÄN</t>
        </is>
      </c>
      <c r="G605" t="inlineStr">
        <is>
          <t>SÖDERHAMN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46223</v>
      </c>
      <c r="E606" s="1" t="n">
        <v>46275</v>
      </c>
      <c r="F606" t="inlineStr">
        <is>
          <t>GÄVLEBORGS LÄN</t>
        </is>
      </c>
      <c r="G606" t="inlineStr">
        <is>
          <t>SÖDERHAMN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46275</v>
      </c>
      <c r="F607" t="inlineStr">
        <is>
          <t>GÄVLEBORGS LÄN</t>
        </is>
      </c>
      <c r="G607" t="inlineStr">
        <is>
          <t>SÖDERHAMN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46275</v>
      </c>
      <c r="F608" t="inlineStr">
        <is>
          <t>GÄVLEBORGS LÄN</t>
        </is>
      </c>
      <c r="G608" t="inlineStr">
        <is>
          <t>SÖDERHAMN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46275</v>
      </c>
      <c r="F609" t="inlineStr">
        <is>
          <t>GÄVLEBORGS LÄN</t>
        </is>
      </c>
      <c r="G609" t="inlineStr">
        <is>
          <t>SÖDERHAMN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46227</v>
      </c>
      <c r="E610" s="1" t="n">
        <v>46275</v>
      </c>
      <c r="F610" t="inlineStr">
        <is>
          <t>GÄVLEBORGS LÄN</t>
        </is>
      </c>
      <c r="G610" t="inlineStr">
        <is>
          <t>SÖDERHAMN</t>
        </is>
      </c>
      <c r="I610" t="n">
        <v>11.5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46275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46275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15-2024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45293</v>
      </c>
      <c r="E614" s="1" t="n">
        <v>46275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17.7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46275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2026-09-10T02:11:44Z</dcterms:created>
  <dcterms:modified xmlns:dcterms="http://purl.org/dc/terms/" xmlns:xsi="http://www.w3.org/2001/XMLSchema-instance" xsi:type="dcterms:W3CDTF">2026-09-10T02:11:45Z</dcterms:modified>
</cp:coreProperties>
</file>