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46289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46289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46289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46289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46289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46289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46289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46289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25237-2022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44729</v>
      </c>
      <c r="E21" s="1" t="n">
        <v>46289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19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HYPERLINK("https://klasma.github.io/Logging_2182/artfynd/A 25237-2022 artfynd.xlsx", "A 25237-2022")</f>
        <v/>
      </c>
      <c r="X21">
        <f>HYPERLINK("https://klasma.github.io/Logging_2182/kartor/A 25237-2022 karta.png", "A 25237-2022")</f>
        <v/>
      </c>
      <c r="Y21">
        <f>HYPERLINK("https://klasma.github.io/Logging_2182/kartor_geotiff/A 25237-2022 georefererad karta.tif", "A 25237-2022")</f>
        <v/>
      </c>
      <c r="AA21">
        <f>HYPERLINK("https://klasma.github.io/Logging_2182/klagomål/A 25237-2022 FSC-klagomål.docx", "A 25237-2022")</f>
        <v/>
      </c>
      <c r="AB21">
        <f>HYPERLINK("https://klasma.github.io/Logging_2182/klagomålsmail/A 25237-2022 FSC-klagomål mail.docx", "A 25237-2022")</f>
        <v/>
      </c>
      <c r="AC21">
        <f>HYPERLINK("https://klasma.github.io/Logging_2182/tillsyn/A 25237-2022 tillsynsbegäran.docx", "A 25237-2022")</f>
        <v/>
      </c>
      <c r="AD21">
        <f>HYPERLINK("https://klasma.github.io/Logging_2182/tillsynsmail/A 25237-2022 tillsynsbegäran mail.docx", "A 25237-2022")</f>
        <v/>
      </c>
      <c r="AE21">
        <f>HYPERLINK("https://klasma.github.io/Logging_2182/fåglar/A 25237-2022 prioriterade fågelarter.docx", "A 25237-2022")</f>
        <v/>
      </c>
    </row>
    <row r="22" ht="15" customHeight="1">
      <c r="A22" t="inlineStr">
        <is>
          <t>A 9290-2026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46070</v>
      </c>
      <c r="E22" s="1" t="n">
        <v>46289</v>
      </c>
      <c r="F22" t="inlineStr">
        <is>
          <t>GÄVLEBORGS LÄN</t>
        </is>
      </c>
      <c r="G22" t="inlineStr">
        <is>
          <t>SÖDERHAMN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Kortskaftad ärgspik
Vitplätt</t>
        </is>
      </c>
      <c r="W22">
        <f>HYPERLINK("https://klasma.github.io/Logging_2182/artfynd/A 9290-2026 artfynd.xlsx", "A 9290-2026")</f>
        <v/>
      </c>
      <c r="X22">
        <f>HYPERLINK("https://klasma.github.io/Logging_2182/kartor/A 9290-2026 karta.png", "A 9290-2026")</f>
        <v/>
      </c>
      <c r="Y22">
        <f>HYPERLINK("https://klasma.github.io/Logging_2182/kartor_geotiff/A 9290-2026 georefererad karta.tif", "A 9290-2026")</f>
        <v/>
      </c>
      <c r="AA22">
        <f>HYPERLINK("https://klasma.github.io/Logging_2182/klagomål/A 9290-2026 FSC-klagomål.docx", "A 9290-2026")</f>
        <v/>
      </c>
      <c r="AB22">
        <f>HYPERLINK("https://klasma.github.io/Logging_2182/klagomålsmail/A 9290-2026 FSC-klagomål mail.docx", "A 9290-2026")</f>
        <v/>
      </c>
      <c r="AC22">
        <f>HYPERLINK("https://klasma.github.io/Logging_2182/tillsyn/A 9290-2026 tillsynsbegäran.docx", "A 9290-2026")</f>
        <v/>
      </c>
      <c r="AD22">
        <f>HYPERLINK("https://klasma.github.io/Logging_2182/tillsynsmail/A 9290-2026 tillsynsbegäran mail.docx", "A 9290-2026")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46289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46289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23333-2026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46162</v>
      </c>
      <c r="E25" s="1" t="n">
        <v>46289</v>
      </c>
      <c r="F25" t="inlineStr">
        <is>
          <t>GÄVLEBORGS LÄN</t>
        </is>
      </c>
      <c r="G25" t="inlineStr">
        <is>
          <t>SÖDERHAMN</t>
        </is>
      </c>
      <c r="I25" t="n">
        <v>1.1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Korallblylav
Stuplav</t>
        </is>
      </c>
      <c r="W25">
        <f>HYPERLINK("https://klasma.github.io/Logging_2182/artfynd/A 23333-2026 artfynd.xlsx", "A 23333-2026")</f>
        <v/>
      </c>
      <c r="X25">
        <f>HYPERLINK("https://klasma.github.io/Logging_2182/kartor/A 23333-2026 karta.png", "A 23333-2026")</f>
        <v/>
      </c>
      <c r="Y25">
        <f>HYPERLINK("https://klasma.github.io/Logging_2182/kartor_geotiff/A 23333-2026 georefererad karta.tif", "A 23333-2026")</f>
        <v/>
      </c>
      <c r="AA25">
        <f>HYPERLINK("https://klasma.github.io/Logging_2182/klagomål/A 23333-2026 FSC-klagomål.docx", "A 23333-2026")</f>
        <v/>
      </c>
      <c r="AB25">
        <f>HYPERLINK("https://klasma.github.io/Logging_2182/klagomålsmail/A 23333-2026 FSC-klagomål mail.docx", "A 23333-2026")</f>
        <v/>
      </c>
      <c r="AC25">
        <f>HYPERLINK("https://klasma.github.io/Logging_2182/tillsyn/A 23333-2026 tillsynsbegäran.docx", "A 23333-2026")</f>
        <v/>
      </c>
      <c r="AD25">
        <f>HYPERLINK("https://klasma.github.io/Logging_2182/tillsynsmail/A 23333-2026 tillsynsbegäran mail.docx", "A 23333-2026")</f>
        <v/>
      </c>
    </row>
    <row r="26" ht="15" customHeight="1">
      <c r="A26" t="inlineStr">
        <is>
          <t>A 24156-2026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46168</v>
      </c>
      <c r="E26" s="1" t="n">
        <v>46289</v>
      </c>
      <c r="F26" t="inlineStr">
        <is>
          <t>GÄVLEBORGS LÄN</t>
        </is>
      </c>
      <c r="G26" t="inlineStr">
        <is>
          <t>SÖDERHAMN</t>
        </is>
      </c>
      <c r="I26" t="n">
        <v>15.1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Svart trolldruva
Blåsippa</t>
        </is>
      </c>
      <c r="W26">
        <f>HYPERLINK("https://klasma.github.io/Logging_2182/artfynd/A 24156-2026 artfynd.xlsx", "A 24156-2026")</f>
        <v/>
      </c>
      <c r="X26">
        <f>HYPERLINK("https://klasma.github.io/Logging_2182/kartor/A 24156-2026 karta.png", "A 24156-2026")</f>
        <v/>
      </c>
      <c r="Y26">
        <f>HYPERLINK("https://klasma.github.io/Logging_2182/kartor_geotiff/A 24156-2026 georefererad karta.tif", "A 24156-2026")</f>
        <v/>
      </c>
      <c r="AA26">
        <f>HYPERLINK("https://klasma.github.io/Logging_2182/klagomål/A 24156-2026 FSC-klagomål.docx", "A 24156-2026")</f>
        <v/>
      </c>
      <c r="AB26">
        <f>HYPERLINK("https://klasma.github.io/Logging_2182/klagomålsmail/A 24156-2026 FSC-klagomål mail.docx", "A 24156-2026")</f>
        <v/>
      </c>
      <c r="AC26">
        <f>HYPERLINK("https://klasma.github.io/Logging_2182/tillsyn/A 24156-2026 tillsynsbegäran.docx", "A 24156-2026")</f>
        <v/>
      </c>
      <c r="AD26">
        <f>HYPERLINK("https://klasma.github.io/Logging_2182/tillsynsmail/A 24156-2026 tillsynsbegäran mail.docx", "A 24156-2026")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46289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46289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40097-2024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45554</v>
      </c>
      <c r="E30" s="1" t="n">
        <v>46289</v>
      </c>
      <c r="F30" t="inlineStr">
        <is>
          <t>GÄVLEBORGS LÄN</t>
        </is>
      </c>
      <c r="G30" t="inlineStr">
        <is>
          <t>SÖDERHAMN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HYPERLINK("https://klasma.github.io/Logging_2182/artfynd/A 40097-2024 artfynd.xlsx", "A 40097-2024")</f>
        <v/>
      </c>
      <c r="X30">
        <f>HYPERLINK("https://klasma.github.io/Logging_2182/kartor/A 40097-2024 karta.png", "A 40097-2024")</f>
        <v/>
      </c>
      <c r="Y30">
        <f>HYPERLINK("https://klasma.github.io/Logging_2182/kartor_geotiff/A 40097-2024 georefererad karta.tif", "A 40097-2024")</f>
        <v/>
      </c>
      <c r="AA30">
        <f>HYPERLINK("https://klasma.github.io/Logging_2182/klagomål/A 40097-2024 FSC-klagomål.docx", "A 40097-2024")</f>
        <v/>
      </c>
      <c r="AB30">
        <f>HYPERLINK("https://klasma.github.io/Logging_2182/klagomålsmail/A 40097-2024 FSC-klagomål mail.docx", "A 40097-2024")</f>
        <v/>
      </c>
      <c r="AC30">
        <f>HYPERLINK("https://klasma.github.io/Logging_2182/tillsyn/A 40097-2024 tillsynsbegäran.docx", "A 40097-2024")</f>
        <v/>
      </c>
      <c r="AD30">
        <f>HYPERLINK("https://klasma.github.io/Logging_2182/tillsynsmail/A 40097-2024 tillsynsbegäran mail.docx", "A 40097-2024")</f>
        <v/>
      </c>
    </row>
    <row r="31" ht="15" customHeight="1">
      <c r="A31" t="inlineStr">
        <is>
          <t>A 58077-2024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45632</v>
      </c>
      <c r="E31" s="1" t="n">
        <v>46289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Motaggsvamp</t>
        </is>
      </c>
      <c r="W31">
        <f>HYPERLINK("https://klasma.github.io/Logging_2182/artfynd/A 58077-2024 artfynd.xlsx", "A 58077-2024")</f>
        <v/>
      </c>
      <c r="X31">
        <f>HYPERLINK("https://klasma.github.io/Logging_2182/kartor/A 58077-2024 karta.png", "A 58077-2024")</f>
        <v/>
      </c>
      <c r="Y31">
        <f>HYPERLINK("https://klasma.github.io/Logging_2182/kartor_geotiff/A 58077-2024 georefererad karta.tif", "A 58077-2024")</f>
        <v/>
      </c>
      <c r="AA31">
        <f>HYPERLINK("https://klasma.github.io/Logging_2182/klagomål/A 58077-2024 FSC-klagomål.docx", "A 58077-2024")</f>
        <v/>
      </c>
      <c r="AB31">
        <f>HYPERLINK("https://klasma.github.io/Logging_2182/klagomålsmail/A 58077-2024 FSC-klagomål mail.docx", "A 58077-2024")</f>
        <v/>
      </c>
      <c r="AC31">
        <f>HYPERLINK("https://klasma.github.io/Logging_2182/tillsyn/A 58077-2024 tillsynsbegäran.docx", "A 58077-2024")</f>
        <v/>
      </c>
      <c r="AD31">
        <f>HYPERLINK("https://klasma.github.io/Logging_2182/tillsynsmail/A 58077-2024 tillsynsbegäran mail.docx", "A 58077-2024")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46289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46289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58261-2024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46289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HYPERLINK("https://klasma.github.io/Logging_2182/artfynd/A 58261-2024 artfynd.xlsx", "A 58261-2024")</f>
        <v/>
      </c>
      <c r="X34">
        <f>HYPERLINK("https://klasma.github.io/Logging_2182/kartor/A 58261-2024 karta.png", "A 58261-2024")</f>
        <v/>
      </c>
      <c r="Y34">
        <f>HYPERLINK("https://klasma.github.io/Logging_2182/kartor_geotiff/A 58261-2024 georefererad karta.tif", "A 58261-2024")</f>
        <v/>
      </c>
      <c r="AA34">
        <f>HYPERLINK("https://klasma.github.io/Logging_2182/klagomål/A 58261-2024 FSC-klagomål.docx", "A 58261-2024")</f>
        <v/>
      </c>
      <c r="AB34">
        <f>HYPERLINK("https://klasma.github.io/Logging_2182/klagomålsmail/A 58261-2024 FSC-klagomål mail.docx", "A 58261-2024")</f>
        <v/>
      </c>
      <c r="AC34">
        <f>HYPERLINK("https://klasma.github.io/Logging_2182/tillsyn/A 58261-2024 tillsynsbegäran.docx", "A 58261-2024")</f>
        <v/>
      </c>
      <c r="AD34">
        <f>HYPERLINK("https://klasma.github.io/Logging_2182/tillsynsmail/A 58261-2024 tillsynsbegäran mail.docx", "A 58261-2024")</f>
        <v/>
      </c>
    </row>
    <row r="35" ht="15" customHeight="1">
      <c r="A35" t="inlineStr">
        <is>
          <t>A 41258-2022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44826</v>
      </c>
      <c r="E35" s="1" t="n">
        <v>46289</v>
      </c>
      <c r="F35" t="inlineStr">
        <is>
          <t>GÄVLEBORGS LÄN</t>
        </is>
      </c>
      <c r="G35" t="inlineStr">
        <is>
          <t>SÖDERHAMN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Rosenticka</t>
        </is>
      </c>
      <c r="W35">
        <f>HYPERLINK("https://klasma.github.io/Logging_2182/artfynd/A 41258-2022 artfynd.xlsx", "A 41258-2022")</f>
        <v/>
      </c>
      <c r="X35">
        <f>HYPERLINK("https://klasma.github.io/Logging_2182/kartor/A 41258-2022 karta.png", "A 41258-2022")</f>
        <v/>
      </c>
      <c r="Y35">
        <f>HYPERLINK("https://klasma.github.io/Logging_2182/kartor_geotiff/A 41258-2022 georefererad karta.tif", "A 41258-2022")</f>
        <v/>
      </c>
      <c r="AA35">
        <f>HYPERLINK("https://klasma.github.io/Logging_2182/klagomål/A 41258-2022 FSC-klagomål.docx", "A 41258-2022")</f>
        <v/>
      </c>
      <c r="AB35">
        <f>HYPERLINK("https://klasma.github.io/Logging_2182/klagomålsmail/A 41258-2022 FSC-klagomål mail.docx", "A 41258-2022")</f>
        <v/>
      </c>
      <c r="AC35">
        <f>HYPERLINK("https://klasma.github.io/Logging_2182/tillsyn/A 41258-2022 tillsynsbegäran.docx", "A 41258-2022")</f>
        <v/>
      </c>
      <c r="AD35">
        <f>HYPERLINK("https://klasma.github.io/Logging_2182/tillsynsmail/A 41258-2022 tillsynsbegäran mail.docx", "A 41258-2022")</f>
        <v/>
      </c>
    </row>
    <row r="36" ht="15" customHeight="1">
      <c r="A36" t="inlineStr">
        <is>
          <t>A 29834-2025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45825</v>
      </c>
      <c r="E36" s="1" t="n">
        <v>46289</v>
      </c>
      <c r="F36" t="inlineStr">
        <is>
          <t>GÄVLEBORGS LÄN</t>
        </is>
      </c>
      <c r="G36" t="inlineStr">
        <is>
          <t>SÖDERHAMN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HYPERLINK("https://klasma.github.io/Logging_2182/artfynd/A 29834-2025 artfynd.xlsx", "A 29834-2025")</f>
        <v/>
      </c>
      <c r="X36">
        <f>HYPERLINK("https://klasma.github.io/Logging_2182/kartor/A 29834-2025 karta.png", "A 29834-2025")</f>
        <v/>
      </c>
      <c r="Y36">
        <f>HYPERLINK("https://klasma.github.io/Logging_2182/kartor_geotiff/A 29834-2025 georefererad karta.tif", "A 29834-2025")</f>
        <v/>
      </c>
      <c r="AA36">
        <f>HYPERLINK("https://klasma.github.io/Logging_2182/klagomål/A 29834-2025 FSC-klagomål.docx", "A 29834-2025")</f>
        <v/>
      </c>
      <c r="AB36">
        <f>HYPERLINK("https://klasma.github.io/Logging_2182/klagomålsmail/A 29834-2025 FSC-klagomål mail.docx", "A 29834-2025")</f>
        <v/>
      </c>
      <c r="AC36">
        <f>HYPERLINK("https://klasma.github.io/Logging_2182/tillsyn/A 29834-2025 tillsynsbegäran.docx", "A 29834-2025")</f>
        <v/>
      </c>
      <c r="AD36">
        <f>HYPERLINK("https://klasma.github.io/Logging_2182/tillsynsmail/A 29834-2025 tillsynsbegäran mail.docx", "A 29834-2025")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46289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17412-2023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45035</v>
      </c>
      <c r="E38" s="1" t="n">
        <v>46289</v>
      </c>
      <c r="F38" t="inlineStr">
        <is>
          <t>GÄVLEBORGS LÄN</t>
        </is>
      </c>
      <c r="G38" t="inlineStr">
        <is>
          <t>SÖDERHAMN</t>
        </is>
      </c>
      <c r="I38" t="n">
        <v>4.8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Älg</t>
        </is>
      </c>
      <c r="W38">
        <f>HYPERLINK("https://klasma.github.io/Logging_2182/artfynd/A 17412-2023 artfynd.xlsx", "A 17412-2023")</f>
        <v/>
      </c>
      <c r="X38">
        <f>HYPERLINK("https://klasma.github.io/Logging_2182/kartor/A 17412-2023 karta.png", "A 17412-2023")</f>
        <v/>
      </c>
      <c r="Y38">
        <f>HYPERLINK("https://klasma.github.io/Logging_2182/kartor_geotiff/A 17412-2023 georefererad karta.tif", "A 17412-2023")</f>
        <v/>
      </c>
      <c r="AA38">
        <f>HYPERLINK("https://klasma.github.io/Logging_2182/klagomål/A 17412-2023 FSC-klagomål.docx", "A 17412-2023")</f>
        <v/>
      </c>
      <c r="AB38">
        <f>HYPERLINK("https://klasma.github.io/Logging_2182/klagomålsmail/A 17412-2023 FSC-klagomål mail.docx", "A 17412-2023")</f>
        <v/>
      </c>
      <c r="AC38">
        <f>HYPERLINK("https://klasma.github.io/Logging_2182/tillsyn/A 17412-2023 tillsynsbegäran.docx", "A 17412-2023")</f>
        <v/>
      </c>
      <c r="AD38">
        <f>HYPERLINK("https://klasma.github.io/Logging_2182/tillsynsmail/A 17412-2023 tillsynsbegäran mail.docx", "A 17412-2023")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46289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46289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46289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46289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Barkticka</t>
        </is>
      </c>
      <c r="W42">
        <f>HYPERLINK("https://klasma.github.io/Logging_2182/artfynd/A 6060-2026 artfynd.xlsx", "A 6060-2026")</f>
        <v/>
      </c>
      <c r="X42">
        <f>HYPERLINK("https://klasma.github.io/Logging_2182/kartor/A 6060-2026 karta.png", "A 6060-2026")</f>
        <v/>
      </c>
      <c r="Y42">
        <f>HYPERLINK("https://klasma.github.io/Logging_2182/kartor_geotiff/A 6060-2026 georefererad karta.tif", "A 6060-2026")</f>
        <v/>
      </c>
      <c r="AA42">
        <f>HYPERLINK("https://klasma.github.io/Logging_2182/klagomål/A 6060-2026 FSC-klagomål.docx", "A 6060-2026")</f>
        <v/>
      </c>
      <c r="AB42">
        <f>HYPERLINK("https://klasma.github.io/Logging_2182/klagomålsmail/A 6060-2026 FSC-klagomål mail.docx", "A 6060-2026")</f>
        <v/>
      </c>
      <c r="AC42">
        <f>HYPERLINK("https://klasma.github.io/Logging_2182/tillsyn/A 6060-2026 tillsynsbegäran.docx", "A 6060-2026")</f>
        <v/>
      </c>
      <c r="AD42">
        <f>HYPERLINK("https://klasma.github.io/Logging_2182/tillsynsmail/A 6060-2026 tillsynsbegäran mail.docx", "A 6060-2026")</f>
        <v/>
      </c>
    </row>
    <row r="43" ht="15" customHeight="1">
      <c r="A43" t="inlineStr">
        <is>
          <t>A 19700-2023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45051</v>
      </c>
      <c r="E43" s="1" t="n">
        <v>46289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Ängsblåvinge</t>
        </is>
      </c>
      <c r="W43">
        <f>HYPERLINK("https://klasma.github.io/Logging_2182/artfynd/A 19700-2023 artfynd.xlsx", "A 19700-2023")</f>
        <v/>
      </c>
      <c r="X43">
        <f>HYPERLINK("https://klasma.github.io/Logging_2182/kartor/A 19700-2023 karta.png", "A 19700-2023")</f>
        <v/>
      </c>
      <c r="Y43">
        <f>HYPERLINK("https://klasma.github.io/Logging_2182/kartor_geotiff/A 19700-2023 georefererad karta.tif", "A 19700-2023")</f>
        <v/>
      </c>
      <c r="AA43">
        <f>HYPERLINK("https://klasma.github.io/Logging_2182/klagomål/A 19700-2023 FSC-klagomål.docx", "A 19700-2023")</f>
        <v/>
      </c>
      <c r="AB43">
        <f>HYPERLINK("https://klasma.github.io/Logging_2182/klagomålsmail/A 19700-2023 FSC-klagomål mail.docx", "A 19700-2023")</f>
        <v/>
      </c>
      <c r="AC43">
        <f>HYPERLINK("https://klasma.github.io/Logging_2182/tillsyn/A 19700-2023 tillsynsbegäran.docx", "A 19700-2023")</f>
        <v/>
      </c>
      <c r="AD43">
        <f>HYPERLINK("https://klasma.github.io/Logging_2182/tillsynsmail/A 19700-2023 tillsynsbegäran mail.docx", "A 19700-2023")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46289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HYPERLINK("https://klasma.github.io/Logging_2182/artfynd/A 9284-2026 artfynd.xlsx", "A 9284-2026")</f>
        <v/>
      </c>
      <c r="X44">
        <f>HYPERLINK("https://klasma.github.io/Logging_2182/kartor/A 9284-2026 karta.png", "A 9284-2026")</f>
        <v/>
      </c>
      <c r="Y44">
        <f>HYPERLINK("https://klasma.github.io/Logging_2182/kartor_geotiff/A 9284-2026 georefererad karta.tif", "A 9284-2026")</f>
        <v/>
      </c>
      <c r="Z44">
        <f>HYPERLINK("https://klasma.github.io/Logging_2182/knärot/A 9284-2026 karta knärot.png", "A 9284-2026")</f>
        <v/>
      </c>
      <c r="AA44">
        <f>HYPERLINK("https://klasma.github.io/Logging_2182/klagomål/A 9284-2026 FSC-klagomål.docx", "A 9284-2026")</f>
        <v/>
      </c>
      <c r="AB44">
        <f>HYPERLINK("https://klasma.github.io/Logging_2182/klagomålsmail/A 9284-2026 FSC-klagomål mail.docx", "A 9284-2026")</f>
        <v/>
      </c>
      <c r="AC44">
        <f>HYPERLINK("https://klasma.github.io/Logging_2182/tillsyn/A 9284-2026 tillsynsbegäran.docx", "A 9284-2026")</f>
        <v/>
      </c>
      <c r="AD44">
        <f>HYPERLINK("https://klasma.github.io/Logging_2182/tillsynsmail/A 9284-2026 tillsynsbegäran mail.docx", "A 9284-2026")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46289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46289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54608-2024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46289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HYPERLINK("https://klasma.github.io/Logging_2182/artfynd/A 54608-2024 artfynd.xlsx", "A 54608-2024")</f>
        <v/>
      </c>
      <c r="X47">
        <f>HYPERLINK("https://klasma.github.io/Logging_2182/kartor/A 54608-2024 karta.png", "A 54608-2024")</f>
        <v/>
      </c>
      <c r="Y47">
        <f>HYPERLINK("https://klasma.github.io/Logging_2182/kartor_geotiff/A 54608-2024 georefererad karta.tif", "A 54608-2024")</f>
        <v/>
      </c>
      <c r="AA47">
        <f>HYPERLINK("https://klasma.github.io/Logging_2182/klagomål/A 54608-2024 FSC-klagomål.docx", "A 54608-2024")</f>
        <v/>
      </c>
      <c r="AB47">
        <f>HYPERLINK("https://klasma.github.io/Logging_2182/klagomålsmail/A 54608-2024 FSC-klagomål mail.docx", "A 54608-2024")</f>
        <v/>
      </c>
      <c r="AC47">
        <f>HYPERLINK("https://klasma.github.io/Logging_2182/tillsyn/A 54608-2024 tillsynsbegäran.docx", "A 54608-2024")</f>
        <v/>
      </c>
      <c r="AD47">
        <f>HYPERLINK("https://klasma.github.io/Logging_2182/tillsynsmail/A 54608-2024 tillsynsbegäran mail.docx", "A 54608-2024")</f>
        <v/>
      </c>
    </row>
    <row r="48" ht="15" customHeight="1">
      <c r="A48" t="inlineStr">
        <is>
          <t>A 57441-2024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46289</v>
      </c>
      <c r="F48" t="inlineStr">
        <is>
          <t>GÄVLEBORGS LÄN</t>
        </is>
      </c>
      <c r="G48" t="inlineStr">
        <is>
          <t>SÖDERHAMN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Ullticka</t>
        </is>
      </c>
      <c r="W48">
        <f>HYPERLINK("https://klasma.github.io/Logging_2182/artfynd/A 57441-2024 artfynd.xlsx", "A 57441-2024")</f>
        <v/>
      </c>
      <c r="X48">
        <f>HYPERLINK("https://klasma.github.io/Logging_2182/kartor/A 57441-2024 karta.png", "A 57441-2024")</f>
        <v/>
      </c>
      <c r="Y48">
        <f>HYPERLINK("https://klasma.github.io/Logging_2182/kartor_geotiff/A 57441-2024 georefererad karta.tif", "A 57441-2024")</f>
        <v/>
      </c>
      <c r="AA48">
        <f>HYPERLINK("https://klasma.github.io/Logging_2182/klagomål/A 57441-2024 FSC-klagomål.docx", "A 57441-2024")</f>
        <v/>
      </c>
      <c r="AB48">
        <f>HYPERLINK("https://klasma.github.io/Logging_2182/klagomålsmail/A 57441-2024 FSC-klagomål mail.docx", "A 57441-2024")</f>
        <v/>
      </c>
      <c r="AC48">
        <f>HYPERLINK("https://klasma.github.io/Logging_2182/tillsyn/A 57441-2024 tillsynsbegäran.docx", "A 57441-2024")</f>
        <v/>
      </c>
      <c r="AD48">
        <f>HYPERLINK("https://klasma.github.io/Logging_2182/tillsynsmail/A 57441-2024 tillsynsbegäran mail.docx", "A 57441-2024")</f>
        <v/>
      </c>
    </row>
    <row r="49" ht="15" customHeight="1">
      <c r="A49" t="inlineStr">
        <is>
          <t>A 43682-2024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45569</v>
      </c>
      <c r="E49" s="1" t="n">
        <v>46289</v>
      </c>
      <c r="F49" t="inlineStr">
        <is>
          <t>GÄVLEBORGS LÄN</t>
        </is>
      </c>
      <c r="G49" t="inlineStr">
        <is>
          <t>SÖDERHAMN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Garnlav</t>
        </is>
      </c>
      <c r="W49">
        <f>HYPERLINK("https://klasma.github.io/Logging_2182/artfynd/A 43682-2024 artfynd.xlsx", "A 43682-2024")</f>
        <v/>
      </c>
      <c r="X49">
        <f>HYPERLINK("https://klasma.github.io/Logging_2182/kartor/A 43682-2024 karta.png", "A 43682-2024")</f>
        <v/>
      </c>
      <c r="Y49">
        <f>HYPERLINK("https://klasma.github.io/Logging_2182/kartor_geotiff/A 43682-2024 georefererad karta.tif", "A 43682-2024")</f>
        <v/>
      </c>
      <c r="AA49">
        <f>HYPERLINK("https://klasma.github.io/Logging_2182/klagomål/A 43682-2024 FSC-klagomål.docx", "A 43682-2024")</f>
        <v/>
      </c>
      <c r="AB49">
        <f>HYPERLINK("https://klasma.github.io/Logging_2182/klagomålsmail/A 43682-2024 FSC-klagomål mail.docx", "A 43682-2024")</f>
        <v/>
      </c>
      <c r="AC49">
        <f>HYPERLINK("https://klasma.github.io/Logging_2182/tillsyn/A 43682-2024 tillsynsbegäran.docx", "A 43682-2024")</f>
        <v/>
      </c>
      <c r="AD49">
        <f>HYPERLINK("https://klasma.github.io/Logging_2182/tillsynsmail/A 43682-2024 tillsynsbegäran mail.docx", "A 43682-2024")</f>
        <v/>
      </c>
    </row>
    <row r="50" ht="15" customHeight="1">
      <c r="A50" t="inlineStr">
        <is>
          <t>A 21316-2024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45440</v>
      </c>
      <c r="E50" s="1" t="n">
        <v>46289</v>
      </c>
      <c r="F50" t="inlineStr">
        <is>
          <t>GÄVLEBORGS LÄN</t>
        </is>
      </c>
      <c r="G50" t="inlineStr">
        <is>
          <t>SÖDERHAMN</t>
        </is>
      </c>
      <c r="H50" t="inlineStr">
        <is>
          <t>Kommuner</t>
        </is>
      </c>
      <c r="I50" t="n">
        <v>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Brunfläckig pärlemorfjäril</t>
        </is>
      </c>
      <c r="W50">
        <f>HYPERLINK("https://klasma.github.io/Logging_2182/artfynd/A 21316-2024 artfynd.xlsx", "A 21316-2024")</f>
        <v/>
      </c>
      <c r="X50">
        <f>HYPERLINK("https://klasma.github.io/Logging_2182/kartor/A 21316-2024 karta.png", "A 21316-2024")</f>
        <v/>
      </c>
      <c r="Y50">
        <f>HYPERLINK("https://klasma.github.io/Logging_2182/kartor_geotiff/A 21316-2024 georefererad karta.tif", "A 21316-2024")</f>
        <v/>
      </c>
      <c r="AA50">
        <f>HYPERLINK("https://klasma.github.io/Logging_2182/klagomål/A 21316-2024 FSC-klagomål.docx", "A 21316-2024")</f>
        <v/>
      </c>
      <c r="AB50">
        <f>HYPERLINK("https://klasma.github.io/Logging_2182/klagomålsmail/A 21316-2024 FSC-klagomål mail.docx", "A 21316-2024")</f>
        <v/>
      </c>
      <c r="AC50">
        <f>HYPERLINK("https://klasma.github.io/Logging_2182/tillsyn/A 21316-2024 tillsynsbegäran.docx", "A 21316-2024")</f>
        <v/>
      </c>
      <c r="AD50">
        <f>HYPERLINK("https://klasma.github.io/Logging_2182/tillsynsmail/A 21316-2024 tillsynsbegäran mail.docx", "A 21316-2024")</f>
        <v/>
      </c>
    </row>
    <row r="51" ht="15" customHeight="1">
      <c r="A51" t="inlineStr">
        <is>
          <t>A 55768-2025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45972</v>
      </c>
      <c r="E51" s="1" t="n">
        <v>46289</v>
      </c>
      <c r="F51" t="inlineStr">
        <is>
          <t>GÄVLEBORGS LÄN</t>
        </is>
      </c>
      <c r="G51" t="inlineStr">
        <is>
          <t>SÖDERHAMN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Sydlig ladlav</t>
        </is>
      </c>
      <c r="W51">
        <f>HYPERLINK("https://klasma.github.io/Logging_2182/artfynd/A 55768-2025 artfynd.xlsx", "A 55768-2025")</f>
        <v/>
      </c>
      <c r="X51">
        <f>HYPERLINK("https://klasma.github.io/Logging_2182/kartor/A 55768-2025 karta.png", "A 55768-2025")</f>
        <v/>
      </c>
      <c r="Y51">
        <f>HYPERLINK("https://klasma.github.io/Logging_2182/kartor_geotiff/A 55768-2025 georefererad karta.tif", "A 55768-2025")</f>
        <v/>
      </c>
      <c r="AA51">
        <f>HYPERLINK("https://klasma.github.io/Logging_2182/klagomål/A 55768-2025 FSC-klagomål.docx", "A 55768-2025")</f>
        <v/>
      </c>
      <c r="AB51">
        <f>HYPERLINK("https://klasma.github.io/Logging_2182/klagomålsmail/A 55768-2025 FSC-klagomål mail.docx", "A 55768-2025")</f>
        <v/>
      </c>
      <c r="AC51">
        <f>HYPERLINK("https://klasma.github.io/Logging_2182/tillsyn/A 55768-2025 tillsynsbegäran.docx", "A 55768-2025")</f>
        <v/>
      </c>
      <c r="AD51">
        <f>HYPERLINK("https://klasma.github.io/Logging_2182/tillsynsmail/A 55768-2025 tillsynsbegäran mail.docx", "A 55768-2025")</f>
        <v/>
      </c>
    </row>
    <row r="52" ht="15" customHeight="1">
      <c r="A52" t="inlineStr">
        <is>
          <t>A 11791-2026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46085</v>
      </c>
      <c r="E52" s="1" t="n">
        <v>46289</v>
      </c>
      <c r="F52" t="inlineStr">
        <is>
          <t>GÄVLEBORGS LÄN</t>
        </is>
      </c>
      <c r="G52" t="inlineStr">
        <is>
          <t>SÖDERHAMN</t>
        </is>
      </c>
      <c r="I52" t="n">
        <v>8.1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HYPERLINK("https://klasma.github.io/Logging_2182/artfynd/A 11791-2026 artfynd.xlsx", "A 11791-2026")</f>
        <v/>
      </c>
      <c r="X52">
        <f>HYPERLINK("https://klasma.github.io/Logging_2182/kartor/A 11791-2026 karta.png", "A 11791-2026")</f>
        <v/>
      </c>
      <c r="Y52">
        <f>HYPERLINK("https://klasma.github.io/Logging_2182/kartor_geotiff/A 11791-2026 georefererad karta.tif", "A 11791-2026")</f>
        <v/>
      </c>
      <c r="AA52">
        <f>HYPERLINK("https://klasma.github.io/Logging_2182/klagomål/A 11791-2026 FSC-klagomål.docx", "A 11791-2026")</f>
        <v/>
      </c>
      <c r="AB52">
        <f>HYPERLINK("https://klasma.github.io/Logging_2182/klagomålsmail/A 11791-2026 FSC-klagomål mail.docx", "A 11791-2026")</f>
        <v/>
      </c>
      <c r="AC52">
        <f>HYPERLINK("https://klasma.github.io/Logging_2182/tillsyn/A 11791-2026 tillsynsbegäran.docx", "A 11791-2026")</f>
        <v/>
      </c>
      <c r="AD52">
        <f>HYPERLINK("https://klasma.github.io/Logging_2182/tillsynsmail/A 11791-2026 tillsynsbegäran mail.docx", "A 11791-2026")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46289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46289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46289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46289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46289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46289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46289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46289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46289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46289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46289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46289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46289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46289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46289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46289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46289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46289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46289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46289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46289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46289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46289</v>
      </c>
      <c r="F81" t="inlineStr">
        <is>
          <t>GÄVLEBORGS LÄN</t>
        </is>
      </c>
      <c r="G81" t="inlineStr">
        <is>
          <t>SÖDERHAMN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46289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34725-2022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46289</v>
      </c>
      <c r="F83" t="inlineStr">
        <is>
          <t>GÄVLEBORGS LÄN</t>
        </is>
      </c>
      <c r="G83" t="inlineStr">
        <is>
          <t>SÖDERHAMN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45544</v>
      </c>
      <c r="E84" s="1" t="n">
        <v>46289</v>
      </c>
      <c r="F84" t="inlineStr">
        <is>
          <t>GÄVLEBORGS LÄN</t>
        </is>
      </c>
      <c r="G84" t="inlineStr">
        <is>
          <t>SÖDERHAMN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45149</v>
      </c>
      <c r="E85" s="1" t="n">
        <v>46289</v>
      </c>
      <c r="F85" t="inlineStr">
        <is>
          <t>GÄVLEBORGS LÄN</t>
        </is>
      </c>
      <c r="G85" t="inlineStr">
        <is>
          <t>SÖDERHAMN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45666</v>
      </c>
      <c r="E86" s="1" t="n">
        <v>46289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46289</v>
      </c>
      <c r="F87" t="inlineStr">
        <is>
          <t>GÄVLEBORGS LÄN</t>
        </is>
      </c>
      <c r="G87" t="inlineStr">
        <is>
          <t>SÖDERHAMN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46289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46289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57500-2023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45246</v>
      </c>
      <c r="E90" s="1" t="n">
        <v>46289</v>
      </c>
      <c r="F90" t="inlineStr">
        <is>
          <t>GÄVLEBORGS LÄN</t>
        </is>
      </c>
      <c r="G90" t="inlineStr">
        <is>
          <t>SÖDERHAMN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46289</v>
      </c>
      <c r="F91" t="inlineStr">
        <is>
          <t>GÄVLEBORGS LÄN</t>
        </is>
      </c>
      <c r="G91" t="inlineStr">
        <is>
          <t>SÖDERHAMN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46289</v>
      </c>
      <c r="F92" t="inlineStr">
        <is>
          <t>GÄVLEBORGS LÄN</t>
        </is>
      </c>
      <c r="G92" t="inlineStr">
        <is>
          <t>SÖDERHAMN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46289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46289</v>
      </c>
      <c r="F94" t="inlineStr">
        <is>
          <t>GÄVLEBORGS LÄN</t>
        </is>
      </c>
      <c r="G94" t="inlineStr">
        <is>
          <t>SÖDERHAMN</t>
        </is>
      </c>
      <c r="I94" t="n">
        <v>11.2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46289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26554-2022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46289</v>
      </c>
      <c r="F96" t="inlineStr">
        <is>
          <t>GÄVLEBORGS LÄN</t>
        </is>
      </c>
      <c r="G96" t="inlineStr">
        <is>
          <t>SÖDERHAMN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46289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46289</v>
      </c>
      <c r="F98" t="inlineStr">
        <is>
          <t>GÄVLEBORGS LÄN</t>
        </is>
      </c>
      <c r="G98" t="inlineStr">
        <is>
          <t>SÖDERHAMN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45698</v>
      </c>
      <c r="E99" s="1" t="n">
        <v>46289</v>
      </c>
      <c r="F99" t="inlineStr">
        <is>
          <t>GÄVLEBORGS LÄN</t>
        </is>
      </c>
      <c r="G99" t="inlineStr">
        <is>
          <t>SÖDERHAMN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46289</v>
      </c>
      <c r="F100" t="inlineStr">
        <is>
          <t>GÄVLEBORGS LÄN</t>
        </is>
      </c>
      <c r="G100" t="inlineStr">
        <is>
          <t>SÖDERHAMN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45565</v>
      </c>
      <c r="E101" s="1" t="n">
        <v>46289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45762</v>
      </c>
      <c r="E102" s="1" t="n">
        <v>46289</v>
      </c>
      <c r="F102" t="inlineStr">
        <is>
          <t>GÄVLEBORGS LÄN</t>
        </is>
      </c>
      <c r="G102" t="inlineStr">
        <is>
          <t>SÖDERHAMN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44846</v>
      </c>
      <c r="E103" s="1" t="n">
        <v>46289</v>
      </c>
      <c r="F103" t="inlineStr">
        <is>
          <t>GÄVLEBORGS LÄN</t>
        </is>
      </c>
      <c r="G103" t="inlineStr">
        <is>
          <t>SÖDERHAMN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45327</v>
      </c>
      <c r="E104" s="1" t="n">
        <v>46289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45183</v>
      </c>
      <c r="E105" s="1" t="n">
        <v>46289</v>
      </c>
      <c r="F105" t="inlineStr">
        <is>
          <t>GÄVLEBORGS LÄN</t>
        </is>
      </c>
      <c r="G105" t="inlineStr">
        <is>
          <t>SÖDERHAMN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44856</v>
      </c>
      <c r="E106" s="1" t="n">
        <v>46289</v>
      </c>
      <c r="F106" t="inlineStr">
        <is>
          <t>GÄVLEBORGS LÄN</t>
        </is>
      </c>
      <c r="G106" t="inlineStr">
        <is>
          <t>SÖDERHAMN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46289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45775</v>
      </c>
      <c r="E108" s="1" t="n">
        <v>46289</v>
      </c>
      <c r="F108" t="inlineStr">
        <is>
          <t>GÄVLEBORGS LÄN</t>
        </is>
      </c>
      <c r="G108" t="inlineStr">
        <is>
          <t>SÖDERHAMN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46289</v>
      </c>
      <c r="F109" t="inlineStr">
        <is>
          <t>GÄVLEBORGS LÄN</t>
        </is>
      </c>
      <c r="G109" t="inlineStr">
        <is>
          <t>SÖDERHAMN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6792-2024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45342</v>
      </c>
      <c r="E110" s="1" t="n">
        <v>46289</v>
      </c>
      <c r="F110" t="inlineStr">
        <is>
          <t>GÄVLEBORGS LÄN</t>
        </is>
      </c>
      <c r="G110" t="inlineStr">
        <is>
          <t>SÖDERHAMN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46289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46289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40745-2023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45170</v>
      </c>
      <c r="E113" s="1" t="n">
        <v>46289</v>
      </c>
      <c r="F113" t="inlineStr">
        <is>
          <t>GÄVLEBORGS LÄN</t>
        </is>
      </c>
      <c r="G113" t="inlineStr">
        <is>
          <t>SÖDERHAMN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45791</v>
      </c>
      <c r="E114" s="1" t="n">
        <v>46289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45750</v>
      </c>
      <c r="E115" s="1" t="n">
        <v>46289</v>
      </c>
      <c r="F115" t="inlineStr">
        <is>
          <t>GÄVLEBORGS LÄN</t>
        </is>
      </c>
      <c r="G115" t="inlineStr">
        <is>
          <t>SÖDERHAMN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45750</v>
      </c>
      <c r="E116" s="1" t="n">
        <v>46289</v>
      </c>
      <c r="F116" t="inlineStr">
        <is>
          <t>GÄVLEBORGS LÄN</t>
        </is>
      </c>
      <c r="G116" t="inlineStr">
        <is>
          <t>SÖDERHAMN</t>
        </is>
      </c>
      <c r="H116" t="inlineStr">
        <is>
          <t>Kommuner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46289</v>
      </c>
      <c r="F117" t="inlineStr">
        <is>
          <t>GÄVLEBORGS LÄN</t>
        </is>
      </c>
      <c r="G117" t="inlineStr">
        <is>
          <t>SÖDERHAMN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23307-2025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46289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13.5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18505-2024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46289</v>
      </c>
      <c r="F119" t="inlineStr">
        <is>
          <t>GÄVLEBORGS LÄN</t>
        </is>
      </c>
      <c r="G119" t="inlineStr">
        <is>
          <t>SÖDERHAMN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46289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46289</v>
      </c>
      <c r="F121" t="inlineStr">
        <is>
          <t>GÄVLEBORGS LÄN</t>
        </is>
      </c>
      <c r="G121" t="inlineStr">
        <is>
          <t>SÖDERHAMN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45373</v>
      </c>
      <c r="E122" s="1" t="n">
        <v>46289</v>
      </c>
      <c r="F122" t="inlineStr">
        <is>
          <t>GÄVLEBORGS LÄN</t>
        </is>
      </c>
      <c r="G122" t="inlineStr">
        <is>
          <t>SÖDERHAMN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45428</v>
      </c>
      <c r="E123" s="1" t="n">
        <v>46289</v>
      </c>
      <c r="F123" t="inlineStr">
        <is>
          <t>GÄVLEBORGS LÄN</t>
        </is>
      </c>
      <c r="G123" t="inlineStr">
        <is>
          <t>SÖDERHAMN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45527</v>
      </c>
      <c r="E124" s="1" t="n">
        <v>46289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21789-2024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45442</v>
      </c>
      <c r="E125" s="1" t="n">
        <v>46289</v>
      </c>
      <c r="F125" t="inlineStr">
        <is>
          <t>GÄVLEBORGS LÄN</t>
        </is>
      </c>
      <c r="G125" t="inlineStr">
        <is>
          <t>SÖDERHAMN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44823</v>
      </c>
      <c r="E126" s="1" t="n">
        <v>46289</v>
      </c>
      <c r="F126" t="inlineStr">
        <is>
          <t>GÄVLEBORGS LÄN</t>
        </is>
      </c>
      <c r="G126" t="inlineStr">
        <is>
          <t>SÖDERHAMN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46289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46289</v>
      </c>
      <c r="F128" t="inlineStr">
        <is>
          <t>GÄVLEBORGS LÄN</t>
        </is>
      </c>
      <c r="G128" t="inlineStr">
        <is>
          <t>SÖDERHAMN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46289</v>
      </c>
      <c r="F129" t="inlineStr">
        <is>
          <t>GÄVLEBORGS LÄN</t>
        </is>
      </c>
      <c r="G129" t="inlineStr">
        <is>
          <t>SÖDERHAMN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46289</v>
      </c>
      <c r="F130" t="inlineStr">
        <is>
          <t>GÄVLEBORGS LÄN</t>
        </is>
      </c>
      <c r="G130" t="inlineStr">
        <is>
          <t>SÖDERHAMN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46289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46289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60292-2024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46289</v>
      </c>
      <c r="F133" t="inlineStr">
        <is>
          <t>GÄVLEBORGS LÄN</t>
        </is>
      </c>
      <c r="G133" t="inlineStr">
        <is>
          <t>SÖDERHAMN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46289</v>
      </c>
      <c r="F134" t="inlineStr">
        <is>
          <t>GÄVLEBORGS LÄN</t>
        </is>
      </c>
      <c r="G134" t="inlineStr">
        <is>
          <t>SÖDERHAMN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31676-2022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44776</v>
      </c>
      <c r="E135" s="1" t="n">
        <v>46289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45453</v>
      </c>
      <c r="E136" s="1" t="n">
        <v>46289</v>
      </c>
      <c r="F136" t="inlineStr">
        <is>
          <t>GÄVLEBORGS LÄN</t>
        </is>
      </c>
      <c r="G136" t="inlineStr">
        <is>
          <t>SÖDERHAMN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46289</v>
      </c>
      <c r="F137" t="inlineStr">
        <is>
          <t>GÄVLEBORGS LÄN</t>
        </is>
      </c>
      <c r="G137" t="inlineStr">
        <is>
          <t>SÖDERHAMN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46289</v>
      </c>
      <c r="F138" t="inlineStr">
        <is>
          <t>GÄVLEBORGS LÄN</t>
        </is>
      </c>
      <c r="G138" t="inlineStr">
        <is>
          <t>SÖDERHAMN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46289</v>
      </c>
      <c r="F139" t="inlineStr">
        <is>
          <t>GÄVLEBORGS LÄN</t>
        </is>
      </c>
      <c r="G139" t="inlineStr">
        <is>
          <t>SÖDERHAMN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46289</v>
      </c>
      <c r="F140" t="inlineStr">
        <is>
          <t>GÄVLEBORGS LÄN</t>
        </is>
      </c>
      <c r="G140" t="inlineStr">
        <is>
          <t>SÖDERHAMN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46289</v>
      </c>
      <c r="F141" t="inlineStr">
        <is>
          <t>GÄVLEBORGS LÄN</t>
        </is>
      </c>
      <c r="G141" t="inlineStr">
        <is>
          <t>SÖDERHAMN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46289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46289</v>
      </c>
      <c r="F143" t="inlineStr">
        <is>
          <t>GÄVLEBORGS LÄN</t>
        </is>
      </c>
      <c r="G143" t="inlineStr">
        <is>
          <t>SÖDERHAMN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58544-2023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45251</v>
      </c>
      <c r="E144" s="1" t="n">
        <v>46289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46289</v>
      </c>
      <c r="F145" t="inlineStr">
        <is>
          <t>GÄVLEBORGS LÄN</t>
        </is>
      </c>
      <c r="G145" t="inlineStr">
        <is>
          <t>SÖDERHAMN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45264</v>
      </c>
      <c r="E146" s="1" t="n">
        <v>46289</v>
      </c>
      <c r="F146" t="inlineStr">
        <is>
          <t>GÄVLEBORGS LÄN</t>
        </is>
      </c>
      <c r="G146" t="inlineStr">
        <is>
          <t>SÖDERHAMN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11075-2023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44992</v>
      </c>
      <c r="E147" s="1" t="n">
        <v>46289</v>
      </c>
      <c r="F147" t="inlineStr">
        <is>
          <t>GÄVLEBORGS LÄN</t>
        </is>
      </c>
      <c r="G147" t="inlineStr">
        <is>
          <t>SÖDERHAMN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72644-2021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44546</v>
      </c>
      <c r="E148" s="1" t="n">
        <v>46289</v>
      </c>
      <c r="F148" t="inlineStr">
        <is>
          <t>GÄVLEBORGS LÄN</t>
        </is>
      </c>
      <c r="G148" t="inlineStr">
        <is>
          <t>SÖDERHAMN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46289</v>
      </c>
      <c r="F149" t="inlineStr">
        <is>
          <t>GÄVLEBORGS LÄN</t>
        </is>
      </c>
      <c r="G149" t="inlineStr">
        <is>
          <t>SÖDERHAMN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46289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46289</v>
      </c>
      <c r="F151" t="inlineStr">
        <is>
          <t>GÄVLEBORGS LÄN</t>
        </is>
      </c>
      <c r="G151" t="inlineStr">
        <is>
          <t>SÖDERHAMN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24766-2023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45084</v>
      </c>
      <c r="E152" s="1" t="n">
        <v>46289</v>
      </c>
      <c r="F152" t="inlineStr">
        <is>
          <t>GÄVLEBORGS LÄN</t>
        </is>
      </c>
      <c r="G152" t="inlineStr">
        <is>
          <t>SÖDERHAMN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46289</v>
      </c>
      <c r="F153" t="inlineStr">
        <is>
          <t>GÄVLEBORGS LÄN</t>
        </is>
      </c>
      <c r="G153" t="inlineStr">
        <is>
          <t>SÖDERHAMN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46289</v>
      </c>
      <c r="F154" t="inlineStr">
        <is>
          <t>GÄVLEBORGS LÄN</t>
        </is>
      </c>
      <c r="G154" t="inlineStr">
        <is>
          <t>SÖDERHAMN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45560</v>
      </c>
      <c r="E155" s="1" t="n">
        <v>46289</v>
      </c>
      <c r="F155" t="inlineStr">
        <is>
          <t>GÄVLEBORGS LÄN</t>
        </is>
      </c>
      <c r="G155" t="inlineStr">
        <is>
          <t>SÖDERHAMN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45560</v>
      </c>
      <c r="E156" s="1" t="n">
        <v>46289</v>
      </c>
      <c r="F156" t="inlineStr">
        <is>
          <t>GÄVLEBORGS LÄN</t>
        </is>
      </c>
      <c r="G156" t="inlineStr">
        <is>
          <t>SÖDERHAMN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45278</v>
      </c>
      <c r="E157" s="1" t="n">
        <v>46289</v>
      </c>
      <c r="F157" t="inlineStr">
        <is>
          <t>GÄVLEBORGS LÄN</t>
        </is>
      </c>
      <c r="G157" t="inlineStr">
        <is>
          <t>SÖDERHAMN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46289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46289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46289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45545</v>
      </c>
      <c r="E161" s="1" t="n">
        <v>46289</v>
      </c>
      <c r="F161" t="inlineStr">
        <is>
          <t>GÄVLEBORGS LÄN</t>
        </is>
      </c>
      <c r="G161" t="inlineStr">
        <is>
          <t>SÖDERHAMN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45545</v>
      </c>
      <c r="E162" s="1" t="n">
        <v>46289</v>
      </c>
      <c r="F162" t="inlineStr">
        <is>
          <t>GÄVLEBORGS LÄN</t>
        </is>
      </c>
      <c r="G162" t="inlineStr">
        <is>
          <t>SÖDERHAMN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46289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45899</v>
      </c>
      <c r="E164" s="1" t="n">
        <v>46289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46289</v>
      </c>
      <c r="F165" t="inlineStr">
        <is>
          <t>GÄVLEBORGS LÄN</t>
        </is>
      </c>
      <c r="G165" t="inlineStr">
        <is>
          <t>SÖDERHAMN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46289</v>
      </c>
      <c r="F166" t="inlineStr">
        <is>
          <t>GÄVLEBORGS LÄN</t>
        </is>
      </c>
      <c r="G166" t="inlineStr">
        <is>
          <t>SÖDERHAMN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45467</v>
      </c>
      <c r="E167" s="1" t="n">
        <v>46289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46289</v>
      </c>
      <c r="F168" t="inlineStr">
        <is>
          <t>GÄVLEBORGS LÄN</t>
        </is>
      </c>
      <c r="G168" t="inlineStr">
        <is>
          <t>SÖDERHAMN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46289</v>
      </c>
      <c r="F169" t="inlineStr">
        <is>
          <t>GÄVLEBORGS LÄN</t>
        </is>
      </c>
      <c r="G169" t="inlineStr">
        <is>
          <t>SÖDERHAMN</t>
        </is>
      </c>
      <c r="H169" t="inlineStr">
        <is>
          <t>Kommuner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45012</v>
      </c>
      <c r="E170" s="1" t="n">
        <v>46289</v>
      </c>
      <c r="F170" t="inlineStr">
        <is>
          <t>GÄVLEBORGS LÄN</t>
        </is>
      </c>
      <c r="G170" t="inlineStr">
        <is>
          <t>SÖDERHAMN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37837-2024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46289</v>
      </c>
      <c r="F171" t="inlineStr">
        <is>
          <t>GÄVLEBORGS LÄN</t>
        </is>
      </c>
      <c r="G171" t="inlineStr">
        <is>
          <t>SÖDERHAMN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46289</v>
      </c>
      <c r="F172" t="inlineStr">
        <is>
          <t>GÄVLEBORGS LÄN</t>
        </is>
      </c>
      <c r="G172" t="inlineStr">
        <is>
          <t>SÖDERHAMN</t>
        </is>
      </c>
      <c r="H172" t="inlineStr">
        <is>
          <t>Bergvik skog väst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45062</v>
      </c>
      <c r="E173" s="1" t="n">
        <v>46289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46289</v>
      </c>
      <c r="F174" t="inlineStr">
        <is>
          <t>GÄVLEBORGS LÄN</t>
        </is>
      </c>
      <c r="G174" t="inlineStr">
        <is>
          <t>SÖDERHAMN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46289</v>
      </c>
      <c r="F175" t="inlineStr">
        <is>
          <t>GÄVLEBORGS LÄN</t>
        </is>
      </c>
      <c r="G175" t="inlineStr">
        <is>
          <t>SÖDERHAMN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45432</v>
      </c>
      <c r="E176" s="1" t="n">
        <v>46289</v>
      </c>
      <c r="F176" t="inlineStr">
        <is>
          <t>GÄVLEBORGS LÄN</t>
        </is>
      </c>
      <c r="G176" t="inlineStr">
        <is>
          <t>SÖDERHAMN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46289</v>
      </c>
      <c r="F177" t="inlineStr">
        <is>
          <t>GÄVLEBORGS LÄN</t>
        </is>
      </c>
      <c r="G177" t="inlineStr">
        <is>
          <t>SÖDERHAMN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46289</v>
      </c>
      <c r="F178" t="inlineStr">
        <is>
          <t>GÄVLEBORGS LÄN</t>
        </is>
      </c>
      <c r="G178" t="inlineStr">
        <is>
          <t>SÖDERHAMN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46289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46289</v>
      </c>
      <c r="F180" t="inlineStr">
        <is>
          <t>GÄVLEBORGS LÄN</t>
        </is>
      </c>
      <c r="G180" t="inlineStr">
        <is>
          <t>SÖDERHAMN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46289</v>
      </c>
      <c r="F181" t="inlineStr">
        <is>
          <t>GÄVLEBORGS LÄN</t>
        </is>
      </c>
      <c r="G181" t="inlineStr">
        <is>
          <t>SÖDERHAMN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24933-2024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45461</v>
      </c>
      <c r="E182" s="1" t="n">
        <v>46289</v>
      </c>
      <c r="F182" t="inlineStr">
        <is>
          <t>GÄVLEBORGS LÄN</t>
        </is>
      </c>
      <c r="G182" t="inlineStr">
        <is>
          <t>SÖDERHAMN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27050-2024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45471</v>
      </c>
      <c r="E183" s="1" t="n">
        <v>46289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10.8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46289</v>
      </c>
      <c r="F184" t="inlineStr">
        <is>
          <t>GÄVLEBORGS LÄN</t>
        </is>
      </c>
      <c r="G184" t="inlineStr">
        <is>
          <t>SÖDERHAMN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46289</v>
      </c>
      <c r="F185" t="inlineStr">
        <is>
          <t>GÄVLEBORGS LÄN</t>
        </is>
      </c>
      <c r="G185" t="inlineStr">
        <is>
          <t>SÖDERHAMN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45428</v>
      </c>
      <c r="E186" s="1" t="n">
        <v>46289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46289</v>
      </c>
      <c r="F187" t="inlineStr">
        <is>
          <t>GÄVLEBORGS LÄN</t>
        </is>
      </c>
      <c r="G187" t="inlineStr">
        <is>
          <t>SÖDERHAMN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45616</v>
      </c>
      <c r="E188" s="1" t="n">
        <v>46289</v>
      </c>
      <c r="F188" t="inlineStr">
        <is>
          <t>GÄVLEBORGS LÄN</t>
        </is>
      </c>
      <c r="G188" t="inlineStr">
        <is>
          <t>SÖDERHAMN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46289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46289</v>
      </c>
      <c r="F190" t="inlineStr">
        <is>
          <t>GÄVLEBORGS LÄN</t>
        </is>
      </c>
      <c r="G190" t="inlineStr">
        <is>
          <t>SÖDERHAMN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46289</v>
      </c>
      <c r="F191" t="inlineStr">
        <is>
          <t>GÄVLEBORGS LÄN</t>
        </is>
      </c>
      <c r="G191" t="inlineStr">
        <is>
          <t>SÖDERHAMN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46289</v>
      </c>
      <c r="F192" t="inlineStr">
        <is>
          <t>GÄVLEBORGS LÄN</t>
        </is>
      </c>
      <c r="G192" t="inlineStr">
        <is>
          <t>SÖDERHAMN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46289</v>
      </c>
      <c r="F193" t="inlineStr">
        <is>
          <t>GÄVLEBORGS LÄN</t>
        </is>
      </c>
      <c r="G193" t="inlineStr">
        <is>
          <t>SÖDERHAMN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46289</v>
      </c>
      <c r="F194" t="inlineStr">
        <is>
          <t>GÄVLEBORGS LÄN</t>
        </is>
      </c>
      <c r="G194" t="inlineStr">
        <is>
          <t>SÖDERHAMN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54799-2022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44883</v>
      </c>
      <c r="E195" s="1" t="n">
        <v>46289</v>
      </c>
      <c r="F195" t="inlineStr">
        <is>
          <t>GÄVLEBORGS LÄN</t>
        </is>
      </c>
      <c r="G195" t="inlineStr">
        <is>
          <t>SÖDERHAMN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45545</v>
      </c>
      <c r="E196" s="1" t="n">
        <v>46289</v>
      </c>
      <c r="F196" t="inlineStr">
        <is>
          <t>GÄVLEBORGS LÄN</t>
        </is>
      </c>
      <c r="G196" t="inlineStr">
        <is>
          <t>SÖDERHAMN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46289</v>
      </c>
      <c r="F197" t="inlineStr">
        <is>
          <t>GÄVLEBORGS LÄN</t>
        </is>
      </c>
      <c r="G197" t="inlineStr">
        <is>
          <t>SÖDERHAMN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45108</v>
      </c>
      <c r="E198" s="1" t="n">
        <v>46289</v>
      </c>
      <c r="F198" t="inlineStr">
        <is>
          <t>GÄVLEBORGS LÄN</t>
        </is>
      </c>
      <c r="G198" t="inlineStr">
        <is>
          <t>SÖDERHAMN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45108</v>
      </c>
      <c r="E199" s="1" t="n">
        <v>46289</v>
      </c>
      <c r="F199" t="inlineStr">
        <is>
          <t>GÄVLEBORGS LÄN</t>
        </is>
      </c>
      <c r="G199" t="inlineStr">
        <is>
          <t>SÖDERHAMN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46289</v>
      </c>
      <c r="F200" t="inlineStr">
        <is>
          <t>GÄVLEBORGS LÄN</t>
        </is>
      </c>
      <c r="G200" t="inlineStr">
        <is>
          <t>SÖDERHAMN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45476</v>
      </c>
      <c r="E201" s="1" t="n">
        <v>46289</v>
      </c>
      <c r="F201" t="inlineStr">
        <is>
          <t>GÄVLEBORGS LÄN</t>
        </is>
      </c>
      <c r="G201" t="inlineStr">
        <is>
          <t>SÖDERHAMN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46289</v>
      </c>
      <c r="F202" t="inlineStr">
        <is>
          <t>GÄVLEBORGS LÄN</t>
        </is>
      </c>
      <c r="G202" t="inlineStr">
        <is>
          <t>SÖDERHAMN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46289</v>
      </c>
      <c r="F203" t="inlineStr">
        <is>
          <t>GÄVLEBORGS LÄN</t>
        </is>
      </c>
      <c r="G203" t="inlineStr">
        <is>
          <t>SÖDERHAMN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46289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46289</v>
      </c>
      <c r="F205" t="inlineStr">
        <is>
          <t>GÄVLEBORGS LÄN</t>
        </is>
      </c>
      <c r="G205" t="inlineStr">
        <is>
          <t>SÖDERHAMN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46289</v>
      </c>
      <c r="F206" t="inlineStr">
        <is>
          <t>GÄVLEBORGS LÄN</t>
        </is>
      </c>
      <c r="G206" t="inlineStr">
        <is>
          <t>SÖDERHAMN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46289</v>
      </c>
      <c r="F207" t="inlineStr">
        <is>
          <t>GÄVLEBORGS LÄN</t>
        </is>
      </c>
      <c r="G207" t="inlineStr">
        <is>
          <t>SÖDERHAMN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44564</v>
      </c>
      <c r="E208" s="1" t="n">
        <v>46289</v>
      </c>
      <c r="F208" t="inlineStr">
        <is>
          <t>GÄVLEBORGS LÄN</t>
        </is>
      </c>
      <c r="G208" t="inlineStr">
        <is>
          <t>SÖDERHAMN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45027</v>
      </c>
      <c r="E209" s="1" t="n">
        <v>46289</v>
      </c>
      <c r="F209" t="inlineStr">
        <is>
          <t>GÄVLEBORGS LÄN</t>
        </is>
      </c>
      <c r="G209" t="inlineStr">
        <is>
          <t>SÖDERHAMN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45604</v>
      </c>
      <c r="E210" s="1" t="n">
        <v>46289</v>
      </c>
      <c r="F210" t="inlineStr">
        <is>
          <t>GÄVLEBORGS LÄN</t>
        </is>
      </c>
      <c r="G210" t="inlineStr">
        <is>
          <t>SÖDERHAMN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46289</v>
      </c>
      <c r="F211" t="inlineStr">
        <is>
          <t>GÄVLEBORGS LÄN</t>
        </is>
      </c>
      <c r="G211" t="inlineStr">
        <is>
          <t>SÖDERHAMN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46289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45622</v>
      </c>
      <c r="E213" s="1" t="n">
        <v>46289</v>
      </c>
      <c r="F213" t="inlineStr">
        <is>
          <t>GÄVLEBORGS LÄN</t>
        </is>
      </c>
      <c r="G213" t="inlineStr">
        <is>
          <t>SÖDERHAMN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46289</v>
      </c>
      <c r="F214" t="inlineStr">
        <is>
          <t>GÄVLEBORGS LÄN</t>
        </is>
      </c>
      <c r="G214" t="inlineStr">
        <is>
          <t>SÖDERHAMN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46289</v>
      </c>
      <c r="F215" t="inlineStr">
        <is>
          <t>GÄVLEBORGS LÄN</t>
        </is>
      </c>
      <c r="G215" t="inlineStr">
        <is>
          <t>SÖDERHAMN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46289</v>
      </c>
      <c r="F216" t="inlineStr">
        <is>
          <t>GÄVLEBORGS LÄN</t>
        </is>
      </c>
      <c r="G216" t="inlineStr">
        <is>
          <t>SÖDERHAMN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46289</v>
      </c>
      <c r="F217" t="inlineStr">
        <is>
          <t>GÄVLEBORGS LÄN</t>
        </is>
      </c>
      <c r="G217" t="inlineStr">
        <is>
          <t>SÖDERHAMN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46289</v>
      </c>
      <c r="F218" t="inlineStr">
        <is>
          <t>GÄVLEBORGS LÄN</t>
        </is>
      </c>
      <c r="G218" t="inlineStr">
        <is>
          <t>SÖDERHAMN</t>
        </is>
      </c>
      <c r="H218" t="inlineStr">
        <is>
          <t>Kommuner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45056</v>
      </c>
      <c r="E219" s="1" t="n">
        <v>46289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46289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53917-2024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46289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46289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46289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44582</v>
      </c>
      <c r="E224" s="1" t="n">
        <v>46289</v>
      </c>
      <c r="F224" t="inlineStr">
        <is>
          <t>GÄVLEBORGS LÄN</t>
        </is>
      </c>
      <c r="G224" t="inlineStr">
        <is>
          <t>SÖDERHAMN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1458-2023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44937</v>
      </c>
      <c r="E225" s="1" t="n">
        <v>46289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44869</v>
      </c>
      <c r="E226" s="1" t="n">
        <v>46289</v>
      </c>
      <c r="F226" t="inlineStr">
        <is>
          <t>GÄVLEBORGS LÄN</t>
        </is>
      </c>
      <c r="G226" t="inlineStr">
        <is>
          <t>SÖDERHAMN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46289</v>
      </c>
      <c r="F227" t="inlineStr">
        <is>
          <t>GÄVLEBORGS LÄN</t>
        </is>
      </c>
      <c r="G227" t="inlineStr">
        <is>
          <t>SÖDERHAMN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46289</v>
      </c>
      <c r="F228" t="inlineStr">
        <is>
          <t>GÄVLEBORGS LÄN</t>
        </is>
      </c>
      <c r="G228" t="inlineStr">
        <is>
          <t>SÖDERHAMN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58180-2024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46289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45639</v>
      </c>
      <c r="E230" s="1" t="n">
        <v>46289</v>
      </c>
      <c r="F230" t="inlineStr">
        <is>
          <t>GÄVLEBORGS LÄN</t>
        </is>
      </c>
      <c r="G230" t="inlineStr">
        <is>
          <t>SÖDERHAMN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49765-2024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45597</v>
      </c>
      <c r="E231" s="1" t="n">
        <v>46289</v>
      </c>
      <c r="F231" t="inlineStr">
        <is>
          <t>GÄVLEBORGS LÄN</t>
        </is>
      </c>
      <c r="G231" t="inlineStr">
        <is>
          <t>SÖDERHAMN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46289</v>
      </c>
      <c r="F232" t="inlineStr">
        <is>
          <t>GÄVLEBORGS LÄN</t>
        </is>
      </c>
      <c r="G232" t="inlineStr">
        <is>
          <t>SÖDERHAMN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46289</v>
      </c>
      <c r="F233" t="inlineStr">
        <is>
          <t>GÄVLEBORGS LÄN</t>
        </is>
      </c>
      <c r="G233" t="inlineStr">
        <is>
          <t>SÖDERHAMN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46289</v>
      </c>
      <c r="F234" t="inlineStr">
        <is>
          <t>GÄVLEBORGS LÄN</t>
        </is>
      </c>
      <c r="G234" t="inlineStr">
        <is>
          <t>SÖDERHAMN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46289</v>
      </c>
      <c r="F235" t="inlineStr">
        <is>
          <t>GÄVLEBORGS LÄN</t>
        </is>
      </c>
      <c r="G235" t="inlineStr">
        <is>
          <t>SÖDERHAMN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46289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46289</v>
      </c>
      <c r="F237" t="inlineStr">
        <is>
          <t>GÄVLEBORGS LÄN</t>
        </is>
      </c>
      <c r="G237" t="inlineStr">
        <is>
          <t>SÖDERHAMN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45331</v>
      </c>
      <c r="E238" s="1" t="n">
        <v>46289</v>
      </c>
      <c r="F238" t="inlineStr">
        <is>
          <t>GÄVLEBORGS LÄN</t>
        </is>
      </c>
      <c r="G238" t="inlineStr">
        <is>
          <t>SÖDERHAMN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46289</v>
      </c>
      <c r="F239" t="inlineStr">
        <is>
          <t>GÄVLEBORGS LÄN</t>
        </is>
      </c>
      <c r="G239" t="inlineStr">
        <is>
          <t>SÖDERHAMN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38355-2022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44812</v>
      </c>
      <c r="E240" s="1" t="n">
        <v>46289</v>
      </c>
      <c r="F240" t="inlineStr">
        <is>
          <t>GÄVLEBORGS LÄN</t>
        </is>
      </c>
      <c r="G240" t="inlineStr">
        <is>
          <t>SÖDERHAMN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46289</v>
      </c>
      <c r="F241" t="inlineStr">
        <is>
          <t>GÄVLEBORGS LÄN</t>
        </is>
      </c>
      <c r="G241" t="inlineStr">
        <is>
          <t>SÖDERHAMN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45398</v>
      </c>
      <c r="E242" s="1" t="n">
        <v>46289</v>
      </c>
      <c r="F242" t="inlineStr">
        <is>
          <t>GÄVLEBORGS LÄN</t>
        </is>
      </c>
      <c r="G242" t="inlineStr">
        <is>
          <t>SÖDERHAMN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46289</v>
      </c>
      <c r="F243" t="inlineStr">
        <is>
          <t>GÄVLEBORGS LÄN</t>
        </is>
      </c>
      <c r="G243" t="inlineStr">
        <is>
          <t>SÖDERHAMN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46289</v>
      </c>
      <c r="F244" t="inlineStr">
        <is>
          <t>GÄVLEBORGS LÄN</t>
        </is>
      </c>
      <c r="G244" t="inlineStr">
        <is>
          <t>SÖDERHAMN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46289</v>
      </c>
      <c r="F245" t="inlineStr">
        <is>
          <t>GÄVLEBORGS LÄN</t>
        </is>
      </c>
      <c r="G245" t="inlineStr">
        <is>
          <t>SÖDERHAMN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34752-2024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45526</v>
      </c>
      <c r="E246" s="1" t="n">
        <v>46289</v>
      </c>
      <c r="F246" t="inlineStr">
        <is>
          <t>GÄVLEBORGS LÄN</t>
        </is>
      </c>
      <c r="G246" t="inlineStr">
        <is>
          <t>SÖDERHAMN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46289</v>
      </c>
      <c r="F247" t="inlineStr">
        <is>
          <t>GÄVLEBORGS LÄN</t>
        </is>
      </c>
      <c r="G247" t="inlineStr">
        <is>
          <t>SÖDERHAMN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46289</v>
      </c>
      <c r="F248" t="inlineStr">
        <is>
          <t>GÄVLEBORGS LÄN</t>
        </is>
      </c>
      <c r="G248" t="inlineStr">
        <is>
          <t>SÖDERHAMN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46289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45597</v>
      </c>
      <c r="E250" s="1" t="n">
        <v>46289</v>
      </c>
      <c r="F250" t="inlineStr">
        <is>
          <t>GÄVLEBORGS LÄN</t>
        </is>
      </c>
      <c r="G250" t="inlineStr">
        <is>
          <t>SÖDERHAMN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46289</v>
      </c>
      <c r="F251" t="inlineStr">
        <is>
          <t>GÄVLEBORGS LÄN</t>
        </is>
      </c>
      <c r="G251" t="inlineStr">
        <is>
          <t>SÖDERHAMN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46289</v>
      </c>
      <c r="F252" t="inlineStr">
        <is>
          <t>GÄVLEBORGS LÄN</t>
        </is>
      </c>
      <c r="G252" t="inlineStr">
        <is>
          <t>SÖDERHAMN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46289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46289</v>
      </c>
      <c r="F254" t="inlineStr">
        <is>
          <t>GÄVLEBORGS LÄN</t>
        </is>
      </c>
      <c r="G254" t="inlineStr">
        <is>
          <t>SÖDERHAMN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46289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46289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46289</v>
      </c>
      <c r="F257" t="inlineStr">
        <is>
          <t>GÄVLEBORGS LÄN</t>
        </is>
      </c>
      <c r="G257" t="inlineStr">
        <is>
          <t>SÖDERHAMN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46289</v>
      </c>
      <c r="F258" t="inlineStr">
        <is>
          <t>GÄVLEBORGS LÄN</t>
        </is>
      </c>
      <c r="G258" t="inlineStr">
        <is>
          <t>SÖDERHAMN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46289</v>
      </c>
      <c r="F259" t="inlineStr">
        <is>
          <t>GÄVLEBORGS LÄN</t>
        </is>
      </c>
      <c r="G259" t="inlineStr">
        <is>
          <t>SÖDERHAMN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19617-2024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46289</v>
      </c>
      <c r="F260" t="inlineStr">
        <is>
          <t>GÄVLEBORGS LÄN</t>
        </is>
      </c>
      <c r="G260" t="inlineStr">
        <is>
          <t>SÖDERHAMN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55711-2025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45972</v>
      </c>
      <c r="E261" s="1" t="n">
        <v>46289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46289</v>
      </c>
      <c r="F262" t="inlineStr">
        <is>
          <t>GÄVLEBORGS LÄN</t>
        </is>
      </c>
      <c r="G262" t="inlineStr">
        <is>
          <t>SÖDERHAMN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55730-2025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45972</v>
      </c>
      <c r="E263" s="1" t="n">
        <v>46289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44956</v>
      </c>
      <c r="E264" s="1" t="n">
        <v>46289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46289</v>
      </c>
      <c r="F265" t="inlineStr">
        <is>
          <t>GÄVLEBORGS LÄN</t>
        </is>
      </c>
      <c r="G265" t="inlineStr">
        <is>
          <t>SÖDERHAMN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45426</v>
      </c>
      <c r="E266" s="1" t="n">
        <v>46289</v>
      </c>
      <c r="F266" t="inlineStr">
        <is>
          <t>GÄVLEBORGS LÄN</t>
        </is>
      </c>
      <c r="G266" t="inlineStr">
        <is>
          <t>SÖDERHAMN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45821</v>
      </c>
      <c r="E267" s="1" t="n">
        <v>46289</v>
      </c>
      <c r="F267" t="inlineStr">
        <is>
          <t>GÄVLEBORGS LÄN</t>
        </is>
      </c>
      <c r="G267" t="inlineStr">
        <is>
          <t>SÖDERHAMN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44703-2024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45574</v>
      </c>
      <c r="E268" s="1" t="n">
        <v>46289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46289</v>
      </c>
      <c r="F269" t="inlineStr">
        <is>
          <t>GÄVLEBORGS LÄN</t>
        </is>
      </c>
      <c r="G269" t="inlineStr">
        <is>
          <t>SÖDERHAMN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46289</v>
      </c>
      <c r="F270" t="inlineStr">
        <is>
          <t>GÄVLEBORGS LÄN</t>
        </is>
      </c>
      <c r="G270" t="inlineStr">
        <is>
          <t>SÖDERHAMN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52518-2024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45609</v>
      </c>
      <c r="E271" s="1" t="n">
        <v>46289</v>
      </c>
      <c r="F271" t="inlineStr">
        <is>
          <t>GÄVLEBORGS LÄN</t>
        </is>
      </c>
      <c r="G271" t="inlineStr">
        <is>
          <t>SÖDERHAMN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45609</v>
      </c>
      <c r="E272" s="1" t="n">
        <v>46289</v>
      </c>
      <c r="F272" t="inlineStr">
        <is>
          <t>GÄVLEBORGS LÄN</t>
        </is>
      </c>
      <c r="G272" t="inlineStr">
        <is>
          <t>SÖDERHAMN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46289</v>
      </c>
      <c r="F273" t="inlineStr">
        <is>
          <t>GÄVLEBORGS LÄN</t>
        </is>
      </c>
      <c r="G273" t="inlineStr">
        <is>
          <t>SÖDERHAMN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55240-2024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45621</v>
      </c>
      <c r="E274" s="1" t="n">
        <v>46289</v>
      </c>
      <c r="F274" t="inlineStr">
        <is>
          <t>GÄVLEBORGS LÄN</t>
        </is>
      </c>
      <c r="G274" t="inlineStr">
        <is>
          <t>SÖDERHAMN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45705</v>
      </c>
      <c r="E275" s="1" t="n">
        <v>46289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53918-2025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45961</v>
      </c>
      <c r="E276" s="1" t="n">
        <v>46289</v>
      </c>
      <c r="F276" t="inlineStr">
        <is>
          <t>GÄVLEBORGS LÄN</t>
        </is>
      </c>
      <c r="G276" t="inlineStr">
        <is>
          <t>SÖDERHAMN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46289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49959-2024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46289</v>
      </c>
      <c r="F278" t="inlineStr">
        <is>
          <t>GÄVLEBORGS LÄN</t>
        </is>
      </c>
      <c r="G278" t="inlineStr">
        <is>
          <t>SÖDERHAMN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45670</v>
      </c>
      <c r="E279" s="1" t="n">
        <v>46289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46289</v>
      </c>
      <c r="F280" t="inlineStr">
        <is>
          <t>GÄVLEBORGS LÄN</t>
        </is>
      </c>
      <c r="G280" t="inlineStr">
        <is>
          <t>SÖDERHAMN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46289</v>
      </c>
      <c r="F281" t="inlineStr">
        <is>
          <t>GÄVLEBORGS LÄN</t>
        </is>
      </c>
      <c r="G281" t="inlineStr">
        <is>
          <t>SÖDERHAMN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46289</v>
      </c>
      <c r="F282" t="inlineStr">
        <is>
          <t>GÄVLEBORGS LÄN</t>
        </is>
      </c>
      <c r="G282" t="inlineStr">
        <is>
          <t>SÖDERHAMN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46289</v>
      </c>
      <c r="F283" t="inlineStr">
        <is>
          <t>GÄVLEBORGS LÄN</t>
        </is>
      </c>
      <c r="G283" t="inlineStr">
        <is>
          <t>SÖDERHAMN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46289</v>
      </c>
      <c r="F284" t="inlineStr">
        <is>
          <t>GÄVLEBORGS LÄN</t>
        </is>
      </c>
      <c r="G284" t="inlineStr">
        <is>
          <t>SÖDERHAMN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46289</v>
      </c>
      <c r="F285" t="inlineStr">
        <is>
          <t>GÄVLEBORGS LÄN</t>
        </is>
      </c>
      <c r="G285" t="inlineStr">
        <is>
          <t>SÖDERHAMN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46289</v>
      </c>
      <c r="F286" t="inlineStr">
        <is>
          <t>GÄVLEBORGS LÄN</t>
        </is>
      </c>
      <c r="G286" t="inlineStr">
        <is>
          <t>SÖDERHAMN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44338-2023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45188</v>
      </c>
      <c r="E287" s="1" t="n">
        <v>46289</v>
      </c>
      <c r="F287" t="inlineStr">
        <is>
          <t>GÄVLEBORGS LÄN</t>
        </is>
      </c>
      <c r="G287" t="inlineStr">
        <is>
          <t>SÖDERHAMN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44341-2023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45188</v>
      </c>
      <c r="E288" s="1" t="n">
        <v>46289</v>
      </c>
      <c r="F288" t="inlineStr">
        <is>
          <t>GÄVLEBORGS LÄN</t>
        </is>
      </c>
      <c r="G288" t="inlineStr">
        <is>
          <t>SÖDERHAMN</t>
        </is>
      </c>
      <c r="H288" t="inlineStr">
        <is>
          <t>Kommuner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44662</v>
      </c>
      <c r="E289" s="1" t="n">
        <v>46289</v>
      </c>
      <c r="F289" t="inlineStr">
        <is>
          <t>GÄVLEBORGS LÄN</t>
        </is>
      </c>
      <c r="G289" t="inlineStr">
        <is>
          <t>SÖDERHAMN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45754</v>
      </c>
      <c r="E290" s="1" t="n">
        <v>46289</v>
      </c>
      <c r="F290" t="inlineStr">
        <is>
          <t>GÄVLEBORGS LÄN</t>
        </is>
      </c>
      <c r="G290" t="inlineStr">
        <is>
          <t>SÖDERHAMN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46289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46289</v>
      </c>
      <c r="F292" t="inlineStr">
        <is>
          <t>GÄVLEBORGS LÄN</t>
        </is>
      </c>
      <c r="G292" t="inlineStr">
        <is>
          <t>SÖDERHAMN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46289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44750</v>
      </c>
      <c r="E294" s="1" t="n">
        <v>46289</v>
      </c>
      <c r="F294" t="inlineStr">
        <is>
          <t>GÄVLEBORGS LÄN</t>
        </is>
      </c>
      <c r="G294" t="inlineStr">
        <is>
          <t>SÖDERHAMN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46289</v>
      </c>
      <c r="F295" t="inlineStr">
        <is>
          <t>GÄVLEBORGS LÄN</t>
        </is>
      </c>
      <c r="G295" t="inlineStr">
        <is>
          <t>SÖDERHAMN</t>
        </is>
      </c>
      <c r="H295" t="inlineStr">
        <is>
          <t>Kommuner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46289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46289</v>
      </c>
      <c r="F297" t="inlineStr">
        <is>
          <t>GÄVLEBORGS LÄN</t>
        </is>
      </c>
      <c r="G297" t="inlineStr">
        <is>
          <t>SÖDERHAMN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45548</v>
      </c>
      <c r="E298" s="1" t="n">
        <v>46289</v>
      </c>
      <c r="F298" t="inlineStr">
        <is>
          <t>GÄVLEBORGS LÄN</t>
        </is>
      </c>
      <c r="G298" t="inlineStr">
        <is>
          <t>SÖDERHAMN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46289</v>
      </c>
      <c r="F299" t="inlineStr">
        <is>
          <t>GÄVLEBORGS LÄN</t>
        </is>
      </c>
      <c r="G299" t="inlineStr">
        <is>
          <t>SÖDERHAMN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46289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46289</v>
      </c>
      <c r="F301" t="inlineStr">
        <is>
          <t>GÄVLEBORGS LÄN</t>
        </is>
      </c>
      <c r="G301" t="inlineStr">
        <is>
          <t>SÖDERHAMN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46289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46289</v>
      </c>
      <c r="F303" t="inlineStr">
        <is>
          <t>GÄVLEBORGS LÄN</t>
        </is>
      </c>
      <c r="G303" t="inlineStr">
        <is>
          <t>SÖDERHAMN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44649</v>
      </c>
      <c r="E304" s="1" t="n">
        <v>46289</v>
      </c>
      <c r="F304" t="inlineStr">
        <is>
          <t>GÄVLEBORGS LÄN</t>
        </is>
      </c>
      <c r="G304" t="inlineStr">
        <is>
          <t>SÖDERHAMN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46289</v>
      </c>
      <c r="F305" t="inlineStr">
        <is>
          <t>GÄVLEBORGS LÄN</t>
        </is>
      </c>
      <c r="G305" t="inlineStr">
        <is>
          <t>SÖDERHAMN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46026</v>
      </c>
      <c r="E306" s="1" t="n">
        <v>46289</v>
      </c>
      <c r="F306" t="inlineStr">
        <is>
          <t>GÄVLEBORGS LÄN</t>
        </is>
      </c>
      <c r="G306" t="inlineStr">
        <is>
          <t>SÖDERHAMN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46289</v>
      </c>
      <c r="F307" t="inlineStr">
        <is>
          <t>GÄVLEBORGS LÄN</t>
        </is>
      </c>
      <c r="G307" t="inlineStr">
        <is>
          <t>SÖDERHAMN</t>
        </is>
      </c>
      <c r="I307" t="n">
        <v>14.1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46026</v>
      </c>
      <c r="E308" s="1" t="n">
        <v>46289</v>
      </c>
      <c r="F308" t="inlineStr">
        <is>
          <t>GÄVLEBORGS LÄN</t>
        </is>
      </c>
      <c r="G308" t="inlineStr">
        <is>
          <t>SÖDERHAMN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45267</v>
      </c>
      <c r="E309" s="1" t="n">
        <v>46289</v>
      </c>
      <c r="F309" t="inlineStr">
        <is>
          <t>GÄVLEBORGS LÄN</t>
        </is>
      </c>
      <c r="G309" t="inlineStr">
        <is>
          <t>SÖDERHAMN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46289</v>
      </c>
      <c r="F310" t="inlineStr">
        <is>
          <t>GÄVLEBORGS LÄN</t>
        </is>
      </c>
      <c r="G310" t="inlineStr">
        <is>
          <t>SÖDERHAMN</t>
        </is>
      </c>
      <c r="I310" t="n">
        <v>13.8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46289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46289</v>
      </c>
      <c r="F312" t="inlineStr">
        <is>
          <t>GÄVLEBORGS LÄN</t>
        </is>
      </c>
      <c r="G312" t="inlineStr">
        <is>
          <t>SÖDERHAMN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46289</v>
      </c>
      <c r="F313" t="inlineStr">
        <is>
          <t>GÄVLEBORGS LÄN</t>
        </is>
      </c>
      <c r="G313" t="inlineStr">
        <is>
          <t>SÖDERHAMN</t>
        </is>
      </c>
      <c r="I313" t="n">
        <v>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46289</v>
      </c>
      <c r="F314" t="inlineStr">
        <is>
          <t>GÄVLEBORGS LÄN</t>
        </is>
      </c>
      <c r="G314" t="inlineStr">
        <is>
          <t>SÖDERHAMN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46289</v>
      </c>
      <c r="F315" t="inlineStr">
        <is>
          <t>GÄVLEBORGS LÄN</t>
        </is>
      </c>
      <c r="G315" t="inlineStr">
        <is>
          <t>SÖDERHAMN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46289</v>
      </c>
      <c r="F316" t="inlineStr">
        <is>
          <t>GÄVLEBORGS LÄN</t>
        </is>
      </c>
      <c r="G316" t="inlineStr">
        <is>
          <t>SÖDERHAMN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46289</v>
      </c>
      <c r="F317" t="inlineStr">
        <is>
          <t>GÄVLEBORGS LÄN</t>
        </is>
      </c>
      <c r="G317" t="inlineStr">
        <is>
          <t>SÖDERHAMN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46289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46289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45707</v>
      </c>
      <c r="E320" s="1" t="n">
        <v>46289</v>
      </c>
      <c r="F320" t="inlineStr">
        <is>
          <t>GÄVLEBORGS LÄN</t>
        </is>
      </c>
      <c r="G320" t="inlineStr">
        <is>
          <t>SÖDERHAMN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46289</v>
      </c>
      <c r="F321" t="inlineStr">
        <is>
          <t>GÄVLEBORGS LÄN</t>
        </is>
      </c>
      <c r="G321" t="inlineStr">
        <is>
          <t>SÖDERHAMN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61416-2025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46001</v>
      </c>
      <c r="E322" s="1" t="n">
        <v>46289</v>
      </c>
      <c r="F322" t="inlineStr">
        <is>
          <t>GÄVLEBORGS LÄN</t>
        </is>
      </c>
      <c r="G322" t="inlineStr">
        <is>
          <t>SÖDERHAMN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46024</v>
      </c>
      <c r="E323" s="1" t="n">
        <v>46289</v>
      </c>
      <c r="F323" t="inlineStr">
        <is>
          <t>GÄVLEBORGS LÄN</t>
        </is>
      </c>
      <c r="G323" t="inlineStr">
        <is>
          <t>SÖDERHAMN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46289</v>
      </c>
      <c r="F324" t="inlineStr">
        <is>
          <t>GÄVLEBORGS LÄN</t>
        </is>
      </c>
      <c r="G324" t="inlineStr">
        <is>
          <t>SÖDERHAMN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46289</v>
      </c>
      <c r="F325" t="inlineStr">
        <is>
          <t>GÄVLEBORGS LÄN</t>
        </is>
      </c>
      <c r="G325" t="inlineStr">
        <is>
          <t>SÖDERHAMN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46289</v>
      </c>
      <c r="F326" t="inlineStr">
        <is>
          <t>GÄVLEBORGS LÄN</t>
        </is>
      </c>
      <c r="G326" t="inlineStr">
        <is>
          <t>SÖDERHAMN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45477</v>
      </c>
      <c r="E327" s="1" t="n">
        <v>46289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46289</v>
      </c>
      <c r="F328" t="inlineStr">
        <is>
          <t>GÄVLEBORGS LÄN</t>
        </is>
      </c>
      <c r="G328" t="inlineStr">
        <is>
          <t>SÖDERHAMN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46289</v>
      </c>
      <c r="F329" t="inlineStr">
        <is>
          <t>GÄVLEBORGS LÄN</t>
        </is>
      </c>
      <c r="G329" t="inlineStr">
        <is>
          <t>SÖDERHAMN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46289</v>
      </c>
      <c r="F330" t="inlineStr">
        <is>
          <t>GÄVLEBORGS LÄN</t>
        </is>
      </c>
      <c r="G330" t="inlineStr">
        <is>
          <t>SÖDERHAMN</t>
        </is>
      </c>
      <c r="I330" t="n">
        <v>12.5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46289</v>
      </c>
      <c r="F331" t="inlineStr">
        <is>
          <t>GÄVLEBORGS LÄN</t>
        </is>
      </c>
      <c r="G331" t="inlineStr">
        <is>
          <t>SÖDERHAMN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46289</v>
      </c>
      <c r="F332" t="inlineStr">
        <is>
          <t>GÄVLEBORGS LÄN</t>
        </is>
      </c>
      <c r="G332" t="inlineStr">
        <is>
          <t>SÖDERHAMN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46289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62616-2025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46008</v>
      </c>
      <c r="E334" s="1" t="n">
        <v>46289</v>
      </c>
      <c r="F334" t="inlineStr">
        <is>
          <t>GÄVLEBORGS LÄN</t>
        </is>
      </c>
      <c r="G334" t="inlineStr">
        <is>
          <t>SÖDERHAMN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46289</v>
      </c>
      <c r="F335" t="inlineStr">
        <is>
          <t>GÄVLEBORGS LÄN</t>
        </is>
      </c>
      <c r="G335" t="inlineStr">
        <is>
          <t>SÖDERHAMN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46289</v>
      </c>
      <c r="F336" t="inlineStr">
        <is>
          <t>GÄVLEBORGS LÄN</t>
        </is>
      </c>
      <c r="G336" t="inlineStr">
        <is>
          <t>SÖDERHAMN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46289</v>
      </c>
      <c r="F337" t="inlineStr">
        <is>
          <t>GÄVLEBORGS LÄN</t>
        </is>
      </c>
      <c r="G337" t="inlineStr">
        <is>
          <t>SÖDERHAMN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46289</v>
      </c>
      <c r="F338" t="inlineStr">
        <is>
          <t>GÄVLEBORGS LÄN</t>
        </is>
      </c>
      <c r="G338" t="inlineStr">
        <is>
          <t>SÖDERHAMN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46044</v>
      </c>
      <c r="E339" s="1" t="n">
        <v>46289</v>
      </c>
      <c r="F339" t="inlineStr">
        <is>
          <t>GÄVLEBORGS LÄN</t>
        </is>
      </c>
      <c r="G339" t="inlineStr">
        <is>
          <t>SÖDERHAMN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46289</v>
      </c>
      <c r="F340" t="inlineStr">
        <is>
          <t>GÄVLEBORGS LÄN</t>
        </is>
      </c>
      <c r="G340" t="inlineStr">
        <is>
          <t>SÖDERHAMN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46289</v>
      </c>
      <c r="F341" t="inlineStr">
        <is>
          <t>GÄVLEBORGS LÄN</t>
        </is>
      </c>
      <c r="G341" t="inlineStr">
        <is>
          <t>SÖDERHAMN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46289</v>
      </c>
      <c r="F342" t="inlineStr">
        <is>
          <t>GÄVLEBORGS LÄN</t>
        </is>
      </c>
      <c r="G342" t="inlineStr">
        <is>
          <t>SÖDERHAMN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46289</v>
      </c>
      <c r="F343" t="inlineStr">
        <is>
          <t>GÄVLEBORGS LÄN</t>
        </is>
      </c>
      <c r="G343" t="inlineStr">
        <is>
          <t>SÖDERHAMN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46289</v>
      </c>
      <c r="F344" t="inlineStr">
        <is>
          <t>GÄVLEBORGS LÄN</t>
        </is>
      </c>
      <c r="G344" t="inlineStr">
        <is>
          <t>SÖDERHAMN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46289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46289</v>
      </c>
      <c r="F346" t="inlineStr">
        <is>
          <t>GÄVLEBORGS LÄN</t>
        </is>
      </c>
      <c r="G346" t="inlineStr">
        <is>
          <t>SÖDERHAMN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46289</v>
      </c>
      <c r="F347" t="inlineStr">
        <is>
          <t>GÄVLEBORGS LÄN</t>
        </is>
      </c>
      <c r="G347" t="inlineStr">
        <is>
          <t>SÖDERHAMN</t>
        </is>
      </c>
      <c r="H347" t="inlineStr">
        <is>
          <t>Övriga statliga verk och myndigheter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46289</v>
      </c>
      <c r="F348" t="inlineStr">
        <is>
          <t>GÄVLEBORGS LÄN</t>
        </is>
      </c>
      <c r="G348" t="inlineStr">
        <is>
          <t>SÖDERHAMN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46026</v>
      </c>
      <c r="E349" s="1" t="n">
        <v>46289</v>
      </c>
      <c r="F349" t="inlineStr">
        <is>
          <t>GÄVLEBORGS LÄN</t>
        </is>
      </c>
      <c r="G349" t="inlineStr">
        <is>
          <t>SÖDERHAMN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46289</v>
      </c>
      <c r="F350" t="inlineStr">
        <is>
          <t>GÄVLEBORGS LÄN</t>
        </is>
      </c>
      <c r="G350" t="inlineStr">
        <is>
          <t>SÖDERHAMN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45652</v>
      </c>
      <c r="E351" s="1" t="n">
        <v>46289</v>
      </c>
      <c r="F351" t="inlineStr">
        <is>
          <t>GÄVLEBORGS LÄN</t>
        </is>
      </c>
      <c r="G351" t="inlineStr">
        <is>
          <t>SÖDERHAMN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46289</v>
      </c>
      <c r="F352" t="inlineStr">
        <is>
          <t>GÄVLEBORGS LÄN</t>
        </is>
      </c>
      <c r="G352" t="inlineStr">
        <is>
          <t>SÖDERHAMN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46289</v>
      </c>
      <c r="F353" t="inlineStr">
        <is>
          <t>GÄVLEBORGS LÄN</t>
        </is>
      </c>
      <c r="G353" t="inlineStr">
        <is>
          <t>SÖDERHAMN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46289</v>
      </c>
      <c r="F354" t="inlineStr">
        <is>
          <t>GÄVLEBORGS LÄN</t>
        </is>
      </c>
      <c r="G354" t="inlineStr">
        <is>
          <t>SÖDERHAMN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46289</v>
      </c>
      <c r="F355" t="inlineStr">
        <is>
          <t>GÄVLEBORGS LÄN</t>
        </is>
      </c>
      <c r="G355" t="inlineStr">
        <is>
          <t>SÖDERHAMN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46289</v>
      </c>
      <c r="F356" t="inlineStr">
        <is>
          <t>GÄVLEBORGS LÄN</t>
        </is>
      </c>
      <c r="G356" t="inlineStr">
        <is>
          <t>SÖDERHAMN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45510</v>
      </c>
      <c r="E357" s="1" t="n">
        <v>46289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46289</v>
      </c>
      <c r="F358" t="inlineStr">
        <is>
          <t>GÄVLEBORGS LÄN</t>
        </is>
      </c>
      <c r="G358" t="inlineStr">
        <is>
          <t>SÖDERHAMN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46289</v>
      </c>
      <c r="F359" t="inlineStr">
        <is>
          <t>GÄVLEBORGS LÄN</t>
        </is>
      </c>
      <c r="G359" t="inlineStr">
        <is>
          <t>SÖDERHAMN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45461</v>
      </c>
      <c r="E360" s="1" t="n">
        <v>46289</v>
      </c>
      <c r="F360" t="inlineStr">
        <is>
          <t>GÄVLEBORGS LÄN</t>
        </is>
      </c>
      <c r="G360" t="inlineStr">
        <is>
          <t>SÖDERHAMN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46289</v>
      </c>
      <c r="F361" t="inlineStr">
        <is>
          <t>GÄVLEBORGS LÄN</t>
        </is>
      </c>
      <c r="G361" t="inlineStr">
        <is>
          <t>SÖDERHAMN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45425</v>
      </c>
      <c r="E362" s="1" t="n">
        <v>46289</v>
      </c>
      <c r="F362" t="inlineStr">
        <is>
          <t>GÄVLEBORGS LÄN</t>
        </is>
      </c>
      <c r="G362" t="inlineStr">
        <is>
          <t>SÖDERHAMN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46289</v>
      </c>
      <c r="F363" t="inlineStr">
        <is>
          <t>GÄVLEBORGS LÄN</t>
        </is>
      </c>
      <c r="G363" t="inlineStr">
        <is>
          <t>SÖDERHAMN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46289</v>
      </c>
      <c r="F364" t="inlineStr">
        <is>
          <t>GÄVLEBORGS LÄN</t>
        </is>
      </c>
      <c r="G364" t="inlineStr">
        <is>
          <t>SÖDERHAMN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46289</v>
      </c>
      <c r="F365" t="inlineStr">
        <is>
          <t>GÄVLEBORGS LÄN</t>
        </is>
      </c>
      <c r="G365" t="inlineStr">
        <is>
          <t>SÖDERHAMN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46289</v>
      </c>
      <c r="F366" t="inlineStr">
        <is>
          <t>GÄVLEBORGS LÄN</t>
        </is>
      </c>
      <c r="G366" t="inlineStr">
        <is>
          <t>SÖDERHAMN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46289</v>
      </c>
      <c r="F367" t="inlineStr">
        <is>
          <t>GÄVLEBORGS LÄN</t>
        </is>
      </c>
      <c r="G367" t="inlineStr">
        <is>
          <t>SÖDERHAMN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46289</v>
      </c>
      <c r="F368" t="inlineStr">
        <is>
          <t>GÄVLEBORGS LÄN</t>
        </is>
      </c>
      <c r="G368" t="inlineStr">
        <is>
          <t>SÖDERHAMN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46289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46289</v>
      </c>
      <c r="F370" t="inlineStr">
        <is>
          <t>GÄVLEBORGS LÄN</t>
        </is>
      </c>
      <c r="G370" t="inlineStr">
        <is>
          <t>SÖDERHAMN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46289</v>
      </c>
      <c r="F371" t="inlineStr">
        <is>
          <t>GÄVLEBORGS LÄN</t>
        </is>
      </c>
      <c r="G371" t="inlineStr">
        <is>
          <t>SÖDERHAMN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46289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45749</v>
      </c>
      <c r="E373" s="1" t="n">
        <v>46289</v>
      </c>
      <c r="F373" t="inlineStr">
        <is>
          <t>GÄVLEBORGS LÄN</t>
        </is>
      </c>
      <c r="G373" t="inlineStr">
        <is>
          <t>SÖDERHAMN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46289</v>
      </c>
      <c r="F374" t="inlineStr">
        <is>
          <t>GÄVLEBORGS LÄN</t>
        </is>
      </c>
      <c r="G374" t="inlineStr">
        <is>
          <t>SÖDERHAMN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10483-2026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46289</v>
      </c>
      <c r="F375" t="inlineStr">
        <is>
          <t>GÄVLEBORGS LÄN</t>
        </is>
      </c>
      <c r="G375" t="inlineStr">
        <is>
          <t>SÖDERHAMN</t>
        </is>
      </c>
      <c r="H375" t="inlineStr">
        <is>
          <t>Kyrkan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11046-2026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46289</v>
      </c>
      <c r="F376" t="inlineStr">
        <is>
          <t>GÄVLEBORGS LÄN</t>
        </is>
      </c>
      <c r="G376" t="inlineStr">
        <is>
          <t>SÖDERHAMN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36204-2024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45534</v>
      </c>
      <c r="E377" s="1" t="n">
        <v>46289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46289</v>
      </c>
      <c r="F378" t="inlineStr">
        <is>
          <t>GÄVLEBORGS LÄN</t>
        </is>
      </c>
      <c r="G378" t="inlineStr">
        <is>
          <t>SÖDERHAMN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11206-2023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44992</v>
      </c>
      <c r="E379" s="1" t="n">
        <v>46289</v>
      </c>
      <c r="F379" t="inlineStr">
        <is>
          <t>GÄVLEBORGS LÄN</t>
        </is>
      </c>
      <c r="G379" t="inlineStr">
        <is>
          <t>SÖDERHAMN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41648-2024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46289</v>
      </c>
      <c r="F380" t="inlineStr">
        <is>
          <t>GÄVLEBORGS LÄN</t>
        </is>
      </c>
      <c r="G380" t="inlineStr">
        <is>
          <t>SÖDERHAMN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44992</v>
      </c>
      <c r="E381" s="1" t="n">
        <v>46289</v>
      </c>
      <c r="F381" t="inlineStr">
        <is>
          <t>GÄVLEBORGS LÄN</t>
        </is>
      </c>
      <c r="G381" t="inlineStr">
        <is>
          <t>SÖDERHAMN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46289</v>
      </c>
      <c r="F382" t="inlineStr">
        <is>
          <t>GÄVLEBORGS LÄN</t>
        </is>
      </c>
      <c r="G382" t="inlineStr">
        <is>
          <t>SÖDERHAMN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46289</v>
      </c>
      <c r="F383" t="inlineStr">
        <is>
          <t>GÄVLEBORGS LÄN</t>
        </is>
      </c>
      <c r="G383" t="inlineStr">
        <is>
          <t>SÖDERHAMN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46289</v>
      </c>
      <c r="F384" t="inlineStr">
        <is>
          <t>GÄVLEBORGS LÄN</t>
        </is>
      </c>
      <c r="G384" t="inlineStr">
        <is>
          <t>SÖDERHAMN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44957</v>
      </c>
      <c r="E385" s="1" t="n">
        <v>46289</v>
      </c>
      <c r="F385" t="inlineStr">
        <is>
          <t>GÄVLEBORGS LÄN</t>
        </is>
      </c>
      <c r="G385" t="inlineStr">
        <is>
          <t>SÖDERHAMN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20717-2024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45436</v>
      </c>
      <c r="E386" s="1" t="n">
        <v>46289</v>
      </c>
      <c r="F386" t="inlineStr">
        <is>
          <t>GÄVLEBORGS LÄN</t>
        </is>
      </c>
      <c r="G386" t="inlineStr">
        <is>
          <t>SÖDERHAMN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45230</v>
      </c>
      <c r="E387" s="1" t="n">
        <v>46289</v>
      </c>
      <c r="F387" t="inlineStr">
        <is>
          <t>GÄVLEBORGS LÄN</t>
        </is>
      </c>
      <c r="G387" t="inlineStr">
        <is>
          <t>SÖDERHAMN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46289</v>
      </c>
      <c r="F388" t="inlineStr">
        <is>
          <t>GÄVLEBORGS LÄN</t>
        </is>
      </c>
      <c r="G388" t="inlineStr">
        <is>
          <t>SÖDERHAMN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46289</v>
      </c>
      <c r="F389" t="inlineStr">
        <is>
          <t>GÄVLEBORGS LÄN</t>
        </is>
      </c>
      <c r="G389" t="inlineStr">
        <is>
          <t>SÖDERHAMN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45848</v>
      </c>
      <c r="E390" s="1" t="n">
        <v>46289</v>
      </c>
      <c r="F390" t="inlineStr">
        <is>
          <t>GÄVLEBORGS LÄN</t>
        </is>
      </c>
      <c r="G390" t="inlineStr">
        <is>
          <t>SÖDERHAMN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46289</v>
      </c>
      <c r="F391" t="inlineStr">
        <is>
          <t>GÄVLEBORGS LÄN</t>
        </is>
      </c>
      <c r="G391" t="inlineStr">
        <is>
          <t>SÖDERHAMN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46289</v>
      </c>
      <c r="F392" t="inlineStr">
        <is>
          <t>GÄVLEBORGS LÄN</t>
        </is>
      </c>
      <c r="G392" t="inlineStr">
        <is>
          <t>SÖDERHAMN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46289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46289</v>
      </c>
      <c r="F394" t="inlineStr">
        <is>
          <t>GÄVLEBORGS LÄN</t>
        </is>
      </c>
      <c r="G394" t="inlineStr">
        <is>
          <t>SÖDERHAMN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44665</v>
      </c>
      <c r="E395" s="1" t="n">
        <v>46289</v>
      </c>
      <c r="F395" t="inlineStr">
        <is>
          <t>GÄVLEBORGS LÄN</t>
        </is>
      </c>
      <c r="G395" t="inlineStr">
        <is>
          <t>SÖDERHAMN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46289</v>
      </c>
      <c r="F396" t="inlineStr">
        <is>
          <t>GÄVLEBORGS LÄN</t>
        </is>
      </c>
      <c r="G396" t="inlineStr">
        <is>
          <t>SÖDERHAMN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46289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46289</v>
      </c>
      <c r="F398" t="inlineStr">
        <is>
          <t>GÄVLEBORGS LÄN</t>
        </is>
      </c>
      <c r="G398" t="inlineStr">
        <is>
          <t>SÖDERHAMN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14128-2022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44651</v>
      </c>
      <c r="E399" s="1" t="n">
        <v>46289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46289</v>
      </c>
      <c r="F400" t="inlineStr">
        <is>
          <t>GÄVLEBORGS LÄN</t>
        </is>
      </c>
      <c r="G400" t="inlineStr">
        <is>
          <t>SÖDERHAMN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46289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45108</v>
      </c>
      <c r="E402" s="1" t="n">
        <v>46289</v>
      </c>
      <c r="F402" t="inlineStr">
        <is>
          <t>GÄVLEBORGS LÄN</t>
        </is>
      </c>
      <c r="G402" t="inlineStr">
        <is>
          <t>SÖDERHAMN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46289</v>
      </c>
      <c r="F403" t="inlineStr">
        <is>
          <t>GÄVLEBORGS LÄN</t>
        </is>
      </c>
      <c r="G403" t="inlineStr">
        <is>
          <t>SÖDERHAMN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46289</v>
      </c>
      <c r="F404" t="inlineStr">
        <is>
          <t>GÄVLEBORGS LÄN</t>
        </is>
      </c>
      <c r="G404" t="inlineStr">
        <is>
          <t>SÖDERHAMN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18195-2023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45041</v>
      </c>
      <c r="E405" s="1" t="n">
        <v>46289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44963</v>
      </c>
      <c r="E406" s="1" t="n">
        <v>46289</v>
      </c>
      <c r="F406" t="inlineStr">
        <is>
          <t>GÄVLEBORGS LÄN</t>
        </is>
      </c>
      <c r="G406" t="inlineStr">
        <is>
          <t>SÖDERHAMN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18913-2025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45764</v>
      </c>
      <c r="E407" s="1" t="n">
        <v>46289</v>
      </c>
      <c r="F407" t="inlineStr">
        <is>
          <t>GÄVLEBORGS LÄN</t>
        </is>
      </c>
      <c r="G407" t="inlineStr">
        <is>
          <t>SÖDERHAMN</t>
        </is>
      </c>
      <c r="H407" t="inlineStr">
        <is>
          <t>Kommuner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45231</v>
      </c>
      <c r="E408" s="1" t="n">
        <v>46289</v>
      </c>
      <c r="F408" t="inlineStr">
        <is>
          <t>GÄVLEBORGS LÄN</t>
        </is>
      </c>
      <c r="G408" t="inlineStr">
        <is>
          <t>SÖDERHAMN</t>
        </is>
      </c>
      <c r="H408" t="inlineStr">
        <is>
          <t>Kommuner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46289</v>
      </c>
      <c r="F409" t="inlineStr">
        <is>
          <t>GÄVLEBORGS LÄN</t>
        </is>
      </c>
      <c r="G409" t="inlineStr">
        <is>
          <t>SÖDERHAMN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15958-2026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46289</v>
      </c>
      <c r="F410" t="inlineStr">
        <is>
          <t>GÄVLEBORGS LÄN</t>
        </is>
      </c>
      <c r="G410" t="inlineStr">
        <is>
          <t>SÖDERHAMN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45757</v>
      </c>
      <c r="E411" s="1" t="n">
        <v>46289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45597</v>
      </c>
      <c r="E412" s="1" t="n">
        <v>46289</v>
      </c>
      <c r="F412" t="inlineStr">
        <is>
          <t>GÄVLEBORGS LÄN</t>
        </is>
      </c>
      <c r="G412" t="inlineStr">
        <is>
          <t>SÖDERHAMN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56502-2023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46289</v>
      </c>
      <c r="F413" t="inlineStr">
        <is>
          <t>GÄVLEBORGS LÄN</t>
        </is>
      </c>
      <c r="G413" t="inlineStr">
        <is>
          <t>SÖDERHAMN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45632</v>
      </c>
      <c r="E414" s="1" t="n">
        <v>46289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46289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46111</v>
      </c>
      <c r="E416" s="1" t="n">
        <v>46289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45470</v>
      </c>
      <c r="E417" s="1" t="n">
        <v>46289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46289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71645-2021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44543</v>
      </c>
      <c r="E419" s="1" t="n">
        <v>46289</v>
      </c>
      <c r="F419" t="inlineStr">
        <is>
          <t>GÄVLEBORGS LÄN</t>
        </is>
      </c>
      <c r="G419" t="inlineStr">
        <is>
          <t>SÖDERHAMN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46112</v>
      </c>
      <c r="E420" s="1" t="n">
        <v>46289</v>
      </c>
      <c r="F420" t="inlineStr">
        <is>
          <t>GÄVLEBORGS LÄN</t>
        </is>
      </c>
      <c r="G420" t="inlineStr">
        <is>
          <t>SÖDERHAMN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46289</v>
      </c>
      <c r="F421" t="inlineStr">
        <is>
          <t>GÄVLEBORGS LÄN</t>
        </is>
      </c>
      <c r="G421" t="inlineStr">
        <is>
          <t>SÖDERHAMN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63798-2023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45278</v>
      </c>
      <c r="E422" s="1" t="n">
        <v>46289</v>
      </c>
      <c r="F422" t="inlineStr">
        <is>
          <t>GÄVLEBORGS LÄN</t>
        </is>
      </c>
      <c r="G422" t="inlineStr">
        <is>
          <t>SÖDERHAMN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46289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45863</v>
      </c>
      <c r="E424" s="1" t="n">
        <v>46289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46289</v>
      </c>
      <c r="F425" t="inlineStr">
        <is>
          <t>GÄVLEBORGS LÄN</t>
        </is>
      </c>
      <c r="G425" t="inlineStr">
        <is>
          <t>SÖDERHAMN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17192-2026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46117</v>
      </c>
      <c r="E426" s="1" t="n">
        <v>46289</v>
      </c>
      <c r="F426" t="inlineStr">
        <is>
          <t>GÄVLEBORGS LÄN</t>
        </is>
      </c>
      <c r="G426" t="inlineStr">
        <is>
          <t>SÖDERHAMN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46117</v>
      </c>
      <c r="E427" s="1" t="n">
        <v>46289</v>
      </c>
      <c r="F427" t="inlineStr">
        <is>
          <t>GÄVLEBORGS LÄN</t>
        </is>
      </c>
      <c r="G427" t="inlineStr">
        <is>
          <t>SÖDERHAMN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46117</v>
      </c>
      <c r="E428" s="1" t="n">
        <v>46289</v>
      </c>
      <c r="F428" t="inlineStr">
        <is>
          <t>GÄVLEBORGS LÄN</t>
        </is>
      </c>
      <c r="G428" t="inlineStr">
        <is>
          <t>SÖDERHAMN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46117</v>
      </c>
      <c r="E429" s="1" t="n">
        <v>46289</v>
      </c>
      <c r="F429" t="inlineStr">
        <is>
          <t>GÄVLEBORGS LÄN</t>
        </is>
      </c>
      <c r="G429" t="inlineStr">
        <is>
          <t>SÖDERHAMN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45342</v>
      </c>
      <c r="E430" s="1" t="n">
        <v>46289</v>
      </c>
      <c r="F430" t="inlineStr">
        <is>
          <t>GÄVLEBORGS LÄN</t>
        </is>
      </c>
      <c r="G430" t="inlineStr">
        <is>
          <t>SÖDERHAMN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45867</v>
      </c>
      <c r="E431" s="1" t="n">
        <v>46289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58141-2024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46289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46289</v>
      </c>
      <c r="F433" t="inlineStr">
        <is>
          <t>GÄVLEBORGS LÄN</t>
        </is>
      </c>
      <c r="G433" t="inlineStr">
        <is>
          <t>SÖDERHAMN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46289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46289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6.8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50283-2024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45600</v>
      </c>
      <c r="E436" s="1" t="n">
        <v>46289</v>
      </c>
      <c r="F436" t="inlineStr">
        <is>
          <t>GÄVLEBORGS LÄN</t>
        </is>
      </c>
      <c r="G436" t="inlineStr">
        <is>
          <t>SÖDERHAMN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59216-2021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44490</v>
      </c>
      <c r="E437" s="1" t="n">
        <v>46289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46289</v>
      </c>
      <c r="F438" t="inlineStr">
        <is>
          <t>GÄVLEBORGS LÄN</t>
        </is>
      </c>
      <c r="G438" t="inlineStr">
        <is>
          <t>SÖDERHAMN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63632-2023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45275</v>
      </c>
      <c r="E439" s="1" t="n">
        <v>46289</v>
      </c>
      <c r="F439" t="inlineStr">
        <is>
          <t>GÄVLEBORGS LÄN</t>
        </is>
      </c>
      <c r="G439" t="inlineStr">
        <is>
          <t>SÖDERHAMN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46289</v>
      </c>
      <c r="F440" t="inlineStr">
        <is>
          <t>GÄVLEBORGS LÄN</t>
        </is>
      </c>
      <c r="G440" t="inlineStr">
        <is>
          <t>SÖDERHAMN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45398</v>
      </c>
      <c r="E441" s="1" t="n">
        <v>46289</v>
      </c>
      <c r="F441" t="inlineStr">
        <is>
          <t>GÄVLEBORGS LÄN</t>
        </is>
      </c>
      <c r="G441" t="inlineStr">
        <is>
          <t>SÖDERHAMN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63431-2021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44508</v>
      </c>
      <c r="E442" s="1" t="n">
        <v>46289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46289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34976-2024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45527</v>
      </c>
      <c r="E444" s="1" t="n">
        <v>46289</v>
      </c>
      <c r="F444" t="inlineStr">
        <is>
          <t>GÄVLEBORGS LÄN</t>
        </is>
      </c>
      <c r="G444" t="inlineStr">
        <is>
          <t>SÖDERHAMN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46289</v>
      </c>
      <c r="F445" t="inlineStr">
        <is>
          <t>GÄVLEBORGS LÄN</t>
        </is>
      </c>
      <c r="G445" t="inlineStr">
        <is>
          <t>SÖDERHAMN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46289</v>
      </c>
      <c r="F446" t="inlineStr">
        <is>
          <t>GÄVLEBORGS LÄN</t>
        </is>
      </c>
      <c r="G446" t="inlineStr">
        <is>
          <t>SÖDERHAMN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46289</v>
      </c>
      <c r="F447" t="inlineStr">
        <is>
          <t>GÄVLEBORGS LÄN</t>
        </is>
      </c>
      <c r="G447" t="inlineStr">
        <is>
          <t>SÖDERHAMN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45435</v>
      </c>
      <c r="E448" s="1" t="n">
        <v>46289</v>
      </c>
      <c r="F448" t="inlineStr">
        <is>
          <t>GÄVLEBORGS LÄN</t>
        </is>
      </c>
      <c r="G448" t="inlineStr">
        <is>
          <t>SÖDERHAMN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56933-2024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45628</v>
      </c>
      <c r="E449" s="1" t="n">
        <v>46289</v>
      </c>
      <c r="F449" t="inlineStr">
        <is>
          <t>GÄVLEBORGS LÄN</t>
        </is>
      </c>
      <c r="G449" t="inlineStr">
        <is>
          <t>SÖDERHAMN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46289</v>
      </c>
      <c r="F450" t="inlineStr">
        <is>
          <t>GÄVLEBORGS LÄN</t>
        </is>
      </c>
      <c r="G450" t="inlineStr">
        <is>
          <t>SÖDERHAMN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37541-2025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45879</v>
      </c>
      <c r="E451" s="1" t="n">
        <v>46289</v>
      </c>
      <c r="F451" t="inlineStr">
        <is>
          <t>GÄVLEBORGS LÄN</t>
        </is>
      </c>
      <c r="G451" t="inlineStr">
        <is>
          <t>SÖDERHAMN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37538-2025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45879</v>
      </c>
      <c r="E452" s="1" t="n">
        <v>46289</v>
      </c>
      <c r="F452" t="inlineStr">
        <is>
          <t>GÄVLEBORGS LÄN</t>
        </is>
      </c>
      <c r="G452" t="inlineStr">
        <is>
          <t>SÖDERHAMN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46029</v>
      </c>
      <c r="E453" s="1" t="n">
        <v>46289</v>
      </c>
      <c r="F453" t="inlineStr">
        <is>
          <t>GÄVLEBORGS LÄN</t>
        </is>
      </c>
      <c r="G453" t="inlineStr">
        <is>
          <t>SÖDERHAMN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45677</v>
      </c>
      <c r="E454" s="1" t="n">
        <v>46289</v>
      </c>
      <c r="F454" t="inlineStr">
        <is>
          <t>GÄVLEBORGS LÄN</t>
        </is>
      </c>
      <c r="G454" t="inlineStr">
        <is>
          <t>SÖDERHAMN</t>
        </is>
      </c>
      <c r="I454" t="n">
        <v>6.6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45821</v>
      </c>
      <c r="E455" s="1" t="n">
        <v>46289</v>
      </c>
      <c r="F455" t="inlineStr">
        <is>
          <t>GÄVLEBORGS LÄN</t>
        </is>
      </c>
      <c r="G455" t="inlineStr">
        <is>
          <t>SÖDERHAMN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45905</v>
      </c>
      <c r="E456" s="1" t="n">
        <v>46289</v>
      </c>
      <c r="F456" t="inlineStr">
        <is>
          <t>GÄVLEBORGS LÄN</t>
        </is>
      </c>
      <c r="G456" t="inlineStr">
        <is>
          <t>SÖDERHAMN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45673</v>
      </c>
      <c r="E457" s="1" t="n">
        <v>46289</v>
      </c>
      <c r="F457" t="inlineStr">
        <is>
          <t>GÄVLEBORGS LÄN</t>
        </is>
      </c>
      <c r="G457" t="inlineStr">
        <is>
          <t>SÖDERHAMN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46058</v>
      </c>
      <c r="E458" s="1" t="n">
        <v>46289</v>
      </c>
      <c r="F458" t="inlineStr">
        <is>
          <t>GÄVLEBORGS LÄN</t>
        </is>
      </c>
      <c r="G458" t="inlineStr">
        <is>
          <t>SÖDERHAMN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45632</v>
      </c>
      <c r="E459" s="1" t="n">
        <v>46289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46289</v>
      </c>
      <c r="F460" t="inlineStr">
        <is>
          <t>GÄVLEBORGS LÄN</t>
        </is>
      </c>
      <c r="G460" t="inlineStr">
        <is>
          <t>SÖDERHAMN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46289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15975-2026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46289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46087</v>
      </c>
      <c r="E463" s="1" t="n">
        <v>46289</v>
      </c>
      <c r="F463" t="inlineStr">
        <is>
          <t>GÄVLEBORGS LÄN</t>
        </is>
      </c>
      <c r="G463" t="inlineStr">
        <is>
          <t>SÖDERHAMN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46289</v>
      </c>
      <c r="F464" t="inlineStr">
        <is>
          <t>GÄVLEBORGS LÄN</t>
        </is>
      </c>
      <c r="G464" t="inlineStr">
        <is>
          <t>SÖDERHAMN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46289</v>
      </c>
      <c r="F465" t="inlineStr">
        <is>
          <t>GÄVLEBORGS LÄN</t>
        </is>
      </c>
      <c r="G465" t="inlineStr">
        <is>
          <t>SÖDERHAMN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46289</v>
      </c>
      <c r="F466" t="inlineStr">
        <is>
          <t>GÄVLEBORGS LÄN</t>
        </is>
      </c>
      <c r="G466" t="inlineStr">
        <is>
          <t>SÖDERHAMN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41221-2022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44826</v>
      </c>
      <c r="E467" s="1" t="n">
        <v>46289</v>
      </c>
      <c r="F467" t="inlineStr">
        <is>
          <t>GÄVLEBORGS LÄN</t>
        </is>
      </c>
      <c r="G467" t="inlineStr">
        <is>
          <t>SÖDERHAMN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46289</v>
      </c>
      <c r="F468" t="inlineStr">
        <is>
          <t>GÄVLEBORGS LÄN</t>
        </is>
      </c>
      <c r="G468" t="inlineStr">
        <is>
          <t>SÖDERHAMN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47794-2024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45588</v>
      </c>
      <c r="E469" s="1" t="n">
        <v>46289</v>
      </c>
      <c r="F469" t="inlineStr">
        <is>
          <t>GÄVLEBORGS LÄN</t>
        </is>
      </c>
      <c r="G469" t="inlineStr">
        <is>
          <t>SÖDERHAMN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46006-2024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45580</v>
      </c>
      <c r="E470" s="1" t="n">
        <v>46289</v>
      </c>
      <c r="F470" t="inlineStr">
        <is>
          <t>GÄVLEBORGS LÄN</t>
        </is>
      </c>
      <c r="G470" t="inlineStr">
        <is>
          <t>SÖDERHAMN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59000-2023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46289</v>
      </c>
      <c r="F471" t="inlineStr">
        <is>
          <t>GÄVLEBORGS LÄN</t>
        </is>
      </c>
      <c r="G471" t="inlineStr">
        <is>
          <t>SÖDERHAMN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46289</v>
      </c>
      <c r="F472" t="inlineStr">
        <is>
          <t>GÄVLEBORGS LÄN</t>
        </is>
      </c>
      <c r="G472" t="inlineStr">
        <is>
          <t>SÖDERHAMN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46132</v>
      </c>
      <c r="E473" s="1" t="n">
        <v>46289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45215</v>
      </c>
      <c r="E474" s="1" t="n">
        <v>46289</v>
      </c>
      <c r="F474" t="inlineStr">
        <is>
          <t>GÄVLEBORGS LÄN</t>
        </is>
      </c>
      <c r="G474" t="inlineStr">
        <is>
          <t>SÖDERHAMN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45108</v>
      </c>
      <c r="E475" s="1" t="n">
        <v>46289</v>
      </c>
      <c r="F475" t="inlineStr">
        <is>
          <t>GÄVLEBORGS LÄN</t>
        </is>
      </c>
      <c r="G475" t="inlineStr">
        <is>
          <t>SÖDERHAMN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46289</v>
      </c>
      <c r="F476" t="inlineStr">
        <is>
          <t>GÄVLEBORGS LÄN</t>
        </is>
      </c>
      <c r="G476" t="inlineStr">
        <is>
          <t>SÖDERHAMN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45595</v>
      </c>
      <c r="E477" s="1" t="n">
        <v>46289</v>
      </c>
      <c r="F477" t="inlineStr">
        <is>
          <t>GÄVLEBORGS LÄN</t>
        </is>
      </c>
      <c r="G477" t="inlineStr">
        <is>
          <t>SÖDERHAMN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45595</v>
      </c>
      <c r="E478" s="1" t="n">
        <v>46289</v>
      </c>
      <c r="F478" t="inlineStr">
        <is>
          <t>GÄVLEBORGS LÄN</t>
        </is>
      </c>
      <c r="G478" t="inlineStr">
        <is>
          <t>SÖDERHAMN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45394</v>
      </c>
      <c r="E479" s="1" t="n">
        <v>46289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45562</v>
      </c>
      <c r="E480" s="1" t="n">
        <v>46289</v>
      </c>
      <c r="F480" t="inlineStr">
        <is>
          <t>GÄVLEBORGS LÄN</t>
        </is>
      </c>
      <c r="G480" t="inlineStr">
        <is>
          <t>SÖDERHAMN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46066</v>
      </c>
      <c r="E481" s="1" t="n">
        <v>46289</v>
      </c>
      <c r="F481" t="inlineStr">
        <is>
          <t>GÄVLEBORGS LÄN</t>
        </is>
      </c>
      <c r="G481" t="inlineStr">
        <is>
          <t>SÖDERHAMN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19536-2025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46289</v>
      </c>
      <c r="F482" t="inlineStr">
        <is>
          <t>GÄVLEBORGS LÄN</t>
        </is>
      </c>
      <c r="G482" t="inlineStr">
        <is>
          <t>SÖDERHAMN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45960</v>
      </c>
      <c r="E483" s="1" t="n">
        <v>46289</v>
      </c>
      <c r="F483" t="inlineStr">
        <is>
          <t>GÄVLEBORGS LÄN</t>
        </is>
      </c>
      <c r="G483" t="inlineStr">
        <is>
          <t>SÖDERHAMN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16188-2025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45750</v>
      </c>
      <c r="E484" s="1" t="n">
        <v>46289</v>
      </c>
      <c r="F484" t="inlineStr">
        <is>
          <t>GÄVLEBORGS LÄN</t>
        </is>
      </c>
      <c r="G484" t="inlineStr">
        <is>
          <t>SÖDERHAMN</t>
        </is>
      </c>
      <c r="H484" t="inlineStr">
        <is>
          <t>Kommuner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45602</v>
      </c>
      <c r="E485" s="1" t="n">
        <v>46289</v>
      </c>
      <c r="F485" t="inlineStr">
        <is>
          <t>GÄVLEBORGS LÄN</t>
        </is>
      </c>
      <c r="G485" t="inlineStr">
        <is>
          <t>SÖDERHAMN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45622</v>
      </c>
      <c r="E486" s="1" t="n">
        <v>46289</v>
      </c>
      <c r="F486" t="inlineStr">
        <is>
          <t>GÄVLEBORGS LÄN</t>
        </is>
      </c>
      <c r="G486" t="inlineStr">
        <is>
          <t>SÖDERHAMN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10876-2026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46078</v>
      </c>
      <c r="E487" s="1" t="n">
        <v>46289</v>
      </c>
      <c r="F487" t="inlineStr">
        <is>
          <t>GÄVLEBORGS LÄN</t>
        </is>
      </c>
      <c r="G487" t="inlineStr">
        <is>
          <t>SÖDERHAMN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45817</v>
      </c>
      <c r="E488" s="1" t="n">
        <v>46289</v>
      </c>
      <c r="F488" t="inlineStr">
        <is>
          <t>GÄVLEBORGS LÄN</t>
        </is>
      </c>
      <c r="G488" t="inlineStr">
        <is>
          <t>SÖDERHAMN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45219</v>
      </c>
      <c r="E489" s="1" t="n">
        <v>46289</v>
      </c>
      <c r="F489" t="inlineStr">
        <is>
          <t>GÄVLEBORGS LÄN</t>
        </is>
      </c>
      <c r="G489" t="inlineStr">
        <is>
          <t>SÖDERHAMN</t>
        </is>
      </c>
      <c r="H489" t="inlineStr">
        <is>
          <t>Kommuner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45748</v>
      </c>
      <c r="E490" s="1" t="n">
        <v>46289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Kommuner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40793-2024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45558</v>
      </c>
      <c r="E491" s="1" t="n">
        <v>46289</v>
      </c>
      <c r="F491" t="inlineStr">
        <is>
          <t>GÄVLEBORGS LÄN</t>
        </is>
      </c>
      <c r="G491" t="inlineStr">
        <is>
          <t>SÖDERHAMN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45069</v>
      </c>
      <c r="E492" s="1" t="n">
        <v>46289</v>
      </c>
      <c r="F492" t="inlineStr">
        <is>
          <t>GÄVLEBORGS LÄN</t>
        </is>
      </c>
      <c r="G492" t="inlineStr">
        <is>
          <t>SÖDERHAMN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46289</v>
      </c>
      <c r="F493" t="inlineStr">
        <is>
          <t>GÄVLEBORGS LÄN</t>
        </is>
      </c>
      <c r="G493" t="inlineStr">
        <is>
          <t>SÖDERHAMN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23189-2025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45791</v>
      </c>
      <c r="E494" s="1" t="n">
        <v>46289</v>
      </c>
      <c r="F494" t="inlineStr">
        <is>
          <t>GÄVLEBORGS LÄN</t>
        </is>
      </c>
      <c r="G494" t="inlineStr">
        <is>
          <t>SÖDERHAMN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45757</v>
      </c>
      <c r="E495" s="1" t="n">
        <v>46289</v>
      </c>
      <c r="F495" t="inlineStr">
        <is>
          <t>GÄVLEBORGS LÄN</t>
        </is>
      </c>
      <c r="G495" t="inlineStr">
        <is>
          <t>SÖDERHAMN</t>
        </is>
      </c>
      <c r="H495" t="inlineStr">
        <is>
          <t>Kommuner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46289</v>
      </c>
      <c r="F496" t="inlineStr">
        <is>
          <t>GÄVLEBORGS LÄN</t>
        </is>
      </c>
      <c r="G496" t="inlineStr">
        <is>
          <t>SÖDERHAMN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55383-2025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45971</v>
      </c>
      <c r="E497" s="1" t="n">
        <v>46289</v>
      </c>
      <c r="F497" t="inlineStr">
        <is>
          <t>GÄVLEBORGS LÄN</t>
        </is>
      </c>
      <c r="G497" t="inlineStr">
        <is>
          <t>SÖDERHAMN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45296</v>
      </c>
      <c r="E498" s="1" t="n">
        <v>46289</v>
      </c>
      <c r="F498" t="inlineStr">
        <is>
          <t>GÄVLEBORGS LÄN</t>
        </is>
      </c>
      <c r="G498" t="inlineStr">
        <is>
          <t>SÖDERHAMN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46289</v>
      </c>
      <c r="F499" t="inlineStr">
        <is>
          <t>GÄVLEBORGS LÄN</t>
        </is>
      </c>
      <c r="G499" t="inlineStr">
        <is>
          <t>SÖDERHAMN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46289</v>
      </c>
      <c r="F500" t="inlineStr">
        <is>
          <t>GÄVLEBORGS LÄN</t>
        </is>
      </c>
      <c r="G500" t="inlineStr">
        <is>
          <t>SÖDERHAMN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46289</v>
      </c>
      <c r="F501" t="inlineStr">
        <is>
          <t>GÄVLEBORGS LÄN</t>
        </is>
      </c>
      <c r="G501" t="inlineStr">
        <is>
          <t>SÖDERHAMN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46289</v>
      </c>
      <c r="F502" t="inlineStr">
        <is>
          <t>GÄVLEBORGS LÄN</t>
        </is>
      </c>
      <c r="G502" t="inlineStr">
        <is>
          <t>SÖDERHAMN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20107-2026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46136</v>
      </c>
      <c r="E503" s="1" t="n">
        <v>46289</v>
      </c>
      <c r="F503" t="inlineStr">
        <is>
          <t>GÄVLEBORGS LÄN</t>
        </is>
      </c>
      <c r="G503" t="inlineStr">
        <is>
          <t>SÖDERHAMN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46289</v>
      </c>
      <c r="F504" t="inlineStr">
        <is>
          <t>GÄVLEBORGS LÄN</t>
        </is>
      </c>
      <c r="G504" t="inlineStr">
        <is>
          <t>SÖDERHAMN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20289-2026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46139</v>
      </c>
      <c r="E505" s="1" t="n">
        <v>46289</v>
      </c>
      <c r="F505" t="inlineStr">
        <is>
          <t>GÄVLEBORGS LÄN</t>
        </is>
      </c>
      <c r="G505" t="inlineStr">
        <is>
          <t>SÖDERHAMN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46289</v>
      </c>
      <c r="F506" t="inlineStr">
        <is>
          <t>GÄVLEBORGS LÄN</t>
        </is>
      </c>
      <c r="G506" t="inlineStr">
        <is>
          <t>SÖDERHAMN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46289</v>
      </c>
      <c r="F507" t="inlineStr">
        <is>
          <t>GÄVLEBORGS LÄN</t>
        </is>
      </c>
      <c r="G507" t="inlineStr">
        <is>
          <t>SÖDERHAMN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4497-2024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45327</v>
      </c>
      <c r="E508" s="1" t="n">
        <v>46289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20934-2026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46142</v>
      </c>
      <c r="E509" s="1" t="n">
        <v>46289</v>
      </c>
      <c r="F509" t="inlineStr">
        <is>
          <t>GÄVLEBORGS LÄN</t>
        </is>
      </c>
      <c r="G509" t="inlineStr">
        <is>
          <t>SÖDERHAMN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46142</v>
      </c>
      <c r="E510" s="1" t="n">
        <v>46289</v>
      </c>
      <c r="F510" t="inlineStr">
        <is>
          <t>GÄVLEBORGS LÄN</t>
        </is>
      </c>
      <c r="G510" t="inlineStr">
        <is>
          <t>SÖDERHAMN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13661-2026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46097</v>
      </c>
      <c r="E511" s="1" t="n">
        <v>46289</v>
      </c>
      <c r="F511" t="inlineStr">
        <is>
          <t>GÄVLEBORGS LÄN</t>
        </is>
      </c>
      <c r="G511" t="inlineStr">
        <is>
          <t>SÖDERHAMN</t>
        </is>
      </c>
      <c r="I511" t="n">
        <v>14.2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7972-2025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45707</v>
      </c>
      <c r="E512" s="1" t="n">
        <v>46289</v>
      </c>
      <c r="F512" t="inlineStr">
        <is>
          <t>GÄVLEBORGS LÄN</t>
        </is>
      </c>
      <c r="G512" t="inlineStr">
        <is>
          <t>SÖDERHAMN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58281-2024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46289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46024</v>
      </c>
      <c r="E514" s="1" t="n">
        <v>46289</v>
      </c>
      <c r="F514" t="inlineStr">
        <is>
          <t>GÄVLEBORGS LÄN</t>
        </is>
      </c>
      <c r="G514" t="inlineStr">
        <is>
          <t>SÖDERHAMN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53916-2024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45615</v>
      </c>
      <c r="E515" s="1" t="n">
        <v>46289</v>
      </c>
      <c r="F515" t="inlineStr">
        <is>
          <t>GÄVLEBORGS LÄN</t>
        </is>
      </c>
      <c r="G515" t="inlineStr">
        <is>
          <t>SÖDERHAMN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46289</v>
      </c>
      <c r="F516" t="inlineStr">
        <is>
          <t>GÄVLEBORGS LÄN</t>
        </is>
      </c>
      <c r="G516" t="inlineStr">
        <is>
          <t>SÖDERHAMN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45548</v>
      </c>
      <c r="E517" s="1" t="n">
        <v>46289</v>
      </c>
      <c r="F517" t="inlineStr">
        <is>
          <t>GÄVLEBORGS LÄN</t>
        </is>
      </c>
      <c r="G517" t="inlineStr">
        <is>
          <t>SÖDERHAMN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55765-2025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45972</v>
      </c>
      <c r="E518" s="1" t="n">
        <v>46289</v>
      </c>
      <c r="F518" t="inlineStr">
        <is>
          <t>GÄVLEBORGS LÄN</t>
        </is>
      </c>
      <c r="G518" t="inlineStr">
        <is>
          <t>SÖDERHAMN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46289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61680-2023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45265</v>
      </c>
      <c r="E520" s="1" t="n">
        <v>46289</v>
      </c>
      <c r="F520" t="inlineStr">
        <is>
          <t>GÄVLEBORGS LÄN</t>
        </is>
      </c>
      <c r="G520" t="inlineStr">
        <is>
          <t>SÖDERHAMN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46289</v>
      </c>
      <c r="F521" t="inlineStr">
        <is>
          <t>GÄVLEBORGS LÄN</t>
        </is>
      </c>
      <c r="G521" t="inlineStr">
        <is>
          <t>SÖDERHAMN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46289</v>
      </c>
      <c r="F522" t="inlineStr">
        <is>
          <t>GÄVLEBORGS LÄN</t>
        </is>
      </c>
      <c r="G522" t="inlineStr">
        <is>
          <t>SÖDERHAMN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46289</v>
      </c>
      <c r="F523" t="inlineStr">
        <is>
          <t>GÄVLEBORGS LÄN</t>
        </is>
      </c>
      <c r="G523" t="inlineStr">
        <is>
          <t>SÖDERHAMN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46289</v>
      </c>
      <c r="F524" t="inlineStr">
        <is>
          <t>GÄVLEBORGS LÄN</t>
        </is>
      </c>
      <c r="G524" t="inlineStr">
        <is>
          <t>SÖDERHAMN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46289</v>
      </c>
      <c r="F525" t="inlineStr">
        <is>
          <t>GÄVLEBORGS LÄN</t>
        </is>
      </c>
      <c r="G525" t="inlineStr">
        <is>
          <t>SÖDERHAMN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21690-2026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46289</v>
      </c>
      <c r="F526" t="inlineStr">
        <is>
          <t>GÄVLEBORGS LÄN</t>
        </is>
      </c>
      <c r="G526" t="inlineStr">
        <is>
          <t>SÖDERHAMN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46150</v>
      </c>
      <c r="E527" s="1" t="n">
        <v>46289</v>
      </c>
      <c r="F527" t="inlineStr">
        <is>
          <t>GÄVLEBORGS LÄN</t>
        </is>
      </c>
      <c r="G527" t="inlineStr">
        <is>
          <t>SÖDERHAMN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46289</v>
      </c>
      <c r="F528" t="inlineStr">
        <is>
          <t>GÄVLEBORGS LÄN</t>
        </is>
      </c>
      <c r="G528" t="inlineStr">
        <is>
          <t>SÖDERHAMN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21699-2026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46149</v>
      </c>
      <c r="E529" s="1" t="n">
        <v>46289</v>
      </c>
      <c r="F529" t="inlineStr">
        <is>
          <t>GÄVLEBORGS LÄN</t>
        </is>
      </c>
      <c r="G529" t="inlineStr">
        <is>
          <t>SÖDERHAMN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21252-2025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45779</v>
      </c>
      <c r="E530" s="1" t="n">
        <v>46289</v>
      </c>
      <c r="F530" t="inlineStr">
        <is>
          <t>GÄVLEBORGS LÄN</t>
        </is>
      </c>
      <c r="G530" t="inlineStr">
        <is>
          <t>SÖDERHAMN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45420</v>
      </c>
      <c r="E531" s="1" t="n">
        <v>46289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47676-2024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45588</v>
      </c>
      <c r="E532" s="1" t="n">
        <v>46289</v>
      </c>
      <c r="F532" t="inlineStr">
        <is>
          <t>GÄVLEBORGS LÄN</t>
        </is>
      </c>
      <c r="G532" t="inlineStr">
        <is>
          <t>SÖDERHAMN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46155</v>
      </c>
      <c r="E533" s="1" t="n">
        <v>46289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46289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46289</v>
      </c>
      <c r="F535" t="inlineStr">
        <is>
          <t>GÄVLEBORGS LÄN</t>
        </is>
      </c>
      <c r="G535" t="inlineStr">
        <is>
          <t>SÖDERHAMN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46289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46157</v>
      </c>
      <c r="E537" s="1" t="n">
        <v>46289</v>
      </c>
      <c r="F537" t="inlineStr">
        <is>
          <t>GÄVLEBORGS LÄN</t>
        </is>
      </c>
      <c r="G537" t="inlineStr">
        <is>
          <t>SÖDERHAMN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22735-2026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46157</v>
      </c>
      <c r="E538" s="1" t="n">
        <v>46289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46157</v>
      </c>
      <c r="E539" s="1" t="n">
        <v>46289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22790-2026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46157</v>
      </c>
      <c r="E540" s="1" t="n">
        <v>46289</v>
      </c>
      <c r="F540" t="inlineStr">
        <is>
          <t>GÄVLEBORGS LÄN</t>
        </is>
      </c>
      <c r="G540" t="inlineStr">
        <is>
          <t>SÖDERHAMN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22791-2026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46157</v>
      </c>
      <c r="E541" s="1" t="n">
        <v>46289</v>
      </c>
      <c r="F541" t="inlineStr">
        <is>
          <t>GÄVLEBORGS LÄN</t>
        </is>
      </c>
      <c r="G541" t="inlineStr">
        <is>
          <t>SÖDERHAMN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46157</v>
      </c>
      <c r="E542" s="1" t="n">
        <v>46289</v>
      </c>
      <c r="F542" t="inlineStr">
        <is>
          <t>GÄVLEBORGS LÄN</t>
        </is>
      </c>
      <c r="G542" t="inlineStr">
        <is>
          <t>SÖDERHAMN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22737-2026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46157</v>
      </c>
      <c r="E543" s="1" t="n">
        <v>46289</v>
      </c>
      <c r="F543" t="inlineStr">
        <is>
          <t>GÄVLEBORGS LÄN</t>
        </is>
      </c>
      <c r="G543" t="inlineStr">
        <is>
          <t>SÖDERHAMN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46162</v>
      </c>
      <c r="E544" s="1" t="n">
        <v>46289</v>
      </c>
      <c r="F544" t="inlineStr">
        <is>
          <t>GÄVLEBORGS LÄN</t>
        </is>
      </c>
      <c r="G544" t="inlineStr">
        <is>
          <t>SÖDERHAMN</t>
        </is>
      </c>
      <c r="I544" t="n">
        <v>7.9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46289</v>
      </c>
      <c r="F545" t="inlineStr">
        <is>
          <t>GÄVLEBORGS LÄN</t>
        </is>
      </c>
      <c r="G545" t="inlineStr">
        <is>
          <t>SÖDERHAMN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46164</v>
      </c>
      <c r="E546" s="1" t="n">
        <v>46289</v>
      </c>
      <c r="F546" t="inlineStr">
        <is>
          <t>GÄVLEBORGS LÄN</t>
        </is>
      </c>
      <c r="G546" t="inlineStr">
        <is>
          <t>SÖDERHAMN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23770-2026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46164</v>
      </c>
      <c r="E547" s="1" t="n">
        <v>46289</v>
      </c>
      <c r="F547" t="inlineStr">
        <is>
          <t>GÄVLEBORGS LÄN</t>
        </is>
      </c>
      <c r="G547" t="inlineStr">
        <is>
          <t>SÖDERHAMN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46163</v>
      </c>
      <c r="E548" s="1" t="n">
        <v>46289</v>
      </c>
      <c r="F548" t="inlineStr">
        <is>
          <t>GÄVLEBORGS LÄN</t>
        </is>
      </c>
      <c r="G548" t="inlineStr">
        <is>
          <t>SÖDERHAMN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45936</v>
      </c>
      <c r="E549" s="1" t="n">
        <v>46289</v>
      </c>
      <c r="F549" t="inlineStr">
        <is>
          <t>GÄVLEBORGS LÄN</t>
        </is>
      </c>
      <c r="G549" t="inlineStr">
        <is>
          <t>SÖDERHAMN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46167</v>
      </c>
      <c r="E550" s="1" t="n">
        <v>46289</v>
      </c>
      <c r="F550" t="inlineStr">
        <is>
          <t>GÄVLEBORGS LÄN</t>
        </is>
      </c>
      <c r="G550" t="inlineStr">
        <is>
          <t>SÖDERHAMN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46165</v>
      </c>
      <c r="E551" s="1" t="n">
        <v>46289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46289</v>
      </c>
      <c r="F552" t="inlineStr">
        <is>
          <t>GÄVLEBORGS LÄN</t>
        </is>
      </c>
      <c r="G552" t="inlineStr">
        <is>
          <t>SÖDERHAMN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46035</v>
      </c>
      <c r="E553" s="1" t="n">
        <v>46289</v>
      </c>
      <c r="F553" t="inlineStr">
        <is>
          <t>GÄVLEBORGS LÄN</t>
        </is>
      </c>
      <c r="G553" t="inlineStr">
        <is>
          <t>SÖDERHAMN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46289</v>
      </c>
      <c r="F554" t="inlineStr">
        <is>
          <t>GÄVLEBORGS LÄN</t>
        </is>
      </c>
      <c r="G554" t="inlineStr">
        <is>
          <t>SÖDERHAMN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46097</v>
      </c>
      <c r="E555" s="1" t="n">
        <v>46289</v>
      </c>
      <c r="F555" t="inlineStr">
        <is>
          <t>GÄVLEBORGS LÄN</t>
        </is>
      </c>
      <c r="G555" t="inlineStr">
        <is>
          <t>SÖDERHAMN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46289</v>
      </c>
      <c r="F556" t="inlineStr">
        <is>
          <t>GÄVLEBORGS LÄN</t>
        </is>
      </c>
      <c r="G556" t="inlineStr">
        <is>
          <t>SÖDERHAMN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46289</v>
      </c>
      <c r="F557" t="inlineStr">
        <is>
          <t>GÄVLEBORGS LÄN</t>
        </is>
      </c>
      <c r="G557" t="inlineStr">
        <is>
          <t>SÖDERHAMN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46289</v>
      </c>
      <c r="F558" t="inlineStr">
        <is>
          <t>GÄVLEBORGS LÄN</t>
        </is>
      </c>
      <c r="G558" t="inlineStr">
        <is>
          <t>SÖDERHAMN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46289</v>
      </c>
      <c r="F559" t="inlineStr">
        <is>
          <t>GÄVLEBORGS LÄN</t>
        </is>
      </c>
      <c r="G559" t="inlineStr">
        <is>
          <t>SÖDERHAMN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46289</v>
      </c>
      <c r="F560" t="inlineStr">
        <is>
          <t>GÄVLEBORGS LÄN</t>
        </is>
      </c>
      <c r="G560" t="inlineStr">
        <is>
          <t>SÖDERHAMN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24917-2026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46289</v>
      </c>
      <c r="F561" t="inlineStr">
        <is>
          <t>GÄVLEBORGS LÄN</t>
        </is>
      </c>
      <c r="G561" t="inlineStr">
        <is>
          <t>SÖDERHAMN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46289</v>
      </c>
      <c r="F562" t="inlineStr">
        <is>
          <t>GÄVLEBORGS LÄN</t>
        </is>
      </c>
      <c r="G562" t="inlineStr">
        <is>
          <t>SÖDERHAMN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46289</v>
      </c>
      <c r="F563" t="inlineStr">
        <is>
          <t>GÄVLEBORGS LÄN</t>
        </is>
      </c>
      <c r="G563" t="inlineStr">
        <is>
          <t>SÖDERHAMN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25477-2026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46289</v>
      </c>
      <c r="F564" t="inlineStr">
        <is>
          <t>GÄVLEBORGS LÄN</t>
        </is>
      </c>
      <c r="G564" t="inlineStr">
        <is>
          <t>SÖDERHAMN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46289</v>
      </c>
      <c r="F565" t="inlineStr">
        <is>
          <t>GÄVLEBORGS LÄN</t>
        </is>
      </c>
      <c r="G565" t="inlineStr">
        <is>
          <t>SÖDERHAMN</t>
        </is>
      </c>
      <c r="I565" t="n">
        <v>20.9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45210</v>
      </c>
      <c r="E566" s="1" t="n">
        <v>46289</v>
      </c>
      <c r="F566" t="inlineStr">
        <is>
          <t>GÄVLEBORGS LÄN</t>
        </is>
      </c>
      <c r="G566" t="inlineStr">
        <is>
          <t>SÖDERHAMN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46289</v>
      </c>
      <c r="F567" t="inlineStr">
        <is>
          <t>GÄVLEBORGS LÄN</t>
        </is>
      </c>
      <c r="G567" t="inlineStr">
        <is>
          <t>SÖDERHAMN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26042-2026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46177</v>
      </c>
      <c r="E568" s="1" t="n">
        <v>46289</v>
      </c>
      <c r="F568" t="inlineStr">
        <is>
          <t>GÄVLEBORGS LÄN</t>
        </is>
      </c>
      <c r="G568" t="inlineStr">
        <is>
          <t>SÖDERHAMN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46289</v>
      </c>
      <c r="F569" t="inlineStr">
        <is>
          <t>GÄVLEBORGS LÄN</t>
        </is>
      </c>
      <c r="G569" t="inlineStr">
        <is>
          <t>SÖDERHAMN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46289</v>
      </c>
      <c r="F570" t="inlineStr">
        <is>
          <t>GÄVLEBORGS LÄN</t>
        </is>
      </c>
      <c r="G570" t="inlineStr">
        <is>
          <t>SÖDERHAMN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46289</v>
      </c>
      <c r="F571" t="inlineStr">
        <is>
          <t>GÄVLEBORGS LÄN</t>
        </is>
      </c>
      <c r="G571" t="inlineStr">
        <is>
          <t>SÖDERHAMN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46122</v>
      </c>
      <c r="E572" s="1" t="n">
        <v>46289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27130-2026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46289</v>
      </c>
      <c r="F573" t="inlineStr">
        <is>
          <t>GÄVLEBORGS LÄN</t>
        </is>
      </c>
      <c r="G573" t="inlineStr">
        <is>
          <t>SÖDERHAMN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46289</v>
      </c>
      <c r="F574" t="inlineStr">
        <is>
          <t>GÄVLEBORGS LÄN</t>
        </is>
      </c>
      <c r="G574" t="inlineStr">
        <is>
          <t>SÖDERHAMN</t>
        </is>
      </c>
      <c r="I574" t="n">
        <v>11.8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46289</v>
      </c>
      <c r="F575" t="inlineStr">
        <is>
          <t>GÄVLEBORGS LÄN</t>
        </is>
      </c>
      <c r="G575" t="inlineStr">
        <is>
          <t>SÖDERHAMN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46289</v>
      </c>
      <c r="F576" t="inlineStr">
        <is>
          <t>GÄVLEBORGS LÄN</t>
        </is>
      </c>
      <c r="G576" t="inlineStr">
        <is>
          <t>SÖDERHAMN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28434-2026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46289</v>
      </c>
      <c r="F577" t="inlineStr">
        <is>
          <t>GÄVLEBORGS LÄN</t>
        </is>
      </c>
      <c r="G577" t="inlineStr">
        <is>
          <t>SÖDERHAMN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46289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46289</v>
      </c>
      <c r="F579" t="inlineStr">
        <is>
          <t>GÄVLEBORGS LÄN</t>
        </is>
      </c>
      <c r="G579" t="inlineStr">
        <is>
          <t>SÖDERHAMN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46207</v>
      </c>
      <c r="E580" s="1" t="n">
        <v>46289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30668-2026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46211</v>
      </c>
      <c r="E581" s="1" t="n">
        <v>46289</v>
      </c>
      <c r="F581" t="inlineStr">
        <is>
          <t>GÄVLEBORGS LÄN</t>
        </is>
      </c>
      <c r="G581" t="inlineStr">
        <is>
          <t>SÖDERHAMN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34183-2026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46253</v>
      </c>
      <c r="E582" s="1" t="n">
        <v>46289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46289</v>
      </c>
      <c r="F583" t="inlineStr">
        <is>
          <t>GÄVLEBORGS LÄN</t>
        </is>
      </c>
      <c r="G583" t="inlineStr">
        <is>
          <t>SÖDERHAMN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34761-2026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46289</v>
      </c>
      <c r="F584" t="inlineStr">
        <is>
          <t>GÄVLEBORGS LÄN</t>
        </is>
      </c>
      <c r="G584" t="inlineStr">
        <is>
          <t>SÖDERHAMN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46289</v>
      </c>
      <c r="F585" t="inlineStr">
        <is>
          <t>GÄVLEBORGS LÄN</t>
        </is>
      </c>
      <c r="G585" t="inlineStr">
        <is>
          <t>SÖDERHAMN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46212</v>
      </c>
      <c r="E586" s="1" t="n">
        <v>46289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Kyrkan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30875-2026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46212</v>
      </c>
      <c r="E587" s="1" t="n">
        <v>46289</v>
      </c>
      <c r="F587" t="inlineStr">
        <is>
          <t>GÄVLEBORGS LÄN</t>
        </is>
      </c>
      <c r="G587" t="inlineStr">
        <is>
          <t>SÖDERHAMN</t>
        </is>
      </c>
      <c r="H587" t="inlineStr">
        <is>
          <t>Kyrkan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46289</v>
      </c>
      <c r="F588" t="inlineStr">
        <is>
          <t>GÄVLEBORGS LÄN</t>
        </is>
      </c>
      <c r="G588" t="inlineStr">
        <is>
          <t>SÖDERHAMN</t>
        </is>
      </c>
      <c r="H588" t="inlineStr">
        <is>
          <t>Kyrkan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46289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46289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46289</v>
      </c>
      <c r="F591" t="inlineStr">
        <is>
          <t>GÄVLEBORGS LÄN</t>
        </is>
      </c>
      <c r="G591" t="inlineStr">
        <is>
          <t>SÖDERHAMN</t>
        </is>
      </c>
      <c r="H591" t="inlineStr">
        <is>
          <t>Övriga statliga verk och myndigheter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46289</v>
      </c>
      <c r="F592" t="inlineStr">
        <is>
          <t>GÄVLEBORGS LÄN</t>
        </is>
      </c>
      <c r="G592" t="inlineStr">
        <is>
          <t>SÖDERHAMN</t>
        </is>
      </c>
      <c r="H592" t="inlineStr">
        <is>
          <t>Övriga statliga verk och myndigheter</t>
        </is>
      </c>
      <c r="I592" t="n">
        <v>8.6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46042</v>
      </c>
      <c r="E593" s="1" t="n">
        <v>46289</v>
      </c>
      <c r="F593" t="inlineStr">
        <is>
          <t>GÄVLEBORGS LÄN</t>
        </is>
      </c>
      <c r="G593" t="inlineStr">
        <is>
          <t>SÖDERHAMN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46219</v>
      </c>
      <c r="E594" s="1" t="n">
        <v>46289</v>
      </c>
      <c r="F594" t="inlineStr">
        <is>
          <t>GÄVLEBORGS LÄN</t>
        </is>
      </c>
      <c r="G594" t="inlineStr">
        <is>
          <t>SÖDERHAMN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46219</v>
      </c>
      <c r="E595" s="1" t="n">
        <v>46289</v>
      </c>
      <c r="F595" t="inlineStr">
        <is>
          <t>GÄVLEBORGS LÄN</t>
        </is>
      </c>
      <c r="G595" t="inlineStr">
        <is>
          <t>SÖDERHAMN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46218</v>
      </c>
      <c r="E596" s="1" t="n">
        <v>46289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46219</v>
      </c>
      <c r="E597" s="1" t="n">
        <v>46289</v>
      </c>
      <c r="F597" t="inlineStr">
        <is>
          <t>GÄVLEBORGS LÄN</t>
        </is>
      </c>
      <c r="G597" t="inlineStr">
        <is>
          <t>SÖDERHAMN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46219</v>
      </c>
      <c r="E598" s="1" t="n">
        <v>46289</v>
      </c>
      <c r="F598" t="inlineStr">
        <is>
          <t>GÄVLEBORGS LÄN</t>
        </is>
      </c>
      <c r="G598" t="inlineStr">
        <is>
          <t>SÖDERHAMN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46223</v>
      </c>
      <c r="E599" s="1" t="n">
        <v>46289</v>
      </c>
      <c r="F599" t="inlineStr">
        <is>
          <t>GÄVLEBORGS LÄN</t>
        </is>
      </c>
      <c r="G599" t="inlineStr">
        <is>
          <t>SÖDERHAMN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46268</v>
      </c>
      <c r="E600" s="1" t="n">
        <v>46289</v>
      </c>
      <c r="F600" t="inlineStr">
        <is>
          <t>GÄVLEBORGS LÄN</t>
        </is>
      </c>
      <c r="G600" t="inlineStr">
        <is>
          <t>SÖDERHAMN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46289</v>
      </c>
      <c r="F601" t="inlineStr">
        <is>
          <t>GÄVLEBORGS LÄN</t>
        </is>
      </c>
      <c r="G601" t="inlineStr">
        <is>
          <t>SÖDERHAMN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46272</v>
      </c>
      <c r="E602" s="1" t="n">
        <v>46289</v>
      </c>
      <c r="F602" t="inlineStr">
        <is>
          <t>GÄVLEBORGS LÄN</t>
        </is>
      </c>
      <c r="G602" t="inlineStr">
        <is>
          <t>SÖDERHAMN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46227</v>
      </c>
      <c r="E603" s="1" t="n">
        <v>46289</v>
      </c>
      <c r="F603" t="inlineStr">
        <is>
          <t>GÄVLEBORGS LÄN</t>
        </is>
      </c>
      <c r="G603" t="inlineStr">
        <is>
          <t>SÖDERHAMN</t>
        </is>
      </c>
      <c r="I603" t="n">
        <v>11.5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37320-2026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46275</v>
      </c>
      <c r="E604" s="1" t="n">
        <v>46289</v>
      </c>
      <c r="F604" t="inlineStr">
        <is>
          <t>GÄVLEBORGS LÄN</t>
        </is>
      </c>
      <c r="G604" t="inlineStr">
        <is>
          <t>SÖDERHAMN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46289</v>
      </c>
      <c r="F605" t="inlineStr">
        <is>
          <t>GÄVLEBORGS LÄN</t>
        </is>
      </c>
      <c r="G605" t="inlineStr">
        <is>
          <t>SÖDERHAMN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11794-2026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46289</v>
      </c>
      <c r="F606" t="inlineStr">
        <is>
          <t>GÄVLEBORGS LÄN</t>
        </is>
      </c>
      <c r="G606" t="inlineStr">
        <is>
          <t>SÖDERHAMN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46289</v>
      </c>
      <c r="F607" t="inlineStr">
        <is>
          <t>GÄVLEBORGS LÄN</t>
        </is>
      </c>
      <c r="G607" t="inlineStr">
        <is>
          <t>SÖDERHAMN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46147</v>
      </c>
      <c r="E608" s="1" t="n">
        <v>46289</v>
      </c>
      <c r="F608" t="inlineStr">
        <is>
          <t>GÄVLEBORGS LÄN</t>
        </is>
      </c>
      <c r="G608" t="inlineStr">
        <is>
          <t>SÖDERHAMN</t>
        </is>
      </c>
      <c r="I608" t="n">
        <v>5.4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46281</v>
      </c>
      <c r="E609" s="1" t="n">
        <v>46289</v>
      </c>
      <c r="F609" t="inlineStr">
        <is>
          <t>GÄVLEBORGS LÄN</t>
        </is>
      </c>
      <c r="G609" t="inlineStr">
        <is>
          <t>SÖDERHAMN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46289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46289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46289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46289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46289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2026-09-24T01:57:26Z</dcterms:created>
  <dcterms:modified xmlns:dcterms="http://purl.org/dc/terms/" xmlns:xsi="http://www.w3.org/2001/XMLSchema-instance" xsi:type="dcterms:W3CDTF">2026-09-24T01:57:26Z</dcterms:modified>
</cp:coreProperties>
</file>