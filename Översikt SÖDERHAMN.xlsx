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46037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46037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46037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46037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46037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46037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46037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46037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46037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46037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46037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25237-2022</t>
        </is>
      </c>
      <c r="B17" s="1" t="n">
        <v>44729</v>
      </c>
      <c r="C17" s="1" t="n">
        <v>46037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18.6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HYPERLINK("https://klasma.github.io/Logging_2182/artfynd/A 25237-2022 artfynd.xlsx", "A 25237-2022")</f>
        <v/>
      </c>
      <c r="T17">
        <f>HYPERLINK("https://klasma.github.io/Logging_2182/kartor/A 25237-2022 karta.png", "A 25237-2022")</f>
        <v/>
      </c>
      <c r="V17">
        <f>HYPERLINK("https://klasma.github.io/Logging_2182/klagomål/A 25237-2022 FSC-klagomål.docx", "A 25237-2022")</f>
        <v/>
      </c>
      <c r="W17">
        <f>HYPERLINK("https://klasma.github.io/Logging_2182/klagomålsmail/A 25237-2022 FSC-klagomål mail.docx", "A 25237-2022")</f>
        <v/>
      </c>
      <c r="X17">
        <f>HYPERLINK("https://klasma.github.io/Logging_2182/tillsyn/A 25237-2022 tillsynsbegäran.docx", "A 25237-2022")</f>
        <v/>
      </c>
      <c r="Y17">
        <f>HYPERLINK("https://klasma.github.io/Logging_2182/tillsynsmail/A 25237-2022 tillsynsbegäran mail.docx", "A 25237-2022")</f>
        <v/>
      </c>
      <c r="Z17">
        <f>HYPERLINK("https://klasma.github.io/Logging_2182/fåglar/A 25237-2022 prioriterade fågelarter.docx", "A 25237-2022")</f>
        <v/>
      </c>
    </row>
    <row r="18" ht="15" customHeight="1">
      <c r="A18" t="inlineStr">
        <is>
          <t>A 31803-2024</t>
        </is>
      </c>
      <c r="B18" s="1" t="n">
        <v>45509</v>
      </c>
      <c r="C18" s="1" t="n">
        <v>46037</v>
      </c>
      <c r="D18" t="inlineStr">
        <is>
          <t>GÄVLEBORGS LÄN</t>
        </is>
      </c>
      <c r="E18" t="inlineStr">
        <is>
          <t>SÖDERHAMN</t>
        </is>
      </c>
      <c r="G18" t="n">
        <v>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HYPERLINK("https://klasma.github.io/Logging_2182/artfynd/A 31803-2024 artfynd.xlsx", "A 31803-2024")</f>
        <v/>
      </c>
      <c r="T18">
        <f>HYPERLINK("https://klasma.github.io/Logging_2182/kartor/A 31803-2024 karta.png", "A 31803-2024")</f>
        <v/>
      </c>
      <c r="U18">
        <f>HYPERLINK("https://klasma.github.io/Logging_2182/knärot/A 31803-2024 karta knärot.png", "A 31803-2024")</f>
        <v/>
      </c>
      <c r="V18">
        <f>HYPERLINK("https://klasma.github.io/Logging_2182/klagomål/A 31803-2024 FSC-klagomål.docx", "A 31803-2024")</f>
        <v/>
      </c>
      <c r="W18">
        <f>HYPERLINK("https://klasma.github.io/Logging_2182/klagomålsmail/A 31803-2024 FSC-klagomål mail.docx", "A 31803-2024")</f>
        <v/>
      </c>
      <c r="X18">
        <f>HYPERLINK("https://klasma.github.io/Logging_2182/tillsyn/A 31803-2024 tillsynsbegäran.docx", "A 31803-2024")</f>
        <v/>
      </c>
      <c r="Y18">
        <f>HYPERLINK("https://klasma.github.io/Logging_2182/tillsynsmail/A 31803-2024 tillsynsbegäran mail.docx", "A 31803-2024")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46037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46029.2840162037</v>
      </c>
      <c r="C20" s="1" t="n">
        <v>46037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46037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60322-2025</t>
        </is>
      </c>
      <c r="B22" s="1" t="n">
        <v>45994.72599537037</v>
      </c>
      <c r="C22" s="1" t="n">
        <v>46037</v>
      </c>
      <c r="D22" t="inlineStr">
        <is>
          <t>GÄVLEBORGS LÄN</t>
        </is>
      </c>
      <c r="E22" t="inlineStr">
        <is>
          <t>SÖDERHAMN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HYPERLINK("https://klasma.github.io/Logging_2182/artfynd/A 60322-2025 artfynd.xlsx", "A 60322-2025")</f>
        <v/>
      </c>
      <c r="T22">
        <f>HYPERLINK("https://klasma.github.io/Logging_2182/kartor/A 60322-2025 karta.png", "A 60322-2025")</f>
        <v/>
      </c>
      <c r="V22">
        <f>HYPERLINK("https://klasma.github.io/Logging_2182/klagomål/A 60322-2025 FSC-klagomål.docx", "A 60322-2025")</f>
        <v/>
      </c>
      <c r="W22">
        <f>HYPERLINK("https://klasma.github.io/Logging_2182/klagomålsmail/A 60322-2025 FSC-klagomål mail.docx", "A 60322-2025")</f>
        <v/>
      </c>
      <c r="X22">
        <f>HYPERLINK("https://klasma.github.io/Logging_2182/tillsyn/A 60322-2025 tillsynsbegäran.docx", "A 60322-2025")</f>
        <v/>
      </c>
      <c r="Y22">
        <f>HYPERLINK("https://klasma.github.io/Logging_2182/tillsynsmail/A 60322-2025 tillsynsbegäran mail.docx", "A 60322-2025")</f>
        <v/>
      </c>
      <c r="Z22">
        <f>HYPERLINK("https://klasma.github.io/Logging_2182/fåglar/A 60322-2025 prioriterade fågelarter.docx", "A 60322-2025")</f>
        <v/>
      </c>
    </row>
    <row r="23" ht="15" customHeight="1">
      <c r="A23" t="inlineStr">
        <is>
          <t>A 60318-2025</t>
        </is>
      </c>
      <c r="B23" s="1" t="n">
        <v>45994.71618055556</v>
      </c>
      <c r="C23" s="1" t="n">
        <v>46037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60318-2025 artfynd.xlsx", "A 60318-2025")</f>
        <v/>
      </c>
      <c r="T23">
        <f>HYPERLINK("https://klasma.github.io/Logging_2182/kartor/A 60318-2025 karta.png", "A 60318-2025")</f>
        <v/>
      </c>
      <c r="V23">
        <f>HYPERLINK("https://klasma.github.io/Logging_2182/klagomål/A 60318-2025 FSC-klagomål.docx", "A 60318-2025")</f>
        <v/>
      </c>
      <c r="W23">
        <f>HYPERLINK("https://klasma.github.io/Logging_2182/klagomålsmail/A 60318-2025 FSC-klagomål mail.docx", "A 60318-2025")</f>
        <v/>
      </c>
      <c r="X23">
        <f>HYPERLINK("https://klasma.github.io/Logging_2182/tillsyn/A 60318-2025 tillsynsbegäran.docx", "A 60318-2025")</f>
        <v/>
      </c>
      <c r="Y23">
        <f>HYPERLINK("https://klasma.github.io/Logging_2182/tillsynsmail/A 60318-2025 tillsynsbegäran mail.docx", "A 60318-2025")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46037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46037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46037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57441-2024</t>
        </is>
      </c>
      <c r="B27" s="1" t="n">
        <v>45629.87905092593</v>
      </c>
      <c r="C27" s="1" t="n">
        <v>46037</v>
      </c>
      <c r="D27" t="inlineStr">
        <is>
          <t>GÄVLEBORGS LÄN</t>
        </is>
      </c>
      <c r="E27" t="inlineStr">
        <is>
          <t>SÖDERHAMN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HYPERLINK("https://klasma.github.io/Logging_2182/artfynd/A 57441-2024 artfynd.xlsx", "A 57441-2024")</f>
        <v/>
      </c>
      <c r="T27">
        <f>HYPERLINK("https://klasma.github.io/Logging_2182/kartor/A 57441-2024 karta.png", "A 57441-2024")</f>
        <v/>
      </c>
      <c r="V27">
        <f>HYPERLINK("https://klasma.github.io/Logging_2182/klagomål/A 57441-2024 FSC-klagomål.docx", "A 57441-2024")</f>
        <v/>
      </c>
      <c r="W27">
        <f>HYPERLINK("https://klasma.github.io/Logging_2182/klagomålsmail/A 57441-2024 FSC-klagomål mail.docx", "A 57441-2024")</f>
        <v/>
      </c>
      <c r="X27">
        <f>HYPERLINK("https://klasma.github.io/Logging_2182/tillsyn/A 57441-2024 tillsynsbegäran.docx", "A 57441-2024")</f>
        <v/>
      </c>
      <c r="Y27">
        <f>HYPERLINK("https://klasma.github.io/Logging_2182/tillsynsmail/A 57441-2024 tillsynsbegäran mail.docx", "A 57441-2024")</f>
        <v/>
      </c>
    </row>
    <row r="28" ht="15" customHeight="1">
      <c r="A28" t="inlineStr">
        <is>
          <t>A 43682-2024</t>
        </is>
      </c>
      <c r="B28" s="1" t="n">
        <v>45569</v>
      </c>
      <c r="C28" s="1" t="n">
        <v>46037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HYPERLINK("https://klasma.github.io/Logging_2182/artfynd/A 43682-2024 artfynd.xlsx", "A 43682-2024")</f>
        <v/>
      </c>
      <c r="T28">
        <f>HYPERLINK("https://klasma.github.io/Logging_2182/kartor/A 43682-2024 karta.png", "A 43682-2024")</f>
        <v/>
      </c>
      <c r="V28">
        <f>HYPERLINK("https://klasma.github.io/Logging_2182/klagomål/A 43682-2024 FSC-klagomål.docx", "A 43682-2024")</f>
        <v/>
      </c>
      <c r="W28">
        <f>HYPERLINK("https://klasma.github.io/Logging_2182/klagomålsmail/A 43682-2024 FSC-klagomål mail.docx", "A 43682-2024")</f>
        <v/>
      </c>
      <c r="X28">
        <f>HYPERLINK("https://klasma.github.io/Logging_2182/tillsyn/A 43682-2024 tillsynsbegäran.docx", "A 43682-2024")</f>
        <v/>
      </c>
      <c r="Y28">
        <f>HYPERLINK("https://klasma.github.io/Logging_2182/tillsynsmail/A 43682-2024 tillsynsbegäran mail.docx", "A 43682-2024")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46037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46037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32750-2022</t>
        </is>
      </c>
      <c r="B31" s="1" t="n">
        <v>44783.76981481481</v>
      </c>
      <c r="C31" s="1" t="n">
        <v>46037</v>
      </c>
      <c r="D31" t="inlineStr">
        <is>
          <t>GÄVLEBORGS LÄN</t>
        </is>
      </c>
      <c r="E31" t="inlineStr">
        <is>
          <t>SÖDERHAMN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4040-2021</t>
        </is>
      </c>
      <c r="B32" s="1" t="n">
        <v>44218</v>
      </c>
      <c r="C32" s="1" t="n">
        <v>46037</v>
      </c>
      <c r="D32" t="inlineStr">
        <is>
          <t>GÄVLEBORGS LÄN</t>
        </is>
      </c>
      <c r="E32" t="inlineStr">
        <is>
          <t>SÖDERHAMN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46037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46037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3418-2021</t>
        </is>
      </c>
      <c r="B35" s="1" t="n">
        <v>44218</v>
      </c>
      <c r="C35" s="1" t="n">
        <v>46037</v>
      </c>
      <c r="D35" t="inlineStr">
        <is>
          <t>GÄVLEBORGS LÄN</t>
        </is>
      </c>
      <c r="E35" t="inlineStr">
        <is>
          <t>SÖDERHAMN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46037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46037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46037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46037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46037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46037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46037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46037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46037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46037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46037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46037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46037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46037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46037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2450-2021</t>
        </is>
      </c>
      <c r="B51" s="1" t="n">
        <v>44214</v>
      </c>
      <c r="C51" s="1" t="n">
        <v>46037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46037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46037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46037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46037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46037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46037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46037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46037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46037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46037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46037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46037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46037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46037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46037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46037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46037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46037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46037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46037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46037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46037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46037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46037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46037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46037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46037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46037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46037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46037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46037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46037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44370.49378472222</v>
      </c>
      <c r="C88" s="1" t="n">
        <v>46037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46037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46037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46037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46037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50059-2023</t>
        </is>
      </c>
      <c r="B93" s="1" t="n">
        <v>45215</v>
      </c>
      <c r="C93" s="1" t="n">
        <v>46037</v>
      </c>
      <c r="D93" t="inlineStr">
        <is>
          <t>GÄVLEBORGS LÄN</t>
        </is>
      </c>
      <c r="E93" t="inlineStr">
        <is>
          <t>SÖDERHAMN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6175-2025</t>
        </is>
      </c>
      <c r="B94" s="1" t="n">
        <v>45698.44600694445</v>
      </c>
      <c r="C94" s="1" t="n">
        <v>46037</v>
      </c>
      <c r="D94" t="inlineStr">
        <is>
          <t>GÄVLEBORGS LÄN</t>
        </is>
      </c>
      <c r="E94" t="inlineStr">
        <is>
          <t>SÖDERHAMN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42549-2024</t>
        </is>
      </c>
      <c r="B95" s="1" t="n">
        <v>45565.60444444444</v>
      </c>
      <c r="C95" s="1" t="n">
        <v>46037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46037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46037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4557-2024</t>
        </is>
      </c>
      <c r="B98" s="1" t="n">
        <v>45327</v>
      </c>
      <c r="C98" s="1" t="n">
        <v>46037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46037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46037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46037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16731-2025</t>
        </is>
      </c>
      <c r="B102" s="1" t="n">
        <v>45754.53108796296</v>
      </c>
      <c r="C102" s="1" t="n">
        <v>46037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18505-2024</t>
        </is>
      </c>
      <c r="B103" s="1" t="n">
        <v>45425</v>
      </c>
      <c r="C103" s="1" t="n">
        <v>46037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15929-2021</t>
        </is>
      </c>
      <c r="B104" s="1" t="n">
        <v>44287</v>
      </c>
      <c r="C104" s="1" t="n">
        <v>46037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16191-2025</t>
        </is>
      </c>
      <c r="B105" s="1" t="n">
        <v>45750.59752314815</v>
      </c>
      <c r="C105" s="1" t="n">
        <v>46037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16196-2025</t>
        </is>
      </c>
      <c r="B106" s="1" t="n">
        <v>45750.60038194444</v>
      </c>
      <c r="C106" s="1" t="n">
        <v>46037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19851-2024</t>
        </is>
      </c>
      <c r="B107" s="1" t="n">
        <v>45433.39725694444</v>
      </c>
      <c r="C107" s="1" t="n">
        <v>46037</v>
      </c>
      <c r="D107" t="inlineStr">
        <is>
          <t>GÄVLEBORGS LÄN</t>
        </is>
      </c>
      <c r="E107" t="inlineStr">
        <is>
          <t>SÖDERHAMN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11653-2024</t>
        </is>
      </c>
      <c r="B108" s="1" t="n">
        <v>45373.53380787037</v>
      </c>
      <c r="C108" s="1" t="n">
        <v>46037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46037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40577-2022</t>
        </is>
      </c>
      <c r="B110" s="1" t="n">
        <v>44823.69696759259</v>
      </c>
      <c r="C110" s="1" t="n">
        <v>46037</v>
      </c>
      <c r="D110" t="inlineStr">
        <is>
          <t>GÄVLEBORGS LÄN</t>
        </is>
      </c>
      <c r="E110" t="inlineStr">
        <is>
          <t>SÖDERHAMN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52091-2023</t>
        </is>
      </c>
      <c r="B111" s="1" t="n">
        <v>45223.78762731481</v>
      </c>
      <c r="C111" s="1" t="n">
        <v>46037</v>
      </c>
      <c r="D111" t="inlineStr">
        <is>
          <t>GÄVLEBORGS LÄN</t>
        </is>
      </c>
      <c r="E111" t="inlineStr">
        <is>
          <t>SÖDERHAMN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15682-2025</t>
        </is>
      </c>
      <c r="B112" s="1" t="n">
        <v>45748.45584490741</v>
      </c>
      <c r="C112" s="1" t="n">
        <v>46037</v>
      </c>
      <c r="D112" t="inlineStr">
        <is>
          <t>GÄVLEBORGS LÄN</t>
        </is>
      </c>
      <c r="E112" t="inlineStr">
        <is>
          <t>SÖDERHAMN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23261-2025</t>
        </is>
      </c>
      <c r="B113" s="1" t="n">
        <v>45791.55123842593</v>
      </c>
      <c r="C113" s="1" t="n">
        <v>46037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18466-2024</t>
        </is>
      </c>
      <c r="B114" s="1" t="n">
        <v>45425.49216435185</v>
      </c>
      <c r="C114" s="1" t="n">
        <v>46037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23265-2025</t>
        </is>
      </c>
      <c r="B115" s="1" t="n">
        <v>45791.5553125</v>
      </c>
      <c r="C115" s="1" t="n">
        <v>46037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59922-2023</t>
        </is>
      </c>
      <c r="B116" s="1" t="n">
        <v>45254</v>
      </c>
      <c r="C116" s="1" t="n">
        <v>46037</v>
      </c>
      <c r="D116" t="inlineStr">
        <is>
          <t>GÄVLEBORGS LÄN</t>
        </is>
      </c>
      <c r="E116" t="inlineStr">
        <is>
          <t>SÖDERHAMN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23332-2025</t>
        </is>
      </c>
      <c r="B117" s="1" t="n">
        <v>45791.64822916667</v>
      </c>
      <c r="C117" s="1" t="n">
        <v>46037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23599-2025</t>
        </is>
      </c>
      <c r="B118" s="1" t="n">
        <v>45792.6493287037</v>
      </c>
      <c r="C118" s="1" t="n">
        <v>46037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38218-2025</t>
        </is>
      </c>
      <c r="B119" s="1" t="n">
        <v>45883.32168981482</v>
      </c>
      <c r="C119" s="1" t="n">
        <v>46037</v>
      </c>
      <c r="D119" t="inlineStr">
        <is>
          <t>GÄVLEBORGS LÄN</t>
        </is>
      </c>
      <c r="E119" t="inlineStr">
        <is>
          <t>SÖDERHAMN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23189-2025</t>
        </is>
      </c>
      <c r="B120" s="1" t="n">
        <v>45791.44717592592</v>
      </c>
      <c r="C120" s="1" t="n">
        <v>46037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23307-2025</t>
        </is>
      </c>
      <c r="B121" s="1" t="n">
        <v>45791.60163194445</v>
      </c>
      <c r="C121" s="1" t="n">
        <v>46037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38398-2025</t>
        </is>
      </c>
      <c r="B122" s="1" t="n">
        <v>45883.58484953704</v>
      </c>
      <c r="C122" s="1" t="n">
        <v>46037</v>
      </c>
      <c r="D122" t="inlineStr">
        <is>
          <t>GÄVLEBORGS LÄN</t>
        </is>
      </c>
      <c r="E122" t="inlineStr">
        <is>
          <t>SÖDERHAMN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38545-2025</t>
        </is>
      </c>
      <c r="B123" s="1" t="n">
        <v>45884.43402777778</v>
      </c>
      <c r="C123" s="1" t="n">
        <v>46037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HYPERLINK("https://klasma.github.io/Logging_2182/knärot/A 38545-2025 karta knärot.png", "A 38545-2025")</f>
        <v/>
      </c>
      <c r="V123">
        <f>HYPERLINK("https://klasma.github.io/Logging_2182/klagomål/A 38545-2025 FSC-klagomål.docx", "A 38545-2025")</f>
        <v/>
      </c>
      <c r="W123">
        <f>HYPERLINK("https://klasma.github.io/Logging_2182/klagomålsmail/A 38545-2025 FSC-klagomål mail.docx", "A 38545-2025")</f>
        <v/>
      </c>
      <c r="X123">
        <f>HYPERLINK("https://klasma.github.io/Logging_2182/tillsyn/A 38545-2025 tillsynsbegäran.docx", "A 38545-2025")</f>
        <v/>
      </c>
      <c r="Y123">
        <f>HYPERLINK("https://klasma.github.io/Logging_2182/tillsynsmail/A 38545-2025 tillsynsbegäran mail.docx", "A 38545-2025")</f>
        <v/>
      </c>
    </row>
    <row r="124" ht="15" customHeight="1">
      <c r="A124" t="inlineStr">
        <is>
          <t>A 23822-2025</t>
        </is>
      </c>
      <c r="B124" s="1" t="n">
        <v>45793.58898148148</v>
      </c>
      <c r="C124" s="1" t="n">
        <v>46037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34978-2024</t>
        </is>
      </c>
      <c r="B125" s="1" t="n">
        <v>45527.54472222222</v>
      </c>
      <c r="C125" s="1" t="n">
        <v>46037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21789-2024</t>
        </is>
      </c>
      <c r="B126" s="1" t="n">
        <v>45442.64026620371</v>
      </c>
      <c r="C126" s="1" t="n">
        <v>46037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20166-2022</t>
        </is>
      </c>
      <c r="B127" s="1" t="n">
        <v>44698</v>
      </c>
      <c r="C127" s="1" t="n">
        <v>46037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60292-2024</t>
        </is>
      </c>
      <c r="B128" s="1" t="n">
        <v>45643.28773148148</v>
      </c>
      <c r="C128" s="1" t="n">
        <v>46037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24610-2025</t>
        </is>
      </c>
      <c r="B129" s="1" t="n">
        <v>45798.58113425926</v>
      </c>
      <c r="C129" s="1" t="n">
        <v>46037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24417-2025</t>
        </is>
      </c>
      <c r="B130" s="1" t="n">
        <v>45797.67623842593</v>
      </c>
      <c r="C130" s="1" t="n">
        <v>46037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24307-2025</t>
        </is>
      </c>
      <c r="B131" s="1" t="n">
        <v>45797.49787037037</v>
      </c>
      <c r="C131" s="1" t="n">
        <v>46037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31676-2022</t>
        </is>
      </c>
      <c r="B132" s="1" t="n">
        <v>44776</v>
      </c>
      <c r="C132" s="1" t="n">
        <v>46037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38537-2025</t>
        </is>
      </c>
      <c r="B133" s="1" t="n">
        <v>45884.42145833333</v>
      </c>
      <c r="C133" s="1" t="n">
        <v>46037</v>
      </c>
      <c r="D133" t="inlineStr">
        <is>
          <t>GÄVLEBORGS LÄN</t>
        </is>
      </c>
      <c r="E133" t="inlineStr">
        <is>
          <t>SÖDERHAMN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25900-2024</t>
        </is>
      </c>
      <c r="B134" s="1" t="n">
        <v>45467.55809027778</v>
      </c>
      <c r="C134" s="1" t="n">
        <v>46037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72644-2021</t>
        </is>
      </c>
      <c r="B135" s="1" t="n">
        <v>44546.58009259259</v>
      </c>
      <c r="C135" s="1" t="n">
        <v>46037</v>
      </c>
      <c r="D135" t="inlineStr">
        <is>
          <t>GÄVLEBORGS LÄN</t>
        </is>
      </c>
      <c r="E135" t="inlineStr">
        <is>
          <t>SÖDERHAMN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24206-2025</t>
        </is>
      </c>
      <c r="B136" s="1" t="n">
        <v>45797</v>
      </c>
      <c r="C136" s="1" t="n">
        <v>46037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24305-2025</t>
        </is>
      </c>
      <c r="B137" s="1" t="n">
        <v>45797.49285879629</v>
      </c>
      <c r="C137" s="1" t="n">
        <v>46037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25036-2025</t>
        </is>
      </c>
      <c r="B138" s="1" t="n">
        <v>45799.65690972222</v>
      </c>
      <c r="C138" s="1" t="n">
        <v>46037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17456-2025</t>
        </is>
      </c>
      <c r="B139" s="1" t="n">
        <v>45757</v>
      </c>
      <c r="C139" s="1" t="n">
        <v>46037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63932-2023</t>
        </is>
      </c>
      <c r="B140" s="1" t="n">
        <v>45278.6055324074</v>
      </c>
      <c r="C140" s="1" t="n">
        <v>46037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24161-2021</t>
        </is>
      </c>
      <c r="B141" s="1" t="n">
        <v>44336.60329861111</v>
      </c>
      <c r="C141" s="1" t="n">
        <v>46037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49941-2024</t>
        </is>
      </c>
      <c r="B142" s="1" t="n">
        <v>45597.59409722222</v>
      </c>
      <c r="C142" s="1" t="n">
        <v>46037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39471-2025</t>
        </is>
      </c>
      <c r="B143" s="1" t="n">
        <v>45890.33939814815</v>
      </c>
      <c r="C143" s="1" t="n">
        <v>46037</v>
      </c>
      <c r="D143" t="inlineStr">
        <is>
          <t>GÄVLEBORGS LÄN</t>
        </is>
      </c>
      <c r="E143" t="inlineStr">
        <is>
          <t>SÖDERHAMN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19188-2024</t>
        </is>
      </c>
      <c r="B144" s="1" t="n">
        <v>45428.48818287037</v>
      </c>
      <c r="C144" s="1" t="n">
        <v>46037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22227-2024</t>
        </is>
      </c>
      <c r="B145" s="1" t="n">
        <v>45446.42173611111</v>
      </c>
      <c r="C145" s="1" t="n">
        <v>46037</v>
      </c>
      <c r="D145" t="inlineStr">
        <is>
          <t>GÄVLEBORGS LÄN</t>
        </is>
      </c>
      <c r="E145" t="inlineStr">
        <is>
          <t>SÖDERHAMN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38110-2024</t>
        </is>
      </c>
      <c r="B146" s="1" t="n">
        <v>45545</v>
      </c>
      <c r="C146" s="1" t="n">
        <v>46037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38111-2024</t>
        </is>
      </c>
      <c r="B147" s="1" t="n">
        <v>45545.38399305556</v>
      </c>
      <c r="C147" s="1" t="n">
        <v>46037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64138-2023</t>
        </is>
      </c>
      <c r="B148" s="1" t="n">
        <v>45279</v>
      </c>
      <c r="C148" s="1" t="n">
        <v>46037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54171-2024</t>
        </is>
      </c>
      <c r="B149" s="1" t="n">
        <v>45616.62708333333</v>
      </c>
      <c r="C149" s="1" t="n">
        <v>46037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39496-2025</t>
        </is>
      </c>
      <c r="B150" s="1" t="n">
        <v>45890.37798611111</v>
      </c>
      <c r="C150" s="1" t="n">
        <v>46037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39399-2025</t>
        </is>
      </c>
      <c r="B151" s="1" t="n">
        <v>45889.6340625</v>
      </c>
      <c r="C151" s="1" t="n">
        <v>46037</v>
      </c>
      <c r="D151" t="inlineStr">
        <is>
          <t>GÄVLEBORGS LÄN</t>
        </is>
      </c>
      <c r="E151" t="inlineStr">
        <is>
          <t>SÖDERHAMN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25904-2024</t>
        </is>
      </c>
      <c r="B152" s="1" t="n">
        <v>45467.57811342592</v>
      </c>
      <c r="C152" s="1" t="n">
        <v>46037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40162-2025</t>
        </is>
      </c>
      <c r="B153" s="1" t="n">
        <v>45894.61478009259</v>
      </c>
      <c r="C153" s="1" t="n">
        <v>46037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HYPERLINK("https://klasma.github.io/Logging_2182/knärot/A 40162-2025 karta knärot.png", "A 40162-2025")</f>
        <v/>
      </c>
      <c r="V153">
        <f>HYPERLINK("https://klasma.github.io/Logging_2182/klagomål/A 40162-2025 FSC-klagomål.docx", "A 40162-2025")</f>
        <v/>
      </c>
      <c r="W153">
        <f>HYPERLINK("https://klasma.github.io/Logging_2182/klagomålsmail/A 40162-2025 FSC-klagomål mail.docx", "A 40162-2025")</f>
        <v/>
      </c>
      <c r="X153">
        <f>HYPERLINK("https://klasma.github.io/Logging_2182/tillsyn/A 40162-2025 tillsynsbegäran.docx", "A 40162-2025")</f>
        <v/>
      </c>
      <c r="Y153">
        <f>HYPERLINK("https://klasma.github.io/Logging_2182/tillsynsmail/A 40162-2025 tillsynsbegäran mail.docx", "A 40162-2025")</f>
        <v/>
      </c>
    </row>
    <row r="154" ht="15" customHeight="1">
      <c r="A154" t="inlineStr">
        <is>
          <t>A 39797-2025</t>
        </is>
      </c>
      <c r="B154" s="1" t="n">
        <v>45891.49655092593</v>
      </c>
      <c r="C154" s="1" t="n">
        <v>46037</v>
      </c>
      <c r="D154" t="inlineStr">
        <is>
          <t>GÄVLEBORGS LÄN</t>
        </is>
      </c>
      <c r="E154" t="inlineStr">
        <is>
          <t>SÖDERHAMN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26266-2025</t>
        </is>
      </c>
      <c r="B155" s="1" t="n">
        <v>45805.5902199074</v>
      </c>
      <c r="C155" s="1" t="n">
        <v>46037</v>
      </c>
      <c r="D155" t="inlineStr">
        <is>
          <t>GÄVLEBORGS LÄN</t>
        </is>
      </c>
      <c r="E155" t="inlineStr">
        <is>
          <t>SÖDERHAMN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39774-2025</t>
        </is>
      </c>
      <c r="B156" s="1" t="n">
        <v>45891.46103009259</v>
      </c>
      <c r="C156" s="1" t="n">
        <v>46037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29474-2025</t>
        </is>
      </c>
      <c r="B157" s="1" t="n">
        <v>45824.70642361111</v>
      </c>
      <c r="C157" s="1" t="n">
        <v>46037</v>
      </c>
      <c r="D157" t="inlineStr">
        <is>
          <t>GÄVLEBORGS LÄN</t>
        </is>
      </c>
      <c r="E157" t="inlineStr">
        <is>
          <t>SÖDERHAMN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26187-2025</t>
        </is>
      </c>
      <c r="B158" s="1" t="n">
        <v>45805.48078703704</v>
      </c>
      <c r="C158" s="1" t="n">
        <v>46037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21991-2024</t>
        </is>
      </c>
      <c r="B159" s="1" t="n">
        <v>45443.55751157407</v>
      </c>
      <c r="C159" s="1" t="n">
        <v>46037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24083-2025</t>
        </is>
      </c>
      <c r="B160" s="1" t="n">
        <v>45796.56046296296</v>
      </c>
      <c r="C160" s="1" t="n">
        <v>46037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40042-2025</t>
        </is>
      </c>
      <c r="B161" s="1" t="n">
        <v>45894.40082175926</v>
      </c>
      <c r="C161" s="1" t="n">
        <v>46037</v>
      </c>
      <c r="D161" t="inlineStr">
        <is>
          <t>GÄVLEBORGS LÄN</t>
        </is>
      </c>
      <c r="E161" t="inlineStr">
        <is>
          <t>SÖDERHAMN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54799-2022</t>
        </is>
      </c>
      <c r="B162" s="1" t="n">
        <v>44883</v>
      </c>
      <c r="C162" s="1" t="n">
        <v>46037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29821-2024</t>
        </is>
      </c>
      <c r="B163" s="1" t="n">
        <v>45485.55846064815</v>
      </c>
      <c r="C163" s="1" t="n">
        <v>46037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14757-2024</t>
        </is>
      </c>
      <c r="B164" s="1" t="n">
        <v>45397</v>
      </c>
      <c r="C164" s="1" t="n">
        <v>46037</v>
      </c>
      <c r="D164" t="inlineStr">
        <is>
          <t>GÄVLEBORGS LÄN</t>
        </is>
      </c>
      <c r="E164" t="inlineStr">
        <is>
          <t>SÖDERHAMN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14498-2023</t>
        </is>
      </c>
      <c r="B165" s="1" t="n">
        <v>45012</v>
      </c>
      <c r="C165" s="1" t="n">
        <v>46037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37837-2024</t>
        </is>
      </c>
      <c r="B166" s="1" t="n">
        <v>45544.36217592593</v>
      </c>
      <c r="C166" s="1" t="n">
        <v>46037</v>
      </c>
      <c r="D166" t="inlineStr">
        <is>
          <t>GÄVLEBORGS LÄN</t>
        </is>
      </c>
      <c r="E166" t="inlineStr">
        <is>
          <t>SÖDERHAMN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39879-2025</t>
        </is>
      </c>
      <c r="B167" s="1" t="n">
        <v>45891.61613425926</v>
      </c>
      <c r="C167" s="1" t="n">
        <v>46037</v>
      </c>
      <c r="D167" t="inlineStr">
        <is>
          <t>GÄVLEBORGS LÄN</t>
        </is>
      </c>
      <c r="E167" t="inlineStr">
        <is>
          <t>SÖDERHAMN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39784-2025</t>
        </is>
      </c>
      <c r="B168" s="1" t="n">
        <v>45891.47790509259</v>
      </c>
      <c r="C168" s="1" t="n">
        <v>46037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62903-2023</t>
        </is>
      </c>
      <c r="B169" s="1" t="n">
        <v>45272</v>
      </c>
      <c r="C169" s="1" t="n">
        <v>46037</v>
      </c>
      <c r="D169" t="inlineStr">
        <is>
          <t>GÄVLEBORGS LÄN</t>
        </is>
      </c>
      <c r="E169" t="inlineStr">
        <is>
          <t>SÖDERHAMN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40396-2025</t>
        </is>
      </c>
      <c r="B170" s="1" t="n">
        <v>45895.55916666667</v>
      </c>
      <c r="C170" s="1" t="n">
        <v>46037</v>
      </c>
      <c r="D170" t="inlineStr">
        <is>
          <t>GÄVLEBORGS LÄN</t>
        </is>
      </c>
      <c r="E170" t="inlineStr">
        <is>
          <t>SÖDERHAMN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40575-2025</t>
        </is>
      </c>
      <c r="B171" s="1" t="n">
        <v>45896.50347222222</v>
      </c>
      <c r="C171" s="1" t="n">
        <v>46037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19652-2024</t>
        </is>
      </c>
      <c r="B172" s="1" t="n">
        <v>45432.44259259259</v>
      </c>
      <c r="C172" s="1" t="n">
        <v>46037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40400-2025</t>
        </is>
      </c>
      <c r="B173" s="1" t="n">
        <v>45895.56410879629</v>
      </c>
      <c r="C173" s="1" t="n">
        <v>46037</v>
      </c>
      <c r="D173" t="inlineStr">
        <is>
          <t>GÄVLEBORGS LÄN</t>
        </is>
      </c>
      <c r="E173" t="inlineStr">
        <is>
          <t>SÖDERHAMN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40536-2025</t>
        </is>
      </c>
      <c r="B174" s="1" t="n">
        <v>45896.40668981482</v>
      </c>
      <c r="C174" s="1" t="n">
        <v>46037</v>
      </c>
      <c r="D174" t="inlineStr">
        <is>
          <t>GÄVLEBORGS LÄN</t>
        </is>
      </c>
      <c r="E174" t="inlineStr">
        <is>
          <t>SÖDERHAMN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26805-2025</t>
        </is>
      </c>
      <c r="B175" s="1" t="n">
        <v>45810.61028935185</v>
      </c>
      <c r="C175" s="1" t="n">
        <v>46037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41225-2025</t>
        </is>
      </c>
      <c r="B176" s="1" t="n">
        <v>45898.58877314815</v>
      </c>
      <c r="C176" s="1" t="n">
        <v>46037</v>
      </c>
      <c r="D176" t="inlineStr">
        <is>
          <t>GÄVLEBORGS LÄN</t>
        </is>
      </c>
      <c r="E176" t="inlineStr">
        <is>
          <t>SÖDERHAMN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25029-2025</t>
        </is>
      </c>
      <c r="B177" s="1" t="n">
        <v>45799.65251157407</v>
      </c>
      <c r="C177" s="1" t="n">
        <v>46037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18466-2025</t>
        </is>
      </c>
      <c r="B178" s="1" t="n">
        <v>45762.70567129629</v>
      </c>
      <c r="C178" s="1" t="n">
        <v>46037</v>
      </c>
      <c r="D178" t="inlineStr">
        <is>
          <t>GÄVLEBORGS LÄN</t>
        </is>
      </c>
      <c r="E178" t="inlineStr">
        <is>
          <t>SÖDERHAMN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57753-2023</t>
        </is>
      </c>
      <c r="B179" s="1" t="n">
        <v>45246.78600694444</v>
      </c>
      <c r="C179" s="1" t="n">
        <v>46037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27285-2025</t>
        </is>
      </c>
      <c r="B180" s="1" t="n">
        <v>45812.55133101852</v>
      </c>
      <c r="C180" s="1" t="n">
        <v>46037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27024-2025</t>
        </is>
      </c>
      <c r="B181" s="1" t="n">
        <v>45811.57541666667</v>
      </c>
      <c r="C181" s="1" t="n">
        <v>46037</v>
      </c>
      <c r="D181" t="inlineStr">
        <is>
          <t>GÄVLEBORGS LÄN</t>
        </is>
      </c>
      <c r="E181" t="inlineStr">
        <is>
          <t>SÖDERHAMN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27050-2024</t>
        </is>
      </c>
      <c r="B182" s="1" t="n">
        <v>45471.44736111111</v>
      </c>
      <c r="C182" s="1" t="n">
        <v>46037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18459-2025</t>
        </is>
      </c>
      <c r="B183" s="1" t="n">
        <v>45762</v>
      </c>
      <c r="C183" s="1" t="n">
        <v>46037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57694-2022</t>
        </is>
      </c>
      <c r="B184" s="1" t="n">
        <v>44897.49520833333</v>
      </c>
      <c r="C184" s="1" t="n">
        <v>46037</v>
      </c>
      <c r="D184" t="inlineStr">
        <is>
          <t>GÄVLEBORGS LÄN</t>
        </is>
      </c>
      <c r="E184" t="inlineStr">
        <is>
          <t>SÖDERHAMN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41351-2025</t>
        </is>
      </c>
      <c r="B185" s="1" t="n">
        <v>45899.67356481482</v>
      </c>
      <c r="C185" s="1" t="n">
        <v>46037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46037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42258-2025</t>
        </is>
      </c>
      <c r="B187" s="1" t="n">
        <v>45904.59408564815</v>
      </c>
      <c r="C187" s="1" t="n">
        <v>46037</v>
      </c>
      <c r="D187" t="inlineStr">
        <is>
          <t>GÄVLEBORGS LÄN</t>
        </is>
      </c>
      <c r="E187" t="inlineStr">
        <is>
          <t>SÖDERHAMN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42409-2025</t>
        </is>
      </c>
      <c r="B188" s="1" t="n">
        <v>45905</v>
      </c>
      <c r="C188" s="1" t="n">
        <v>46037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42408-2025</t>
        </is>
      </c>
      <c r="B189" s="1" t="n">
        <v>45905.38579861111</v>
      </c>
      <c r="C189" s="1" t="n">
        <v>46037</v>
      </c>
      <c r="D189" t="inlineStr">
        <is>
          <t>GÄVLEBORGS LÄN</t>
        </is>
      </c>
      <c r="E189" t="inlineStr">
        <is>
          <t>SÖDERHAMN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46037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46037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28003-2025</t>
        </is>
      </c>
      <c r="B192" s="1" t="n">
        <v>45817.59530092592</v>
      </c>
      <c r="C192" s="1" t="n">
        <v>46037</v>
      </c>
      <c r="D192" t="inlineStr">
        <is>
          <t>GÄVLEBORGS LÄN</t>
        </is>
      </c>
      <c r="E192" t="inlineStr">
        <is>
          <t>SÖDERHAMN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42519-2025</t>
        </is>
      </c>
      <c r="B193" s="1" t="n">
        <v>45905.54800925926</v>
      </c>
      <c r="C193" s="1" t="n">
        <v>46037</v>
      </c>
      <c r="D193" t="inlineStr">
        <is>
          <t>GÄVLEBORGS LÄN</t>
        </is>
      </c>
      <c r="E193" t="inlineStr">
        <is>
          <t>SÖDERHAMN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42497-2025</t>
        </is>
      </c>
      <c r="B194" s="1" t="n">
        <v>45905.50929398148</v>
      </c>
      <c r="C194" s="1" t="n">
        <v>46037</v>
      </c>
      <c r="D194" t="inlineStr">
        <is>
          <t>GÄVLEBORGS LÄN</t>
        </is>
      </c>
      <c r="E194" t="inlineStr">
        <is>
          <t>SÖDERHAMN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38079-2024</t>
        </is>
      </c>
      <c r="B195" s="1" t="n">
        <v>45545</v>
      </c>
      <c r="C195" s="1" t="n">
        <v>46037</v>
      </c>
      <c r="D195" t="inlineStr">
        <is>
          <t>GÄVLEBORGS LÄN</t>
        </is>
      </c>
      <c r="E195" t="inlineStr">
        <is>
          <t>SÖDERHAMN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57814-2022</t>
        </is>
      </c>
      <c r="B196" s="1" t="n">
        <v>44897.91680555556</v>
      </c>
      <c r="C196" s="1" t="n">
        <v>46037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28070-2024</t>
        </is>
      </c>
      <c r="B197" s="1" t="n">
        <v>45476</v>
      </c>
      <c r="C197" s="1" t="n">
        <v>46037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29036-2025</t>
        </is>
      </c>
      <c r="B198" s="1" t="n">
        <v>45821.44332175926</v>
      </c>
      <c r="C198" s="1" t="n">
        <v>46037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42902-2024</t>
        </is>
      </c>
      <c r="B199" s="1" t="n">
        <v>45566.87280092593</v>
      </c>
      <c r="C199" s="1" t="n">
        <v>46037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43598-2025</t>
        </is>
      </c>
      <c r="B200" s="1" t="n">
        <v>45911.66398148148</v>
      </c>
      <c r="C200" s="1" t="n">
        <v>46037</v>
      </c>
      <c r="D200" t="inlineStr">
        <is>
          <t>GÄVLEBORGS LÄN</t>
        </is>
      </c>
      <c r="E200" t="inlineStr">
        <is>
          <t>SÖDERHAMN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43375-2025</t>
        </is>
      </c>
      <c r="B201" s="1" t="n">
        <v>45911.35146990741</v>
      </c>
      <c r="C201" s="1" t="n">
        <v>46037</v>
      </c>
      <c r="D201" t="inlineStr">
        <is>
          <t>GÄVLEBORGS LÄN</t>
        </is>
      </c>
      <c r="E201" t="inlineStr">
        <is>
          <t>SÖDERHAMN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29459-2025</t>
        </is>
      </c>
      <c r="B202" s="1" t="n">
        <v>45824.69475694445</v>
      </c>
      <c r="C202" s="1" t="n">
        <v>46037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31935-2024</t>
        </is>
      </c>
      <c r="B203" s="1" t="n">
        <v>45510.41490740741</v>
      </c>
      <c r="C203" s="1" t="n">
        <v>46037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29456-2025</t>
        </is>
      </c>
      <c r="B204" s="1" t="n">
        <v>45824.6874537037</v>
      </c>
      <c r="C204" s="1" t="n">
        <v>46037</v>
      </c>
      <c r="D204" t="inlineStr">
        <is>
          <t>GÄVLEBORGS LÄN</t>
        </is>
      </c>
      <c r="E204" t="inlineStr">
        <is>
          <t>SÖDERHAMN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43355-2025</t>
        </is>
      </c>
      <c r="B205" s="1" t="n">
        <v>45911.32771990741</v>
      </c>
      <c r="C205" s="1" t="n">
        <v>46037</v>
      </c>
      <c r="D205" t="inlineStr">
        <is>
          <t>GÄVLEBORGS LÄN</t>
        </is>
      </c>
      <c r="E205" t="inlineStr">
        <is>
          <t>SÖDERHAMN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44181-2025</t>
        </is>
      </c>
      <c r="B206" s="1" t="n">
        <v>45915.60914351852</v>
      </c>
      <c r="C206" s="1" t="n">
        <v>46037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29835-2025</t>
        </is>
      </c>
      <c r="B207" s="1" t="n">
        <v>45825.94304398148</v>
      </c>
      <c r="C207" s="1" t="n">
        <v>46037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30058-2025</t>
        </is>
      </c>
      <c r="B208" s="1" t="n">
        <v>45826.60596064815</v>
      </c>
      <c r="C208" s="1" t="n">
        <v>46037</v>
      </c>
      <c r="D208" t="inlineStr">
        <is>
          <t>GÄVLEBORGS LÄN</t>
        </is>
      </c>
      <c r="E208" t="inlineStr">
        <is>
          <t>SÖDERHAMN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51553-2024</t>
        </is>
      </c>
      <c r="B209" s="1" t="n">
        <v>45604.60453703703</v>
      </c>
      <c r="C209" s="1" t="n">
        <v>46037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29834-2025</t>
        </is>
      </c>
      <c r="B210" s="1" t="n">
        <v>45825.93572916667</v>
      </c>
      <c r="C210" s="1" t="n">
        <v>46037</v>
      </c>
      <c r="D210" t="inlineStr">
        <is>
          <t>GÄVLEBORGS LÄN</t>
        </is>
      </c>
      <c r="E210" t="inlineStr">
        <is>
          <t>SÖDERHAMN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29957-2025</t>
        </is>
      </c>
      <c r="B211" s="1" t="n">
        <v>45826.47090277778</v>
      </c>
      <c r="C211" s="1" t="n">
        <v>46037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30558-2024</t>
        </is>
      </c>
      <c r="B212" s="1" t="n">
        <v>45492.92803240741</v>
      </c>
      <c r="C212" s="1" t="n">
        <v>46037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30559-2024</t>
        </is>
      </c>
      <c r="B213" s="1" t="n">
        <v>45492</v>
      </c>
      <c r="C213" s="1" t="n">
        <v>46037</v>
      </c>
      <c r="D213" t="inlineStr">
        <is>
          <t>GÄVLEBORGS LÄN</t>
        </is>
      </c>
      <c r="E213" t="inlineStr">
        <is>
          <t>SÖDERHAMN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30359-2024</t>
        </is>
      </c>
      <c r="B214" s="1" t="n">
        <v>45491.34340277778</v>
      </c>
      <c r="C214" s="1" t="n">
        <v>46037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15630-2025</t>
        </is>
      </c>
      <c r="B215" s="1" t="n">
        <v>45748.36497685185</v>
      </c>
      <c r="C215" s="1" t="n">
        <v>46037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50268-2024</t>
        </is>
      </c>
      <c r="B216" s="1" t="n">
        <v>45600.58967592593</v>
      </c>
      <c r="C216" s="1" t="n">
        <v>46037</v>
      </c>
      <c r="D216" t="inlineStr">
        <is>
          <t>GÄVLEBORGS LÄN</t>
        </is>
      </c>
      <c r="E216" t="inlineStr">
        <is>
          <t>SÖDERHAMN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16197-2025</t>
        </is>
      </c>
      <c r="B217" s="1" t="n">
        <v>45750.60393518519</v>
      </c>
      <c r="C217" s="1" t="n">
        <v>46037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45194-2025</t>
        </is>
      </c>
      <c r="B218" s="1" t="n">
        <v>45919.55409722222</v>
      </c>
      <c r="C218" s="1" t="n">
        <v>46037</v>
      </c>
      <c r="D218" t="inlineStr">
        <is>
          <t>GÄVLEBORGS LÄN</t>
        </is>
      </c>
      <c r="E218" t="inlineStr">
        <is>
          <t>SÖDERHAMN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39869-2025</t>
        </is>
      </c>
      <c r="B219" s="1" t="n">
        <v>45891.60927083333</v>
      </c>
      <c r="C219" s="1" t="n">
        <v>46037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3031-2022</t>
        </is>
      </c>
      <c r="B220" s="1" t="n">
        <v>44582.27614583333</v>
      </c>
      <c r="C220" s="1" t="n">
        <v>46037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1458-2023</t>
        </is>
      </c>
      <c r="B221" s="1" t="n">
        <v>44937</v>
      </c>
      <c r="C221" s="1" t="n">
        <v>46037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51458-2022</t>
        </is>
      </c>
      <c r="B222" s="1" t="n">
        <v>44869.53126157408</v>
      </c>
      <c r="C222" s="1" t="n">
        <v>46037</v>
      </c>
      <c r="D222" t="inlineStr">
        <is>
          <t>GÄVLEBORGS LÄN</t>
        </is>
      </c>
      <c r="E222" t="inlineStr">
        <is>
          <t>SÖDERHAMN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32729-2025</t>
        </is>
      </c>
      <c r="B223" s="1" t="n">
        <v>45839</v>
      </c>
      <c r="C223" s="1" t="n">
        <v>46037</v>
      </c>
      <c r="D223" t="inlineStr">
        <is>
          <t>GÄVLEBORGS LÄN</t>
        </is>
      </c>
      <c r="E223" t="inlineStr">
        <is>
          <t>SÖDERHAMN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29802-2023</t>
        </is>
      </c>
      <c r="B224" s="1" t="n">
        <v>45107.54129629629</v>
      </c>
      <c r="C224" s="1" t="n">
        <v>46037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60698-2023</t>
        </is>
      </c>
      <c r="B225" s="1" t="n">
        <v>45260.5078587963</v>
      </c>
      <c r="C225" s="1" t="n">
        <v>46037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32050-2025</t>
        </is>
      </c>
      <c r="B226" s="1" t="n">
        <v>45835.44179398148</v>
      </c>
      <c r="C226" s="1" t="n">
        <v>46037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47057-2025</t>
        </is>
      </c>
      <c r="B227" s="1" t="n">
        <v>45929.62456018518</v>
      </c>
      <c r="C227" s="1" t="n">
        <v>46037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4298-2024</t>
        </is>
      </c>
      <c r="B228" s="1" t="n">
        <v>45324.62356481481</v>
      </c>
      <c r="C228" s="1" t="n">
        <v>46037</v>
      </c>
      <c r="D228" t="inlineStr">
        <is>
          <t>GÄVLEBORGS LÄN</t>
        </is>
      </c>
      <c r="E228" t="inlineStr">
        <is>
          <t>SÖDERHAMN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46858-2025</t>
        </is>
      </c>
      <c r="B229" s="1" t="n">
        <v>45929.2461574074</v>
      </c>
      <c r="C229" s="1" t="n">
        <v>46037</v>
      </c>
      <c r="D229" t="inlineStr">
        <is>
          <t>GÄVLEBORGS LÄN</t>
        </is>
      </c>
      <c r="E229" t="inlineStr">
        <is>
          <t>SÖDERHAMN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47347-2025</t>
        </is>
      </c>
      <c r="B230" s="1" t="n">
        <v>45930</v>
      </c>
      <c r="C230" s="1" t="n">
        <v>46037</v>
      </c>
      <c r="D230" t="inlineStr">
        <is>
          <t>GÄVLEBORGS LÄN</t>
        </is>
      </c>
      <c r="E230" t="inlineStr">
        <is>
          <t>SÖDERHAMN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47100-2025</t>
        </is>
      </c>
      <c r="B231" s="1" t="n">
        <v>45929.65726851852</v>
      </c>
      <c r="C231" s="1" t="n">
        <v>46037</v>
      </c>
      <c r="D231" t="inlineStr">
        <is>
          <t>GÄVLEBORGS LÄN</t>
        </is>
      </c>
      <c r="E231" t="inlineStr">
        <is>
          <t>SÖDERHAMN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55765-2025</t>
        </is>
      </c>
      <c r="B232" s="1" t="n">
        <v>45972.60929398148</v>
      </c>
      <c r="C232" s="1" t="n">
        <v>46037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33941-2025</t>
        </is>
      </c>
      <c r="B233" s="1" t="n">
        <v>45842.64204861111</v>
      </c>
      <c r="C233" s="1" t="n">
        <v>46037</v>
      </c>
      <c r="D233" t="inlineStr">
        <is>
          <t>GÄVLEBORGS LÄN</t>
        </is>
      </c>
      <c r="E233" t="inlineStr">
        <is>
          <t>SÖDERHAMN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33942-2025</t>
        </is>
      </c>
      <c r="B234" s="1" t="n">
        <v>45842.6433912037</v>
      </c>
      <c r="C234" s="1" t="n">
        <v>46037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48943-2024</t>
        </is>
      </c>
      <c r="B235" s="1" t="n">
        <v>45594.42071759259</v>
      </c>
      <c r="C235" s="1" t="n">
        <v>46037</v>
      </c>
      <c r="D235" t="inlineStr">
        <is>
          <t>GÄVLEBORGS LÄN</t>
        </is>
      </c>
      <c r="E235" t="inlineStr">
        <is>
          <t>SÖDERHAMN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33395-2025</t>
        </is>
      </c>
      <c r="B236" s="1" t="n">
        <v>45841.41876157407</v>
      </c>
      <c r="C236" s="1" t="n">
        <v>46037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17517-2025</t>
        </is>
      </c>
      <c r="B237" s="1" t="n">
        <v>45757.57515046297</v>
      </c>
      <c r="C237" s="1" t="n">
        <v>46037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33399-2025</t>
        </is>
      </c>
      <c r="B238" s="1" t="n">
        <v>45841.42106481481</v>
      </c>
      <c r="C238" s="1" t="n">
        <v>46037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33391-2025</t>
        </is>
      </c>
      <c r="B239" s="1" t="n">
        <v>45841.40766203704</v>
      </c>
      <c r="C239" s="1" t="n">
        <v>46037</v>
      </c>
      <c r="D239" t="inlineStr">
        <is>
          <t>GÄVLEBORGS LÄN</t>
        </is>
      </c>
      <c r="E239" t="inlineStr">
        <is>
          <t>SÖDERHAMN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34280-2025</t>
        </is>
      </c>
      <c r="B240" s="1" t="n">
        <v>45846.26282407407</v>
      </c>
      <c r="C240" s="1" t="n">
        <v>46037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20717-2024</t>
        </is>
      </c>
      <c r="B241" s="1" t="n">
        <v>45436.6455324074</v>
      </c>
      <c r="C241" s="1" t="n">
        <v>46037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48539-2025</t>
        </is>
      </c>
      <c r="B242" s="1" t="n">
        <v>45936.41141203704</v>
      </c>
      <c r="C242" s="1" t="n">
        <v>46037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48543-2025</t>
        </is>
      </c>
      <c r="B243" s="1" t="n">
        <v>45936.41565972222</v>
      </c>
      <c r="C243" s="1" t="n">
        <v>46037</v>
      </c>
      <c r="D243" t="inlineStr">
        <is>
          <t>GÄVLEBORGS LÄN</t>
        </is>
      </c>
      <c r="E243" t="inlineStr">
        <is>
          <t>SÖDERHAMN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48561-2025</t>
        </is>
      </c>
      <c r="B244" s="1" t="n">
        <v>45936.43376157407</v>
      </c>
      <c r="C244" s="1" t="n">
        <v>46037</v>
      </c>
      <c r="D244" t="inlineStr">
        <is>
          <t>GÄVLEBORGS LÄN</t>
        </is>
      </c>
      <c r="E244" t="inlineStr">
        <is>
          <t>SÖDERHAMN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28062-2025</t>
        </is>
      </c>
      <c r="B245" s="1" t="n">
        <v>45817</v>
      </c>
      <c r="C245" s="1" t="n">
        <v>46037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14850-2024</t>
        </is>
      </c>
      <c r="B246" s="1" t="n">
        <v>45398.43495370371</v>
      </c>
      <c r="C246" s="1" t="n">
        <v>46037</v>
      </c>
      <c r="D246" t="inlineStr">
        <is>
          <t>GÄVLEBORGS LÄN</t>
        </is>
      </c>
      <c r="E246" t="inlineStr">
        <is>
          <t>SÖDERHAMN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14960-2024</t>
        </is>
      </c>
      <c r="B247" s="1" t="n">
        <v>45398</v>
      </c>
      <c r="C247" s="1" t="n">
        <v>46037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34669-2025</t>
        </is>
      </c>
      <c r="B248" s="1" t="n">
        <v>45848.393125</v>
      </c>
      <c r="C248" s="1" t="n">
        <v>46037</v>
      </c>
      <c r="D248" t="inlineStr">
        <is>
          <t>GÄVLEBORGS LÄN</t>
        </is>
      </c>
      <c r="E248" t="inlineStr">
        <is>
          <t>SÖDERHAMN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34752-2024</t>
        </is>
      </c>
      <c r="B249" s="1" t="n">
        <v>45526</v>
      </c>
      <c r="C249" s="1" t="n">
        <v>46037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26930-2023</t>
        </is>
      </c>
      <c r="B250" s="1" t="n">
        <v>45093.62233796297</v>
      </c>
      <c r="C250" s="1" t="n">
        <v>46037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34525-2025</t>
        </is>
      </c>
      <c r="B251" s="1" t="n">
        <v>45847.47710648148</v>
      </c>
      <c r="C251" s="1" t="n">
        <v>46037</v>
      </c>
      <c r="D251" t="inlineStr">
        <is>
          <t>GÄVLEBORGS LÄN</t>
        </is>
      </c>
      <c r="E251" t="inlineStr">
        <is>
          <t>SÖDERHAMN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34662-2025</t>
        </is>
      </c>
      <c r="B252" s="1" t="n">
        <v>45848.37403935185</v>
      </c>
      <c r="C252" s="1" t="n">
        <v>46037</v>
      </c>
      <c r="D252" t="inlineStr">
        <is>
          <t>GÄVLEBORGS LÄN</t>
        </is>
      </c>
      <c r="E252" t="inlineStr">
        <is>
          <t>SÖDERHAMN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49762-2024</t>
        </is>
      </c>
      <c r="B253" s="1" t="n">
        <v>45597.33159722222</v>
      </c>
      <c r="C253" s="1" t="n">
        <v>46037</v>
      </c>
      <c r="D253" t="inlineStr">
        <is>
          <t>GÄVLEBORGS LÄN</t>
        </is>
      </c>
      <c r="E253" t="inlineStr">
        <is>
          <t>SÖDERHAMN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18924-2025</t>
        </is>
      </c>
      <c r="B254" s="1" t="n">
        <v>45764.48153935185</v>
      </c>
      <c r="C254" s="1" t="n">
        <v>46037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48835-2025</t>
        </is>
      </c>
      <c r="B255" s="1" t="n">
        <v>45937.40071759259</v>
      </c>
      <c r="C255" s="1" t="n">
        <v>46037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49036-2025</t>
        </is>
      </c>
      <c r="B256" s="1" t="n">
        <v>45937.63039351852</v>
      </c>
      <c r="C256" s="1" t="n">
        <v>46037</v>
      </c>
      <c r="D256" t="inlineStr">
        <is>
          <t>GÄVLEBORGS LÄN</t>
        </is>
      </c>
      <c r="E256" t="inlineStr">
        <is>
          <t>SÖDERHAMN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58610-2023</t>
        </is>
      </c>
      <c r="B257" s="1" t="n">
        <v>45251.49936342592</v>
      </c>
      <c r="C257" s="1" t="n">
        <v>46037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13582-2021</t>
        </is>
      </c>
      <c r="B258" s="1" t="n">
        <v>44274.30858796297</v>
      </c>
      <c r="C258" s="1" t="n">
        <v>46037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40793-2024</t>
        </is>
      </c>
      <c r="B259" s="1" t="n">
        <v>45558</v>
      </c>
      <c r="C259" s="1" t="n">
        <v>46037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35722-2025</t>
        </is>
      </c>
      <c r="B260" s="1" t="n">
        <v>45860.44288194444</v>
      </c>
      <c r="C260" s="1" t="n">
        <v>46037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49532-2025</t>
        </is>
      </c>
      <c r="B261" s="1" t="n">
        <v>45939</v>
      </c>
      <c r="C261" s="1" t="n">
        <v>46037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45383-2025</t>
        </is>
      </c>
      <c r="B262" s="1" t="n">
        <v>45922.40482638889</v>
      </c>
      <c r="C262" s="1" t="n">
        <v>46037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50246-2025</t>
        </is>
      </c>
      <c r="B263" s="1" t="n">
        <v>45944.30420138889</v>
      </c>
      <c r="C263" s="1" t="n">
        <v>46037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4563-2023</t>
        </is>
      </c>
      <c r="B264" s="1" t="n">
        <v>44956</v>
      </c>
      <c r="C264" s="1" t="n">
        <v>46037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50007-2025</t>
        </is>
      </c>
      <c r="B265" s="1" t="n">
        <v>45943.34504629629</v>
      </c>
      <c r="C265" s="1" t="n">
        <v>46037</v>
      </c>
      <c r="D265" t="inlineStr">
        <is>
          <t>GÄVLEBORGS LÄN</t>
        </is>
      </c>
      <c r="E265" t="inlineStr">
        <is>
          <t>SÖDERHAMN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49948-2024</t>
        </is>
      </c>
      <c r="B266" s="1" t="n">
        <v>45597.6052662037</v>
      </c>
      <c r="C266" s="1" t="n">
        <v>46037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35960-2025</t>
        </is>
      </c>
      <c r="B267" s="1" t="n">
        <v>45863.35443287037</v>
      </c>
      <c r="C267" s="1" t="n">
        <v>46037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18800-2024</t>
        </is>
      </c>
      <c r="B268" s="1" t="n">
        <v>45426</v>
      </c>
      <c r="C268" s="1" t="n">
        <v>46037</v>
      </c>
      <c r="D268" t="inlineStr">
        <is>
          <t>GÄVLEBORGS LÄN</t>
        </is>
      </c>
      <c r="E268" t="inlineStr">
        <is>
          <t>SÖDERHAMN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44703-2024</t>
        </is>
      </c>
      <c r="B269" s="1" t="n">
        <v>45574</v>
      </c>
      <c r="C269" s="1" t="n">
        <v>46037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35961-2025</t>
        </is>
      </c>
      <c r="B270" s="1" t="n">
        <v>45863.35944444445</v>
      </c>
      <c r="C270" s="1" t="n">
        <v>46037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27028-2025</t>
        </is>
      </c>
      <c r="B271" s="1" t="n">
        <v>45811.58194444444</v>
      </c>
      <c r="C271" s="1" t="n">
        <v>46037</v>
      </c>
      <c r="D271" t="inlineStr">
        <is>
          <t>GÄVLEBORGS LÄN</t>
        </is>
      </c>
      <c r="E271" t="inlineStr">
        <is>
          <t>SÖDERHAMN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52518-2024</t>
        </is>
      </c>
      <c r="B272" s="1" t="n">
        <v>45609</v>
      </c>
      <c r="C272" s="1" t="n">
        <v>46037</v>
      </c>
      <c r="D272" t="inlineStr">
        <is>
          <t>GÄVLEBORGS LÄN</t>
        </is>
      </c>
      <c r="E272" t="inlineStr">
        <is>
          <t>SÖDERHAMN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52519-2024</t>
        </is>
      </c>
      <c r="B273" s="1" t="n">
        <v>45609.5986574074</v>
      </c>
      <c r="C273" s="1" t="n">
        <v>46037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55240-2024</t>
        </is>
      </c>
      <c r="B274" s="1" t="n">
        <v>45621</v>
      </c>
      <c r="C274" s="1" t="n">
        <v>46037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50642-2025</t>
        </is>
      </c>
      <c r="B275" s="1" t="n">
        <v>45945.65640046296</v>
      </c>
      <c r="C275" s="1" t="n">
        <v>46037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58810-2024</t>
        </is>
      </c>
      <c r="B276" s="1" t="n">
        <v>45636.34581018519</v>
      </c>
      <c r="C276" s="1" t="n">
        <v>46037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58870-2024</t>
        </is>
      </c>
      <c r="B277" s="1" t="n">
        <v>45636.43966435185</v>
      </c>
      <c r="C277" s="1" t="n">
        <v>46037</v>
      </c>
      <c r="D277" t="inlineStr">
        <is>
          <t>GÄVLEBORGS LÄN</t>
        </is>
      </c>
      <c r="E277" t="inlineStr">
        <is>
          <t>SÖDERHAMN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50633-2025</t>
        </is>
      </c>
      <c r="B278" s="1" t="n">
        <v>45945.6490162037</v>
      </c>
      <c r="C278" s="1" t="n">
        <v>46037</v>
      </c>
      <c r="D278" t="inlineStr">
        <is>
          <t>GÄVLEBORGS LÄN</t>
        </is>
      </c>
      <c r="E278" t="inlineStr">
        <is>
          <t>SÖDERHAMN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49959-2024</t>
        </is>
      </c>
      <c r="B279" s="1" t="n">
        <v>45597.62274305556</v>
      </c>
      <c r="C279" s="1" t="n">
        <v>46037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36186-2025</t>
        </is>
      </c>
      <c r="B280" s="1" t="n">
        <v>45867.41916666667</v>
      </c>
      <c r="C280" s="1" t="n">
        <v>46037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51273-2021</t>
        </is>
      </c>
      <c r="B281" s="1" t="n">
        <v>44460</v>
      </c>
      <c r="C281" s="1" t="n">
        <v>46037</v>
      </c>
      <c r="D281" t="inlineStr">
        <is>
          <t>GÄVLEBORGS LÄN</t>
        </is>
      </c>
      <c r="E281" t="inlineStr">
        <is>
          <t>SÖDERHAMN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51157-2025</t>
        </is>
      </c>
      <c r="B282" s="1" t="n">
        <v>45947.58068287037</v>
      </c>
      <c r="C282" s="1" t="n">
        <v>46037</v>
      </c>
      <c r="D282" t="inlineStr">
        <is>
          <t>GÄVLEBORGS LÄN</t>
        </is>
      </c>
      <c r="E282" t="inlineStr">
        <is>
          <t>SÖDERHAMN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48544-2025</t>
        </is>
      </c>
      <c r="B283" s="1" t="n">
        <v>45936.41883101852</v>
      </c>
      <c r="C283" s="1" t="n">
        <v>46037</v>
      </c>
      <c r="D283" t="inlineStr">
        <is>
          <t>GÄVLEBORGS LÄN</t>
        </is>
      </c>
      <c r="E283" t="inlineStr">
        <is>
          <t>SÖDERHAMN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48765-2024</t>
        </is>
      </c>
      <c r="B284" s="1" t="n">
        <v>45593.60655092593</v>
      </c>
      <c r="C284" s="1" t="n">
        <v>46037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51153-2025</t>
        </is>
      </c>
      <c r="B285" s="1" t="n">
        <v>45947.5749074074</v>
      </c>
      <c r="C285" s="1" t="n">
        <v>46037</v>
      </c>
      <c r="D285" t="inlineStr">
        <is>
          <t>GÄVLEBORGS LÄN</t>
        </is>
      </c>
      <c r="E285" t="inlineStr">
        <is>
          <t>SÖDERHAMN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51132-2025</t>
        </is>
      </c>
      <c r="B286" s="1" t="n">
        <v>45947.55429398148</v>
      </c>
      <c r="C286" s="1" t="n">
        <v>46037</v>
      </c>
      <c r="D286" t="inlineStr">
        <is>
          <t>GÄVLEBORGS LÄN</t>
        </is>
      </c>
      <c r="E286" t="inlineStr">
        <is>
          <t>SÖDERHAMN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16750-2025</t>
        </is>
      </c>
      <c r="B287" s="1" t="n">
        <v>45754.56719907407</v>
      </c>
      <c r="C287" s="1" t="n">
        <v>46037</v>
      </c>
      <c r="D287" t="inlineStr">
        <is>
          <t>GÄVLEBORGS LÄN</t>
        </is>
      </c>
      <c r="E287" t="inlineStr">
        <is>
          <t>SÖDERHAMN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51561-2025</t>
        </is>
      </c>
      <c r="B288" s="1" t="n">
        <v>45951.25780092592</v>
      </c>
      <c r="C288" s="1" t="n">
        <v>46037</v>
      </c>
      <c r="D288" t="inlineStr">
        <is>
          <t>GÄVLEBORGS LÄN</t>
        </is>
      </c>
      <c r="E288" t="inlineStr">
        <is>
          <t>SÖDERHAMN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37050-2025</t>
        </is>
      </c>
      <c r="B289" s="1" t="n">
        <v>45875.36291666667</v>
      </c>
      <c r="C289" s="1" t="n">
        <v>46037</v>
      </c>
      <c r="D289" t="inlineStr">
        <is>
          <t>GÄVLEBORGS LÄN</t>
        </is>
      </c>
      <c r="E289" t="inlineStr">
        <is>
          <t>SÖDERHAMN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52494-2025</t>
        </is>
      </c>
      <c r="B290" s="1" t="n">
        <v>45954.48731481482</v>
      </c>
      <c r="C290" s="1" t="n">
        <v>46037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37338-2025</t>
        </is>
      </c>
      <c r="B291" s="1" t="n">
        <v>45876.68149305556</v>
      </c>
      <c r="C291" s="1" t="n">
        <v>46037</v>
      </c>
      <c r="D291" t="inlineStr">
        <is>
          <t>GÄVLEBORGS LÄN</t>
        </is>
      </c>
      <c r="E291" t="inlineStr">
        <is>
          <t>SÖDERHAMN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39208-2024</t>
        </is>
      </c>
      <c r="B292" s="1" t="n">
        <v>45548.8325462963</v>
      </c>
      <c r="C292" s="1" t="n">
        <v>46037</v>
      </c>
      <c r="D292" t="inlineStr">
        <is>
          <t>GÄVLEBORGS LÄN</t>
        </is>
      </c>
      <c r="E292" t="inlineStr">
        <is>
          <t>SÖDERHAMN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37055-2025</t>
        </is>
      </c>
      <c r="B293" s="1" t="n">
        <v>45875.37060185185</v>
      </c>
      <c r="C293" s="1" t="n">
        <v>46037</v>
      </c>
      <c r="D293" t="inlineStr">
        <is>
          <t>GÄVLEBORGS LÄN</t>
        </is>
      </c>
      <c r="E293" t="inlineStr">
        <is>
          <t>SÖDERHAMN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37056-2025</t>
        </is>
      </c>
      <c r="B294" s="1" t="n">
        <v>45875.37350694444</v>
      </c>
      <c r="C294" s="1" t="n">
        <v>46037</v>
      </c>
      <c r="D294" t="inlineStr">
        <is>
          <t>GÄVLEBORGS LÄN</t>
        </is>
      </c>
      <c r="E294" t="inlineStr">
        <is>
          <t>SÖDERHAMN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60501-2025</t>
        </is>
      </c>
      <c r="B295" s="1" t="n">
        <v>45995.61873842592</v>
      </c>
      <c r="C295" s="1" t="n">
        <v>46037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37541-2025</t>
        </is>
      </c>
      <c r="B296" s="1" t="n">
        <v>45879.45802083334</v>
      </c>
      <c r="C296" s="1" t="n">
        <v>46037</v>
      </c>
      <c r="D296" t="inlineStr">
        <is>
          <t>GÄVLEBORGS LÄN</t>
        </is>
      </c>
      <c r="E296" t="inlineStr">
        <is>
          <t>SÖDERHAMN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58099-2024</t>
        </is>
      </c>
      <c r="B297" s="1" t="n">
        <v>45632.36650462963</v>
      </c>
      <c r="C297" s="1" t="n">
        <v>46037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25365-2025</t>
        </is>
      </c>
      <c r="B298" s="1" t="n">
        <v>45800.62809027778</v>
      </c>
      <c r="C298" s="1" t="n">
        <v>46037</v>
      </c>
      <c r="D298" t="inlineStr">
        <is>
          <t>GÄVLEBORGS LÄN</t>
        </is>
      </c>
      <c r="E298" t="inlineStr">
        <is>
          <t>SÖDERHAMN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60935-2025</t>
        </is>
      </c>
      <c r="B299" s="1" t="n">
        <v>45999.64253472222</v>
      </c>
      <c r="C299" s="1" t="n">
        <v>46037</v>
      </c>
      <c r="D299" t="inlineStr">
        <is>
          <t>GÄVLEBORGS LÄN</t>
        </is>
      </c>
      <c r="E299" t="inlineStr">
        <is>
          <t>SÖDERHAMN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37538-2025</t>
        </is>
      </c>
      <c r="B300" s="1" t="n">
        <v>45879.42443287037</v>
      </c>
      <c r="C300" s="1" t="n">
        <v>46037</v>
      </c>
      <c r="D300" t="inlineStr">
        <is>
          <t>GÄVLEBORGS LÄN</t>
        </is>
      </c>
      <c r="E300" t="inlineStr">
        <is>
          <t>SÖDERHAMN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29084-2025</t>
        </is>
      </c>
      <c r="B301" s="1" t="n">
        <v>45821.54072916666</v>
      </c>
      <c r="C301" s="1" t="n">
        <v>46037</v>
      </c>
      <c r="D301" t="inlineStr">
        <is>
          <t>GÄVLEBORGS LÄN</t>
        </is>
      </c>
      <c r="E301" t="inlineStr">
        <is>
          <t>SÖDERHAMN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17412-2023</t>
        </is>
      </c>
      <c r="B302" s="1" t="n">
        <v>45035</v>
      </c>
      <c r="C302" s="1" t="n">
        <v>46037</v>
      </c>
      <c r="D302" t="inlineStr">
        <is>
          <t>GÄVLEBORGS LÄN</t>
        </is>
      </c>
      <c r="E302" t="inlineStr">
        <is>
          <t>SÖDERHAMN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13805-2022</t>
        </is>
      </c>
      <c r="B303" s="1" t="n">
        <v>44649.58061342593</v>
      </c>
      <c r="C303" s="1" t="n">
        <v>46037</v>
      </c>
      <c r="D303" t="inlineStr">
        <is>
          <t>GÄVLEBORGS LÄN</t>
        </is>
      </c>
      <c r="E303" t="inlineStr">
        <is>
          <t>SÖDERHAMN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61042-2025</t>
        </is>
      </c>
      <c r="B304" s="1" t="n">
        <v>46000.27725694444</v>
      </c>
      <c r="C304" s="1" t="n">
        <v>46037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60937-2025</t>
        </is>
      </c>
      <c r="B305" s="1" t="n">
        <v>45999.64283564815</v>
      </c>
      <c r="C305" s="1" t="n">
        <v>46037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60939-2025</t>
        </is>
      </c>
      <c r="B306" s="1" t="n">
        <v>45999.6430787037</v>
      </c>
      <c r="C306" s="1" t="n">
        <v>46037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52913-2025</t>
        </is>
      </c>
      <c r="B307" s="1" t="n">
        <v>45957.6062962963</v>
      </c>
      <c r="C307" s="1" t="n">
        <v>46037</v>
      </c>
      <c r="D307" t="inlineStr">
        <is>
          <t>GÄVLEBORGS LÄN</t>
        </is>
      </c>
      <c r="E307" t="inlineStr">
        <is>
          <t>SÖDERHAMN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52917-2025</t>
        </is>
      </c>
      <c r="B308" s="1" t="n">
        <v>45957.61104166666</v>
      </c>
      <c r="C308" s="1" t="n">
        <v>46037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58867-2024</t>
        </is>
      </c>
      <c r="B309" s="1" t="n">
        <v>45636.4278125</v>
      </c>
      <c r="C309" s="1" t="n">
        <v>46037</v>
      </c>
      <c r="D309" t="inlineStr">
        <is>
          <t>GÄVLEBORGS LÄN</t>
        </is>
      </c>
      <c r="E309" t="inlineStr">
        <is>
          <t>SÖDERHAMN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30208-2022</t>
        </is>
      </c>
      <c r="B310" s="1" t="n">
        <v>44757.75127314815</v>
      </c>
      <c r="C310" s="1" t="n">
        <v>46037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34725-2022</t>
        </is>
      </c>
      <c r="B311" s="1" t="n">
        <v>44795.59475694445</v>
      </c>
      <c r="C311" s="1" t="n">
        <v>46037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52886-2025</t>
        </is>
      </c>
      <c r="B312" s="1" t="n">
        <v>45957.56458333333</v>
      </c>
      <c r="C312" s="1" t="n">
        <v>46037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61752-2025</t>
        </is>
      </c>
      <c r="B313" s="1" t="n">
        <v>46002.61459490741</v>
      </c>
      <c r="C313" s="1" t="n">
        <v>46037</v>
      </c>
      <c r="D313" t="inlineStr">
        <is>
          <t>GÄVLEBORGS LÄN</t>
        </is>
      </c>
      <c r="E313" t="inlineStr">
        <is>
          <t>SÖDERHAMN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46037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61416-2025</t>
        </is>
      </c>
      <c r="B315" s="1" t="n">
        <v>46001.53202546296</v>
      </c>
      <c r="C315" s="1" t="n">
        <v>46037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61750-2025</t>
        </is>
      </c>
      <c r="B316" s="1" t="n">
        <v>46002.61373842593</v>
      </c>
      <c r="C316" s="1" t="n">
        <v>46037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61747-2025</t>
        </is>
      </c>
      <c r="B317" s="1" t="n">
        <v>46002.60978009259</v>
      </c>
      <c r="C317" s="1" t="n">
        <v>46037</v>
      </c>
      <c r="D317" t="inlineStr">
        <is>
          <t>GÄVLEBORGS LÄN</t>
        </is>
      </c>
      <c r="E317" t="inlineStr">
        <is>
          <t>SÖDERHAMN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1075-2025</t>
        </is>
      </c>
      <c r="B318" s="1" t="n">
        <v>45666</v>
      </c>
      <c r="C318" s="1" t="n">
        <v>46037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53583-2025</t>
        </is>
      </c>
      <c r="B319" s="1" t="n">
        <v>45960.43071759259</v>
      </c>
      <c r="C319" s="1" t="n">
        <v>46037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53494-2025</t>
        </is>
      </c>
      <c r="B320" s="1" t="n">
        <v>45960.32569444444</v>
      </c>
      <c r="C320" s="1" t="n">
        <v>46037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53729-2025</t>
        </is>
      </c>
      <c r="B321" s="1" t="n">
        <v>45960.63787037037</v>
      </c>
      <c r="C321" s="1" t="n">
        <v>46037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61396-2025</t>
        </is>
      </c>
      <c r="B322" s="1" t="n">
        <v>46001.47506944444</v>
      </c>
      <c r="C322" s="1" t="n">
        <v>46037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53781-2025</t>
        </is>
      </c>
      <c r="B323" s="1" t="n">
        <v>45960.69895833333</v>
      </c>
      <c r="C323" s="1" t="n">
        <v>46037</v>
      </c>
      <c r="D323" t="inlineStr">
        <is>
          <t>GÄVLEBORGS LÄN</t>
        </is>
      </c>
      <c r="E323" t="inlineStr">
        <is>
          <t>SÖDERHAMN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10763-2025</t>
        </is>
      </c>
      <c r="B324" s="1" t="n">
        <v>45722.4603125</v>
      </c>
      <c r="C324" s="1" t="n">
        <v>46037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53731-2025</t>
        </is>
      </c>
      <c r="B325" s="1" t="n">
        <v>45960.64208333333</v>
      </c>
      <c r="C325" s="1" t="n">
        <v>46037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54266-2025</t>
        </is>
      </c>
      <c r="B326" s="1" t="n">
        <v>45964.67049768518</v>
      </c>
      <c r="C326" s="1" t="n">
        <v>46037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53879-2025</t>
        </is>
      </c>
      <c r="B327" s="1" t="n">
        <v>45961.39596064815</v>
      </c>
      <c r="C327" s="1" t="n">
        <v>46037</v>
      </c>
      <c r="D327" t="inlineStr">
        <is>
          <t>GÄVLEBORGS LÄN</t>
        </is>
      </c>
      <c r="E327" t="inlineStr">
        <is>
          <t>SÖDERHAMN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18902-2025</t>
        </is>
      </c>
      <c r="B328" s="1" t="n">
        <v>45764.45541666666</v>
      </c>
      <c r="C328" s="1" t="n">
        <v>46037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18905-2025</t>
        </is>
      </c>
      <c r="B329" s="1" t="n">
        <v>45764.46203703704</v>
      </c>
      <c r="C329" s="1" t="n">
        <v>46037</v>
      </c>
      <c r="D329" t="inlineStr">
        <is>
          <t>GÄVLEBORGS LÄN</t>
        </is>
      </c>
      <c r="E329" t="inlineStr">
        <is>
          <t>SÖDERHAMN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57500-2023</t>
        </is>
      </c>
      <c r="B330" s="1" t="n">
        <v>45246</v>
      </c>
      <c r="C330" s="1" t="n">
        <v>46037</v>
      </c>
      <c r="D330" t="inlineStr">
        <is>
          <t>GÄVLEBORGS LÄN</t>
        </is>
      </c>
      <c r="E330" t="inlineStr">
        <is>
          <t>SÖDERHAMN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51292-2023</t>
        </is>
      </c>
      <c r="B331" s="1" t="n">
        <v>45219</v>
      </c>
      <c r="C331" s="1" t="n">
        <v>46037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43723-2022</t>
        </is>
      </c>
      <c r="B332" s="1" t="n">
        <v>44837.67238425926</v>
      </c>
      <c r="C332" s="1" t="n">
        <v>46037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35172-2021</t>
        </is>
      </c>
      <c r="B333" s="1" t="n">
        <v>44384</v>
      </c>
      <c r="C333" s="1" t="n">
        <v>46037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7533-2025</t>
        </is>
      </c>
      <c r="B334" s="1" t="n">
        <v>45705.5609375</v>
      </c>
      <c r="C334" s="1" t="n">
        <v>46037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62616-2025</t>
        </is>
      </c>
      <c r="B335" s="1" t="n">
        <v>46008.32385416667</v>
      </c>
      <c r="C335" s="1" t="n">
        <v>46037</v>
      </c>
      <c r="D335" t="inlineStr">
        <is>
          <t>GÄVLEBORGS LÄN</t>
        </is>
      </c>
      <c r="E335" t="inlineStr">
        <is>
          <t>SÖDERHAMN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54656-2025</t>
        </is>
      </c>
      <c r="B336" s="1" t="n">
        <v>45966.39697916667</v>
      </c>
      <c r="C336" s="1" t="n">
        <v>46037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54716-2025</t>
        </is>
      </c>
      <c r="B337" s="1" t="n">
        <v>45966.51038194444</v>
      </c>
      <c r="C337" s="1" t="n">
        <v>46037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54685-2025</t>
        </is>
      </c>
      <c r="B338" s="1" t="n">
        <v>45966.4406712963</v>
      </c>
      <c r="C338" s="1" t="n">
        <v>46037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26554-2022</t>
        </is>
      </c>
      <c r="B339" s="1" t="n">
        <v>44739.47634259259</v>
      </c>
      <c r="C339" s="1" t="n">
        <v>46037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15881-2025</t>
        </is>
      </c>
      <c r="B340" s="1" t="n">
        <v>45749.39025462963</v>
      </c>
      <c r="C340" s="1" t="n">
        <v>46037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40811-2022</t>
        </is>
      </c>
      <c r="B341" s="1" t="n">
        <v>44824</v>
      </c>
      <c r="C341" s="1" t="n">
        <v>46037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46037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48139-2023</t>
        </is>
      </c>
      <c r="B343" s="1" t="n">
        <v>45205.3875</v>
      </c>
      <c r="C343" s="1" t="n">
        <v>46037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1649-2025</t>
        </is>
      </c>
      <c r="B344" s="1" t="n">
        <v>45670.6528587963</v>
      </c>
      <c r="C344" s="1" t="n">
        <v>46037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62414-2025</t>
        </is>
      </c>
      <c r="B345" s="1" t="n">
        <v>46007.44385416667</v>
      </c>
      <c r="C345" s="1" t="n">
        <v>46037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18431-2025</t>
        </is>
      </c>
      <c r="B346" s="1" t="n">
        <v>45762.63586805556</v>
      </c>
      <c r="C346" s="1" t="n">
        <v>46037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45807-2022</t>
        </is>
      </c>
      <c r="B347" s="1" t="n">
        <v>44846</v>
      </c>
      <c r="C347" s="1" t="n">
        <v>46037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62613-2025</t>
        </is>
      </c>
      <c r="B348" s="1" t="n">
        <v>46008.31300925926</v>
      </c>
      <c r="C348" s="1" t="n">
        <v>46037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60453-2025</t>
        </is>
      </c>
      <c r="B349" s="1" t="n">
        <v>45995</v>
      </c>
      <c r="C349" s="1" t="n">
        <v>46037</v>
      </c>
      <c r="D349" t="inlineStr">
        <is>
          <t>GÄVLEBORGS LÄN</t>
        </is>
      </c>
      <c r="E349" t="inlineStr">
        <is>
          <t>SÖDERHAMN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55058-2025</t>
        </is>
      </c>
      <c r="B350" s="1" t="n">
        <v>45967.68291666666</v>
      </c>
      <c r="C350" s="1" t="n">
        <v>46037</v>
      </c>
      <c r="D350" t="inlineStr">
        <is>
          <t>GÄVLEBORGS LÄN</t>
        </is>
      </c>
      <c r="E350" t="inlineStr">
        <is>
          <t>SÖDERHAMN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2873-2025</t>
        </is>
      </c>
      <c r="B351" s="1" t="n">
        <v>45677.68695601852</v>
      </c>
      <c r="C351" s="1" t="n">
        <v>46037</v>
      </c>
      <c r="D351" t="inlineStr">
        <is>
          <t>GÄVLEBORGS LÄN</t>
        </is>
      </c>
      <c r="E351" t="inlineStr">
        <is>
          <t>SÖDERHAMN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54995-2025</t>
        </is>
      </c>
      <c r="B352" s="1" t="n">
        <v>45967.59489583333</v>
      </c>
      <c r="C352" s="1" t="n">
        <v>46037</v>
      </c>
      <c r="D352" t="inlineStr">
        <is>
          <t>GÄVLEBORGS LÄN</t>
        </is>
      </c>
      <c r="E352" t="inlineStr">
        <is>
          <t>SÖDERHAMN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56500-2023</t>
        </is>
      </c>
      <c r="B353" s="1" t="n">
        <v>45243</v>
      </c>
      <c r="C353" s="1" t="n">
        <v>46037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40745-2023</t>
        </is>
      </c>
      <c r="B354" s="1" t="n">
        <v>45170</v>
      </c>
      <c r="C354" s="1" t="n">
        <v>46037</v>
      </c>
      <c r="D354" t="inlineStr">
        <is>
          <t>GÄVLEBORGS LÄN</t>
        </is>
      </c>
      <c r="E354" t="inlineStr">
        <is>
          <t>SÖDERHAMN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40736-2021</t>
        </is>
      </c>
      <c r="B355" s="1" t="n">
        <v>44420.66540509259</v>
      </c>
      <c r="C355" s="1" t="n">
        <v>46037</v>
      </c>
      <c r="D355" t="inlineStr">
        <is>
          <t>GÄVLEBORGS LÄN</t>
        </is>
      </c>
      <c r="E355" t="inlineStr">
        <is>
          <t>SÖDERHAMN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55711-2025</t>
        </is>
      </c>
      <c r="B356" s="1" t="n">
        <v>45972.4805324074</v>
      </c>
      <c r="C356" s="1" t="n">
        <v>46037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55383-2025</t>
        </is>
      </c>
      <c r="B357" s="1" t="n">
        <v>45971.43109953704</v>
      </c>
      <c r="C357" s="1" t="n">
        <v>46037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55401-2025</t>
        </is>
      </c>
      <c r="B358" s="1" t="n">
        <v>45971.45069444444</v>
      </c>
      <c r="C358" s="1" t="n">
        <v>46037</v>
      </c>
      <c r="D358" t="inlineStr">
        <is>
          <t>GÄVLEBORGS LÄN</t>
        </is>
      </c>
      <c r="E358" t="inlineStr">
        <is>
          <t>SÖDERHAMN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16224-2025</t>
        </is>
      </c>
      <c r="B359" s="1" t="n">
        <v>45750</v>
      </c>
      <c r="C359" s="1" t="n">
        <v>46037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16235-2025</t>
        </is>
      </c>
      <c r="B360" s="1" t="n">
        <v>45750.65936342593</v>
      </c>
      <c r="C360" s="1" t="n">
        <v>46037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55730-2025</t>
        </is>
      </c>
      <c r="B361" s="1" t="n">
        <v>45972.54152777778</v>
      </c>
      <c r="C361" s="1" t="n">
        <v>46037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22164-2023</t>
        </is>
      </c>
      <c r="B362" s="1" t="n">
        <v>45069</v>
      </c>
      <c r="C362" s="1" t="n">
        <v>46037</v>
      </c>
      <c r="D362" t="inlineStr">
        <is>
          <t>GÄVLEBORGS LÄN</t>
        </is>
      </c>
      <c r="E362" t="inlineStr">
        <is>
          <t>SÖDERHAMN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56228-2025</t>
        </is>
      </c>
      <c r="B363" s="1" t="n">
        <v>45974</v>
      </c>
      <c r="C363" s="1" t="n">
        <v>46037</v>
      </c>
      <c r="D363" t="inlineStr">
        <is>
          <t>GÄVLEBORGS LÄN</t>
        </is>
      </c>
      <c r="E363" t="inlineStr">
        <is>
          <t>SÖDERHAMN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56946-2025</t>
        </is>
      </c>
      <c r="B364" s="1" t="n">
        <v>45978.64278935185</v>
      </c>
      <c r="C364" s="1" t="n">
        <v>46037</v>
      </c>
      <c r="D364" t="inlineStr">
        <is>
          <t>GÄVLEBORGS LÄN</t>
        </is>
      </c>
      <c r="E364" t="inlineStr">
        <is>
          <t>SÖDERHAMN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56949-2025</t>
        </is>
      </c>
      <c r="B365" s="1" t="n">
        <v>45978.64606481481</v>
      </c>
      <c r="C365" s="1" t="n">
        <v>46037</v>
      </c>
      <c r="D365" t="inlineStr">
        <is>
          <t>GÄVLEBORGS LÄN</t>
        </is>
      </c>
      <c r="E365" t="inlineStr">
        <is>
          <t>SÖDERHAMN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53918-2025</t>
        </is>
      </c>
      <c r="B366" s="1" t="n">
        <v>45961</v>
      </c>
      <c r="C366" s="1" t="n">
        <v>46037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56608-2025</t>
        </is>
      </c>
      <c r="B367" s="1" t="n">
        <v>45975.58508101852</v>
      </c>
      <c r="C367" s="1" t="n">
        <v>46037</v>
      </c>
      <c r="D367" t="inlineStr">
        <is>
          <t>GÄVLEBORGS LÄN</t>
        </is>
      </c>
      <c r="E367" t="inlineStr">
        <is>
          <t>SÖDERHAMN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57120-2025</t>
        </is>
      </c>
      <c r="B368" s="1" t="n">
        <v>45978</v>
      </c>
      <c r="C368" s="1" t="n">
        <v>46037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56945-2025</t>
        </is>
      </c>
      <c r="B369" s="1" t="n">
        <v>45978.63996527778</v>
      </c>
      <c r="C369" s="1" t="n">
        <v>46037</v>
      </c>
      <c r="D369" t="inlineStr">
        <is>
          <t>GÄVLEBORGS LÄN</t>
        </is>
      </c>
      <c r="E369" t="inlineStr">
        <is>
          <t>SÖDERHAMN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30336-2022</t>
        </is>
      </c>
      <c r="B370" s="1" t="n">
        <v>44760.47226851852</v>
      </c>
      <c r="C370" s="1" t="n">
        <v>46037</v>
      </c>
      <c r="D370" t="inlineStr">
        <is>
          <t>GÄVLEBORGS LÄN</t>
        </is>
      </c>
      <c r="E370" t="inlineStr">
        <is>
          <t>SÖDERHAMN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45822-2022</t>
        </is>
      </c>
      <c r="B371" s="1" t="n">
        <v>44846</v>
      </c>
      <c r="C371" s="1" t="n">
        <v>46037</v>
      </c>
      <c r="D371" t="inlineStr">
        <is>
          <t>GÄVLEBORGS LÄN</t>
        </is>
      </c>
      <c r="E371" t="inlineStr">
        <is>
          <t>SÖDERHAMN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57175-2025</t>
        </is>
      </c>
      <c r="B372" s="1" t="n">
        <v>45979.55052083333</v>
      </c>
      <c r="C372" s="1" t="n">
        <v>46037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49966-2024</t>
        </is>
      </c>
      <c r="B373" s="1" t="n">
        <v>45597.63407407407</v>
      </c>
      <c r="C373" s="1" t="n">
        <v>46037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57085-2025</t>
        </is>
      </c>
      <c r="B374" s="1" t="n">
        <v>45979.41935185185</v>
      </c>
      <c r="C374" s="1" t="n">
        <v>46037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86-2026</t>
        </is>
      </c>
      <c r="B375" s="1" t="n">
        <v>46024.4765625</v>
      </c>
      <c r="C375" s="1" t="n">
        <v>46037</v>
      </c>
      <c r="D375" t="inlineStr">
        <is>
          <t>GÄVLEBORGS LÄN</t>
        </is>
      </c>
      <c r="E375" t="inlineStr">
        <is>
          <t>SÖDERHAMN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167-2026</t>
        </is>
      </c>
      <c r="B376" s="1" t="n">
        <v>46024.82778935185</v>
      </c>
      <c r="C376" s="1" t="n">
        <v>46037</v>
      </c>
      <c r="D376" t="inlineStr">
        <is>
          <t>GÄVLEBORGS LÄN</t>
        </is>
      </c>
      <c r="E376" t="inlineStr">
        <is>
          <t>SÖDERHAMN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168-2026</t>
        </is>
      </c>
      <c r="B377" s="1" t="n">
        <v>46024.84138888889</v>
      </c>
      <c r="C377" s="1" t="n">
        <v>46037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102-2026</t>
        </is>
      </c>
      <c r="B378" s="1" t="n">
        <v>46024.51739583333</v>
      </c>
      <c r="C378" s="1" t="n">
        <v>46037</v>
      </c>
      <c r="D378" t="inlineStr">
        <is>
          <t>GÄVLEBORGS LÄN</t>
        </is>
      </c>
      <c r="E378" t="inlineStr">
        <is>
          <t>SÖDERHAMN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58047-2025</t>
        </is>
      </c>
      <c r="B379" s="1" t="n">
        <v>45982.51212962963</v>
      </c>
      <c r="C379" s="1" t="n">
        <v>46037</v>
      </c>
      <c r="D379" t="inlineStr">
        <is>
          <t>GÄVLEBORGS LÄN</t>
        </is>
      </c>
      <c r="E379" t="inlineStr">
        <is>
          <t>SÖDERHAMN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166-2026</t>
        </is>
      </c>
      <c r="B380" s="1" t="n">
        <v>46024.8162962963</v>
      </c>
      <c r="C380" s="1" t="n">
        <v>46037</v>
      </c>
      <c r="D380" t="inlineStr">
        <is>
          <t>GÄVLEBORGS LÄN</t>
        </is>
      </c>
      <c r="E380" t="inlineStr">
        <is>
          <t>SÖDERHAMN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53-2026</t>
        </is>
      </c>
      <c r="B381" s="1" t="n">
        <v>46024.43391203704</v>
      </c>
      <c r="C381" s="1" t="n">
        <v>46037</v>
      </c>
      <c r="D381" t="inlineStr">
        <is>
          <t>GÄVLEBORGS LÄN</t>
        </is>
      </c>
      <c r="E381" t="inlineStr">
        <is>
          <t>SÖDERHAMN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66-2026</t>
        </is>
      </c>
      <c r="B382" s="1" t="n">
        <v>46024.45108796296</v>
      </c>
      <c r="C382" s="1" t="n">
        <v>46037</v>
      </c>
      <c r="D382" t="inlineStr">
        <is>
          <t>GÄVLEBORGS LÄN</t>
        </is>
      </c>
      <c r="E382" t="inlineStr">
        <is>
          <t>SÖDERHAMN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71-2026</t>
        </is>
      </c>
      <c r="B383" s="1" t="n">
        <v>46024.45932870371</v>
      </c>
      <c r="C383" s="1" t="n">
        <v>46037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73-2026</t>
        </is>
      </c>
      <c r="B384" s="1" t="n">
        <v>46024.46342592593</v>
      </c>
      <c r="C384" s="1" t="n">
        <v>46037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64144-2025</t>
        </is>
      </c>
      <c r="B385" s="1" t="n">
        <v>46022.44921296297</v>
      </c>
      <c r="C385" s="1" t="n">
        <v>46037</v>
      </c>
      <c r="D385" t="inlineStr">
        <is>
          <t>GÄVLEBORGS LÄN</t>
        </is>
      </c>
      <c r="E385" t="inlineStr">
        <is>
          <t>SÖDERHAMN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125-2026</t>
        </is>
      </c>
      <c r="B386" s="1" t="n">
        <v>46024</v>
      </c>
      <c r="C386" s="1" t="n">
        <v>46037</v>
      </c>
      <c r="D386" t="inlineStr">
        <is>
          <t>GÄVLEBORGS LÄN</t>
        </is>
      </c>
      <c r="E386" t="inlineStr">
        <is>
          <t>SÖDERHAMN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130-2026</t>
        </is>
      </c>
      <c r="B387" s="1" t="n">
        <v>46024</v>
      </c>
      <c r="C387" s="1" t="n">
        <v>46037</v>
      </c>
      <c r="D387" t="inlineStr">
        <is>
          <t>GÄVLEBORGS LÄN</t>
        </is>
      </c>
      <c r="E387" t="inlineStr">
        <is>
          <t>SÖDERHAMN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42-2026</t>
        </is>
      </c>
      <c r="B388" s="1" t="n">
        <v>46024.4025</v>
      </c>
      <c r="C388" s="1" t="n">
        <v>46037</v>
      </c>
      <c r="D388" t="inlineStr">
        <is>
          <t>GÄVLEBORGS LÄN</t>
        </is>
      </c>
      <c r="E388" t="inlineStr">
        <is>
          <t>SÖDERHAMN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58069-2025</t>
        </is>
      </c>
      <c r="B389" s="1" t="n">
        <v>45982.54618055555</v>
      </c>
      <c r="C389" s="1" t="n">
        <v>46037</v>
      </c>
      <c r="D389" t="inlineStr">
        <is>
          <t>GÄVLEBORGS LÄN</t>
        </is>
      </c>
      <c r="E389" t="inlineStr">
        <is>
          <t>SÖDERHAMN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31176-2023</t>
        </is>
      </c>
      <c r="B390" s="1" t="n">
        <v>45113.90611111111</v>
      </c>
      <c r="C390" s="1" t="n">
        <v>46037</v>
      </c>
      <c r="D390" t="inlineStr">
        <is>
          <t>GÄVLEBORGS LÄN</t>
        </is>
      </c>
      <c r="E390" t="inlineStr">
        <is>
          <t>SÖDERHAMN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200-2026</t>
        </is>
      </c>
      <c r="B391" s="1" t="n">
        <v>46026.46915509259</v>
      </c>
      <c r="C391" s="1" t="n">
        <v>46037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206-2026</t>
        </is>
      </c>
      <c r="B392" s="1" t="n">
        <v>46026.4900462963</v>
      </c>
      <c r="C392" s="1" t="n">
        <v>46037</v>
      </c>
      <c r="D392" t="inlineStr">
        <is>
          <t>GÄVLEBORGS LÄN</t>
        </is>
      </c>
      <c r="E392" t="inlineStr">
        <is>
          <t>SÖDERHAMN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58401-2025</t>
        </is>
      </c>
      <c r="B393" s="1" t="n">
        <v>45985.56396990741</v>
      </c>
      <c r="C393" s="1" t="n">
        <v>46037</v>
      </c>
      <c r="D393" t="inlineStr">
        <is>
          <t>GÄVLEBORGS LÄN</t>
        </is>
      </c>
      <c r="E393" t="inlineStr">
        <is>
          <t>SÖDERHAMN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376-2026</t>
        </is>
      </c>
      <c r="B394" s="1" t="n">
        <v>46027.72077546296</v>
      </c>
      <c r="C394" s="1" t="n">
        <v>46037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202-2026</t>
        </is>
      </c>
      <c r="B395" s="1" t="n">
        <v>46026.46923611111</v>
      </c>
      <c r="C395" s="1" t="n">
        <v>46037</v>
      </c>
      <c r="D395" t="inlineStr">
        <is>
          <t>GÄVLEBORGS LÄN</t>
        </is>
      </c>
      <c r="E395" t="inlineStr">
        <is>
          <t>SÖDERHAMN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207-2026</t>
        </is>
      </c>
      <c r="B396" s="1" t="n">
        <v>46026.49010416667</v>
      </c>
      <c r="C396" s="1" t="n">
        <v>46037</v>
      </c>
      <c r="D396" t="inlineStr">
        <is>
          <t>GÄVLEBORGS LÄN</t>
        </is>
      </c>
      <c r="E396" t="inlineStr">
        <is>
          <t>SÖDERHAMN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57044-2022</t>
        </is>
      </c>
      <c r="B397" s="1" t="n">
        <v>44895</v>
      </c>
      <c r="C397" s="1" t="n">
        <v>46037</v>
      </c>
      <c r="D397" t="inlineStr">
        <is>
          <t>GÄVLEBORGS LÄN</t>
        </is>
      </c>
      <c r="E397" t="inlineStr">
        <is>
          <t>SÖDERHAMN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204-2026</t>
        </is>
      </c>
      <c r="B398" s="1" t="n">
        <v>46026.48991898148</v>
      </c>
      <c r="C398" s="1" t="n">
        <v>46037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372-2026</t>
        </is>
      </c>
      <c r="B399" s="1" t="n">
        <v>46027.69054398148</v>
      </c>
      <c r="C399" s="1" t="n">
        <v>46037</v>
      </c>
      <c r="D399" t="inlineStr">
        <is>
          <t>GÄVLEBORGS LÄN</t>
        </is>
      </c>
      <c r="E399" t="inlineStr">
        <is>
          <t>SÖDERHAMN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58215-2025</t>
        </is>
      </c>
      <c r="B400" s="1" t="n">
        <v>45985.3565162037</v>
      </c>
      <c r="C400" s="1" t="n">
        <v>46037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58499-2025</t>
        </is>
      </c>
      <c r="B401" s="1" t="n">
        <v>45985.68675925926</v>
      </c>
      <c r="C401" s="1" t="n">
        <v>46037</v>
      </c>
      <c r="D401" t="inlineStr">
        <is>
          <t>GÄVLEBORGS LÄN</t>
        </is>
      </c>
      <c r="E401" t="inlineStr">
        <is>
          <t>SÖDERHAMN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58502-2025</t>
        </is>
      </c>
      <c r="B402" s="1" t="n">
        <v>45985.6922337963</v>
      </c>
      <c r="C402" s="1" t="n">
        <v>46037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357-2026</t>
        </is>
      </c>
      <c r="B403" s="1" t="n">
        <v>46027.65784722222</v>
      </c>
      <c r="C403" s="1" t="n">
        <v>46037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47288-2023</t>
        </is>
      </c>
      <c r="B404" s="1" t="n">
        <v>45202</v>
      </c>
      <c r="C404" s="1" t="n">
        <v>46037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201-2026</t>
        </is>
      </c>
      <c r="B405" s="1" t="n">
        <v>46026.46917824074</v>
      </c>
      <c r="C405" s="1" t="n">
        <v>46037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58212-2025</t>
        </is>
      </c>
      <c r="B406" s="1" t="n">
        <v>45985.34894675926</v>
      </c>
      <c r="C406" s="1" t="n">
        <v>46037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375-2026</t>
        </is>
      </c>
      <c r="B407" s="1" t="n">
        <v>46027.71767361111</v>
      </c>
      <c r="C407" s="1" t="n">
        <v>46037</v>
      </c>
      <c r="D407" t="inlineStr">
        <is>
          <t>GÄVLEBORGS LÄN</t>
        </is>
      </c>
      <c r="E407" t="inlineStr">
        <is>
          <t>SÖDERHAMN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18920-2025</t>
        </is>
      </c>
      <c r="B408" s="1" t="n">
        <v>45764.47677083333</v>
      </c>
      <c r="C408" s="1" t="n">
        <v>46037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17526-2025</t>
        </is>
      </c>
      <c r="B409" s="1" t="n">
        <v>45757</v>
      </c>
      <c r="C409" s="1" t="n">
        <v>46037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26533-2021</t>
        </is>
      </c>
      <c r="B410" s="1" t="n">
        <v>44348.48729166666</v>
      </c>
      <c r="C410" s="1" t="n">
        <v>46037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804-2026</t>
        </is>
      </c>
      <c r="B411" s="1" t="n">
        <v>46030.29105324074</v>
      </c>
      <c r="C411" s="1" t="n">
        <v>46037</v>
      </c>
      <c r="D411" t="inlineStr">
        <is>
          <t>GÄVLEBORGS LÄN</t>
        </is>
      </c>
      <c r="E411" t="inlineStr">
        <is>
          <t>SÖDERHAMN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1010-2026</t>
        </is>
      </c>
      <c r="B412" s="1" t="n">
        <v>46030.60059027778</v>
      </c>
      <c r="C412" s="1" t="n">
        <v>46037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429-2026</t>
        </is>
      </c>
      <c r="B413" s="1" t="n">
        <v>46029.3012037037</v>
      </c>
      <c r="C413" s="1" t="n">
        <v>46037</v>
      </c>
      <c r="D413" t="inlineStr">
        <is>
          <t>GÄVLEBORGS LÄN</t>
        </is>
      </c>
      <c r="E413" t="inlineStr">
        <is>
          <t>SÖDERHAMN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23230-2024</t>
        </is>
      </c>
      <c r="B414" s="1" t="n">
        <v>45453</v>
      </c>
      <c r="C414" s="1" t="n">
        <v>46037</v>
      </c>
      <c r="D414" t="inlineStr">
        <is>
          <t>GÄVLEBORGS LÄN</t>
        </is>
      </c>
      <c r="E414" t="inlineStr">
        <is>
          <t>SÖDERHAMN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437-2026</t>
        </is>
      </c>
      <c r="B415" s="1" t="n">
        <v>46029.34428240741</v>
      </c>
      <c r="C415" s="1" t="n">
        <v>46037</v>
      </c>
      <c r="D415" t="inlineStr">
        <is>
          <t>GÄVLEBORGS LÄN</t>
        </is>
      </c>
      <c r="E415" t="inlineStr">
        <is>
          <t>SÖDERHAMN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1075-2026</t>
        </is>
      </c>
      <c r="B416" s="1" t="n">
        <v>46030.6484837963</v>
      </c>
      <c r="C416" s="1" t="n">
        <v>46037</v>
      </c>
      <c r="D416" t="inlineStr">
        <is>
          <t>GÄVLEBORGS LÄN</t>
        </is>
      </c>
      <c r="E416" t="inlineStr">
        <is>
          <t>SÖDERHAMN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967-2026</t>
        </is>
      </c>
      <c r="B417" s="1" t="n">
        <v>46030.56107638889</v>
      </c>
      <c r="C417" s="1" t="n">
        <v>46037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624-2026</t>
        </is>
      </c>
      <c r="B418" s="1" t="n">
        <v>46029.54929398148</v>
      </c>
      <c r="C418" s="1" t="n">
        <v>46037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6816-2021</t>
        </is>
      </c>
      <c r="B419" s="1" t="n">
        <v>44237.32259259259</v>
      </c>
      <c r="C419" s="1" t="n">
        <v>46037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1001-2026</t>
        </is>
      </c>
      <c r="B420" s="1" t="n">
        <v>46030.59501157407</v>
      </c>
      <c r="C420" s="1" t="n">
        <v>46037</v>
      </c>
      <c r="D420" t="inlineStr">
        <is>
          <t>GÄVLEBORGS LÄN</t>
        </is>
      </c>
      <c r="E420" t="inlineStr">
        <is>
          <t>SÖDERHAMN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7979-2025</t>
        </is>
      </c>
      <c r="B421" s="1" t="n">
        <v>45707</v>
      </c>
      <c r="C421" s="1" t="n">
        <v>46037</v>
      </c>
      <c r="D421" t="inlineStr">
        <is>
          <t>GÄVLEBORGS LÄN</t>
        </is>
      </c>
      <c r="E421" t="inlineStr">
        <is>
          <t>SÖDERHAMN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996-2026</t>
        </is>
      </c>
      <c r="B422" s="1" t="n">
        <v>46030.59027777778</v>
      </c>
      <c r="C422" s="1" t="n">
        <v>46037</v>
      </c>
      <c r="D422" t="inlineStr">
        <is>
          <t>GÄVLEBORGS LÄN</t>
        </is>
      </c>
      <c r="E422" t="inlineStr">
        <is>
          <t>SÖDERHAMN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300-2024</t>
        </is>
      </c>
      <c r="B423" s="1" t="n">
        <v>45295.47097222223</v>
      </c>
      <c r="C423" s="1" t="n">
        <v>46037</v>
      </c>
      <c r="D423" t="inlineStr">
        <is>
          <t>GÄVLEBORGS LÄN</t>
        </is>
      </c>
      <c r="E423" t="inlineStr">
        <is>
          <t>SÖDERHAMN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59684-2025</t>
        </is>
      </c>
      <c r="B424" s="1" t="n">
        <v>45992.47364583334</v>
      </c>
      <c r="C424" s="1" t="n">
        <v>46037</v>
      </c>
      <c r="D424" t="inlineStr">
        <is>
          <t>GÄVLEBORGS LÄN</t>
        </is>
      </c>
      <c r="E424" t="inlineStr">
        <is>
          <t>SÖDERHAMN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59048-2024</t>
        </is>
      </c>
      <c r="B425" s="1" t="n">
        <v>45636</v>
      </c>
      <c r="C425" s="1" t="n">
        <v>46037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58544-2023</t>
        </is>
      </c>
      <c r="B426" s="1" t="n">
        <v>45251</v>
      </c>
      <c r="C426" s="1" t="n">
        <v>46037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61408-2023</t>
        </is>
      </c>
      <c r="B427" s="1" t="n">
        <v>45264.66268518518</v>
      </c>
      <c r="C427" s="1" t="n">
        <v>46037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1528-2026</t>
        </is>
      </c>
      <c r="B428" s="1" t="n">
        <v>46034.37078703703</v>
      </c>
      <c r="C428" s="1" t="n">
        <v>46037</v>
      </c>
      <c r="D428" t="inlineStr">
        <is>
          <t>GÄVLEBORGS LÄN</t>
        </is>
      </c>
      <c r="E428" t="inlineStr">
        <is>
          <t>SÖDERHAMN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1405-2026</t>
        </is>
      </c>
      <c r="B429" s="1" t="n">
        <v>46031.64569444444</v>
      </c>
      <c r="C429" s="1" t="n">
        <v>46037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11075-2023</t>
        </is>
      </c>
      <c r="B430" s="1" t="n">
        <v>44992</v>
      </c>
      <c r="C430" s="1" t="n">
        <v>46037</v>
      </c>
      <c r="D430" t="inlineStr">
        <is>
          <t>GÄVLEBORGS LÄN</t>
        </is>
      </c>
      <c r="E430" t="inlineStr">
        <is>
          <t>SÖDERHAMN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1518-2026</t>
        </is>
      </c>
      <c r="B431" s="1" t="n">
        <v>46034.35708333334</v>
      </c>
      <c r="C431" s="1" t="n">
        <v>46037</v>
      </c>
      <c r="D431" t="inlineStr">
        <is>
          <t>GÄVLEBORGS LÄN</t>
        </is>
      </c>
      <c r="E431" t="inlineStr">
        <is>
          <t>SÖDERHAMN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59476-2022</t>
        </is>
      </c>
      <c r="B432" s="1" t="n">
        <v>44907.44679398148</v>
      </c>
      <c r="C432" s="1" t="n">
        <v>46037</v>
      </c>
      <c r="D432" t="inlineStr">
        <is>
          <t>GÄVLEBORGS LÄN</t>
        </is>
      </c>
      <c r="E432" t="inlineStr">
        <is>
          <t>SÖDERHAMN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59756-2025</t>
        </is>
      </c>
      <c r="B433" s="1" t="n">
        <v>45992.58737268519</v>
      </c>
      <c r="C433" s="1" t="n">
        <v>46037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59754-2025</t>
        </is>
      </c>
      <c r="B434" s="1" t="n">
        <v>45992.58619212963</v>
      </c>
      <c r="C434" s="1" t="n">
        <v>46037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1701-2026</t>
        </is>
      </c>
      <c r="B435" s="1" t="n">
        <v>46034.59444444445</v>
      </c>
      <c r="C435" s="1" t="n">
        <v>46037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59847-2025</t>
        </is>
      </c>
      <c r="B436" s="1" t="n">
        <v>45992.685625</v>
      </c>
      <c r="C436" s="1" t="n">
        <v>46037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1537-2026</t>
        </is>
      </c>
      <c r="B437" s="1" t="n">
        <v>46034.38321759259</v>
      </c>
      <c r="C437" s="1" t="n">
        <v>46037</v>
      </c>
      <c r="D437" t="inlineStr">
        <is>
          <t>GÄVLEBORGS LÄN</t>
        </is>
      </c>
      <c r="E437" t="inlineStr">
        <is>
          <t>SÖDERHAMN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59420-2025</t>
        </is>
      </c>
      <c r="B438" s="1" t="n">
        <v>45989.52212962963</v>
      </c>
      <c r="C438" s="1" t="n">
        <v>46037</v>
      </c>
      <c r="D438" t="inlineStr">
        <is>
          <t>GÄVLEBORGS LÄN</t>
        </is>
      </c>
      <c r="E438" t="inlineStr">
        <is>
          <t>SÖDERHAMN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1404-2026</t>
        </is>
      </c>
      <c r="B439" s="1" t="n">
        <v>46031.64481481481</v>
      </c>
      <c r="C439" s="1" t="n">
        <v>46037</v>
      </c>
      <c r="D439" t="inlineStr">
        <is>
          <t>GÄVLEBORGS LÄN</t>
        </is>
      </c>
      <c r="E439" t="inlineStr">
        <is>
          <t>SÖDERHAMN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59827-2025</t>
        </is>
      </c>
      <c r="B440" s="1" t="n">
        <v>45992.65472222222</v>
      </c>
      <c r="C440" s="1" t="n">
        <v>46037</v>
      </c>
      <c r="D440" t="inlineStr">
        <is>
          <t>GÄVLEBORGS LÄN</t>
        </is>
      </c>
      <c r="E440" t="inlineStr">
        <is>
          <t>SÖDERHAMN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24766-2023</t>
        </is>
      </c>
      <c r="B441" s="1" t="n">
        <v>45084</v>
      </c>
      <c r="C441" s="1" t="n">
        <v>46037</v>
      </c>
      <c r="D441" t="inlineStr">
        <is>
          <t>GÄVLEBORGS LÄN</t>
        </is>
      </c>
      <c r="E441" t="inlineStr">
        <is>
          <t>SÖDERHAMN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1399-2026</t>
        </is>
      </c>
      <c r="B442" s="1" t="n">
        <v>46031.64197916666</v>
      </c>
      <c r="C442" s="1" t="n">
        <v>46037</v>
      </c>
      <c r="D442" t="inlineStr">
        <is>
          <t>GÄVLEBORGS LÄN</t>
        </is>
      </c>
      <c r="E442" t="inlineStr">
        <is>
          <t>SÖDERHAMN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1512-2026</t>
        </is>
      </c>
      <c r="B443" s="1" t="n">
        <v>46034.34574074074</v>
      </c>
      <c r="C443" s="1" t="n">
        <v>46037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1402-2026</t>
        </is>
      </c>
      <c r="B444" s="1" t="n">
        <v>46031.64355324074</v>
      </c>
      <c r="C444" s="1" t="n">
        <v>46037</v>
      </c>
      <c r="D444" t="inlineStr">
        <is>
          <t>GÄVLEBORGS LÄN</t>
        </is>
      </c>
      <c r="E444" t="inlineStr">
        <is>
          <t>SÖDERHAMN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45107.55921296297</v>
      </c>
      <c r="C445" s="1" t="n">
        <v>46037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41649-2024</t>
        </is>
      </c>
      <c r="B446" s="1" t="n">
        <v>45560.63702546297</v>
      </c>
      <c r="C446" s="1" t="n">
        <v>46037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41650-2024</t>
        </is>
      </c>
      <c r="B447" s="1" t="n">
        <v>45560.63703703704</v>
      </c>
      <c r="C447" s="1" t="n">
        <v>46037</v>
      </c>
      <c r="D447" t="inlineStr">
        <is>
          <t>GÄVLEBORGS LÄN</t>
        </is>
      </c>
      <c r="E447" t="inlineStr">
        <is>
          <t>SÖDERHAMN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1991-2026</t>
        </is>
      </c>
      <c r="B448" s="1" t="n">
        <v>46035.66672453703</v>
      </c>
      <c r="C448" s="1" t="n">
        <v>46037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2398-2026</t>
        </is>
      </c>
      <c r="B449" s="1" t="n">
        <v>46036.68200231482</v>
      </c>
      <c r="C449" s="1" t="n">
        <v>46037</v>
      </c>
      <c r="D449" t="inlineStr">
        <is>
          <t>GÄVLEBORGS LÄN</t>
        </is>
      </c>
      <c r="E449" t="inlineStr">
        <is>
          <t>SÖDERHAMN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2227-2026</t>
        </is>
      </c>
      <c r="B450" s="1" t="n">
        <v>46036.5197800926</v>
      </c>
      <c r="C450" s="1" t="n">
        <v>46037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2231-2026</t>
        </is>
      </c>
      <c r="B451" s="1" t="n">
        <v>46036.52355324074</v>
      </c>
      <c r="C451" s="1" t="n">
        <v>46037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2001-2026</t>
        </is>
      </c>
      <c r="B452" s="1" t="n">
        <v>46035.68237268519</v>
      </c>
      <c r="C452" s="1" t="n">
        <v>46037</v>
      </c>
      <c r="D452" t="inlineStr">
        <is>
          <t>GÄVLEBORGS LÄN</t>
        </is>
      </c>
      <c r="E452" t="inlineStr">
        <is>
          <t>SÖDERHAMN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1888-2026</t>
        </is>
      </c>
      <c r="B453" s="1" t="n">
        <v>46035.49065972222</v>
      </c>
      <c r="C453" s="1" t="n">
        <v>46037</v>
      </c>
      <c r="D453" t="inlineStr">
        <is>
          <t>GÄVLEBORGS LÄN</t>
        </is>
      </c>
      <c r="E453" t="inlineStr">
        <is>
          <t>SÖDERHAMN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2266-2026</t>
        </is>
      </c>
      <c r="B454" s="1" t="n">
        <v>46036.57084490741</v>
      </c>
      <c r="C454" s="1" t="n">
        <v>46037</v>
      </c>
      <c r="D454" t="inlineStr">
        <is>
          <t>GÄVLEBORGS LÄN</t>
        </is>
      </c>
      <c r="E454" t="inlineStr">
        <is>
          <t>SÖDERHAMN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26936-2023</t>
        </is>
      </c>
      <c r="B455" s="1" t="n">
        <v>45093.62740740741</v>
      </c>
      <c r="C455" s="1" t="n">
        <v>46037</v>
      </c>
      <c r="D455" t="inlineStr">
        <is>
          <t>GÄVLEBORGS LÄN</t>
        </is>
      </c>
      <c r="E455" t="inlineStr">
        <is>
          <t>SÖDERHAMN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1980-2026</t>
        </is>
      </c>
      <c r="B456" s="1" t="n">
        <v>46035.65548611111</v>
      </c>
      <c r="C456" s="1" t="n">
        <v>46037</v>
      </c>
      <c r="D456" t="inlineStr">
        <is>
          <t>GÄVLEBORGS LÄN</t>
        </is>
      </c>
      <c r="E456" t="inlineStr">
        <is>
          <t>SÖDERHAMN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2275-2026</t>
        </is>
      </c>
      <c r="B457" s="1" t="n">
        <v>46036.5737962963</v>
      </c>
      <c r="C457" s="1" t="n">
        <v>46037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44681-2024</t>
        </is>
      </c>
      <c r="B458" s="1" t="n">
        <v>45574.54585648148</v>
      </c>
      <c r="C458" s="1" t="n">
        <v>46037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29813-2023</t>
        </is>
      </c>
      <c r="B459" s="1" t="n">
        <v>45107.55283564814</v>
      </c>
      <c r="C459" s="1" t="n">
        <v>46037</v>
      </c>
      <c r="D459" t="inlineStr">
        <is>
          <t>GÄVLEBORGS LÄN</t>
        </is>
      </c>
      <c r="E459" t="inlineStr">
        <is>
          <t>SÖDERHAMN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1990-2026</t>
        </is>
      </c>
      <c r="B460" s="1" t="n">
        <v>46035.6619212963</v>
      </c>
      <c r="C460" s="1" t="n">
        <v>46037</v>
      </c>
      <c r="D460" t="inlineStr">
        <is>
          <t>GÄVLEBORGS LÄN</t>
        </is>
      </c>
      <c r="E460" t="inlineStr">
        <is>
          <t>SÖDERHAMN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60301-2025</t>
        </is>
      </c>
      <c r="B461" s="1" t="n">
        <v>45994.67194444445</v>
      </c>
      <c r="C461" s="1" t="n">
        <v>46037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21283-2023</t>
        </is>
      </c>
      <c r="B462" s="1" t="n">
        <v>45062.64236111111</v>
      </c>
      <c r="C462" s="1" t="n">
        <v>46037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50281-2024</t>
        </is>
      </c>
      <c r="B463" s="1" t="n">
        <v>45600.61165509259</v>
      </c>
      <c r="C463" s="1" t="n">
        <v>46037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27151-2023</t>
        </is>
      </c>
      <c r="B464" s="1" t="n">
        <v>45096.47592592592</v>
      </c>
      <c r="C464" s="1" t="n">
        <v>46037</v>
      </c>
      <c r="D464" t="inlineStr">
        <is>
          <t>GÄVLEBORGS LÄN</t>
        </is>
      </c>
      <c r="E464" t="inlineStr">
        <is>
          <t>SÖDERHAMN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16340-2023</t>
        </is>
      </c>
      <c r="B465" s="1" t="n">
        <v>45028.64403935185</v>
      </c>
      <c r="C465" s="1" t="n">
        <v>46037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24933-2024</t>
        </is>
      </c>
      <c r="B466" s="1" t="n">
        <v>45461</v>
      </c>
      <c r="C466" s="1" t="n">
        <v>46037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1782-2023</t>
        </is>
      </c>
      <c r="B467" s="1" t="n">
        <v>44938.60140046296</v>
      </c>
      <c r="C467" s="1" t="n">
        <v>46037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33928-2023</t>
        </is>
      </c>
      <c r="B468" s="1" t="n">
        <v>45134</v>
      </c>
      <c r="C468" s="1" t="n">
        <v>46037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30556-2024</t>
        </is>
      </c>
      <c r="B469" s="1" t="n">
        <v>45492</v>
      </c>
      <c r="C469" s="1" t="n">
        <v>46037</v>
      </c>
      <c r="D469" t="inlineStr">
        <is>
          <t>GÄVLEBORGS LÄN</t>
        </is>
      </c>
      <c r="E469" t="inlineStr">
        <is>
          <t>SÖDERHAMN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31938-2024</t>
        </is>
      </c>
      <c r="B470" s="1" t="n">
        <v>45510.42049768518</v>
      </c>
      <c r="C470" s="1" t="n">
        <v>46037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18140-2023</t>
        </is>
      </c>
      <c r="B471" s="1" t="n">
        <v>45040.9262037037</v>
      </c>
      <c r="C471" s="1" t="n">
        <v>46037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48797-2024</t>
        </is>
      </c>
      <c r="B472" s="1" t="n">
        <v>45593.65616898148</v>
      </c>
      <c r="C472" s="1" t="n">
        <v>46037</v>
      </c>
      <c r="D472" t="inlineStr">
        <is>
          <t>GÄVLEBORGS LÄN</t>
        </is>
      </c>
      <c r="E472" t="inlineStr">
        <is>
          <t>SÖDERHAMN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54135-2024</t>
        </is>
      </c>
      <c r="B473" s="1" t="n">
        <v>45616.5928125</v>
      </c>
      <c r="C473" s="1" t="n">
        <v>46037</v>
      </c>
      <c r="D473" t="inlineStr">
        <is>
          <t>GÄVLEBORGS LÄN</t>
        </is>
      </c>
      <c r="E473" t="inlineStr">
        <is>
          <t>SÖDERHAMN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49703-2023</t>
        </is>
      </c>
      <c r="B474" s="1" t="n">
        <v>45212</v>
      </c>
      <c r="C474" s="1" t="n">
        <v>46037</v>
      </c>
      <c r="D474" t="inlineStr">
        <is>
          <t>GÄVLEBORGS LÄN</t>
        </is>
      </c>
      <c r="E474" t="inlineStr">
        <is>
          <t>SÖDERHAMN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18135-2025</t>
        </is>
      </c>
      <c r="B475" s="1" t="n">
        <v>45761.60195601852</v>
      </c>
      <c r="C475" s="1" t="n">
        <v>46037</v>
      </c>
      <c r="D475" t="inlineStr">
        <is>
          <t>GÄVLEBORGS LÄN</t>
        </is>
      </c>
      <c r="E475" t="inlineStr">
        <is>
          <t>SÖDERHAMN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10327-2024</t>
        </is>
      </c>
      <c r="B476" s="1" t="n">
        <v>45365.55339120371</v>
      </c>
      <c r="C476" s="1" t="n">
        <v>46037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58821-2024</t>
        </is>
      </c>
      <c r="B477" s="1" t="n">
        <v>45636.36251157407</v>
      </c>
      <c r="C477" s="1" t="n">
        <v>46037</v>
      </c>
      <c r="D477" t="inlineStr">
        <is>
          <t>GÄVLEBORGS LÄN</t>
        </is>
      </c>
      <c r="E477" t="inlineStr">
        <is>
          <t>SÖDERHAMN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29981-2023</t>
        </is>
      </c>
      <c r="B478" s="1" t="n">
        <v>45108.92454861111</v>
      </c>
      <c r="C478" s="1" t="n">
        <v>46037</v>
      </c>
      <c r="D478" t="inlineStr">
        <is>
          <t>GÄVLEBORGS LÄN</t>
        </is>
      </c>
      <c r="E478" t="inlineStr">
        <is>
          <t>SÖDERHAMN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29983-2023</t>
        </is>
      </c>
      <c r="B479" s="1" t="n">
        <v>45108.92465277778</v>
      </c>
      <c r="C479" s="1" t="n">
        <v>46037</v>
      </c>
      <c r="D479" t="inlineStr">
        <is>
          <t>GÄVLEBORGS LÄN</t>
        </is>
      </c>
      <c r="E479" t="inlineStr">
        <is>
          <t>SÖDERHAMN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58611-2023</t>
        </is>
      </c>
      <c r="B480" s="1" t="n">
        <v>45251.50232638889</v>
      </c>
      <c r="C480" s="1" t="n">
        <v>46037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49963-2024</t>
        </is>
      </c>
      <c r="B481" s="1" t="n">
        <v>45597.63175925926</v>
      </c>
      <c r="C481" s="1" t="n">
        <v>46037</v>
      </c>
      <c r="D481" t="inlineStr">
        <is>
          <t>GÄVLEBORGS LÄN</t>
        </is>
      </c>
      <c r="E481" t="inlineStr">
        <is>
          <t>SÖDERHAMN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254-2022</t>
        </is>
      </c>
      <c r="B482" s="1" t="n">
        <v>44564</v>
      </c>
      <c r="C482" s="1" t="n">
        <v>46037</v>
      </c>
      <c r="D482" t="inlineStr">
        <is>
          <t>GÄVLEBORGS LÄN</t>
        </is>
      </c>
      <c r="E482" t="inlineStr">
        <is>
          <t>SÖDERHAMN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16106-2023</t>
        </is>
      </c>
      <c r="B483" s="1" t="n">
        <v>45027</v>
      </c>
      <c r="C483" s="1" t="n">
        <v>46037</v>
      </c>
      <c r="D483" t="inlineStr">
        <is>
          <t>GÄVLEBORGS LÄN</t>
        </is>
      </c>
      <c r="E483" t="inlineStr">
        <is>
          <t>SÖDERHAMN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51986-2024</t>
        </is>
      </c>
      <c r="B484" s="1" t="n">
        <v>45607.68255787037</v>
      </c>
      <c r="C484" s="1" t="n">
        <v>46037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55715-2024</t>
        </is>
      </c>
      <c r="B485" s="1" t="n">
        <v>45622.70284722222</v>
      </c>
      <c r="C485" s="1" t="n">
        <v>46037</v>
      </c>
      <c r="D485" t="inlineStr">
        <is>
          <t>GÄVLEBORGS LÄN</t>
        </is>
      </c>
      <c r="E485" t="inlineStr">
        <is>
          <t>SÖDERHAMN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46007-2024</t>
        </is>
      </c>
      <c r="B486" s="1" t="n">
        <v>45580</v>
      </c>
      <c r="C486" s="1" t="n">
        <v>46037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1641-2025</t>
        </is>
      </c>
      <c r="B487" s="1" t="n">
        <v>45670</v>
      </c>
      <c r="C487" s="1" t="n">
        <v>46037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36174-2024</t>
        </is>
      </c>
      <c r="B488" s="1" t="n">
        <v>45534.40605324074</v>
      </c>
      <c r="C488" s="1" t="n">
        <v>46037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16726-2025</t>
        </is>
      </c>
      <c r="B489" s="1" t="n">
        <v>45754.52270833333</v>
      </c>
      <c r="C489" s="1" t="n">
        <v>46037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20286-2023</t>
        </is>
      </c>
      <c r="B490" s="1" t="n">
        <v>45056</v>
      </c>
      <c r="C490" s="1" t="n">
        <v>46037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53917-2024</t>
        </is>
      </c>
      <c r="B491" s="1" t="n">
        <v>45615.75956018519</v>
      </c>
      <c r="C491" s="1" t="n">
        <v>46037</v>
      </c>
      <c r="D491" t="inlineStr">
        <is>
          <t>GÄVLEBORGS LÄN</t>
        </is>
      </c>
      <c r="E491" t="inlineStr">
        <is>
          <t>SÖDERHAMN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48313-2024</t>
        </is>
      </c>
      <c r="B492" s="1" t="n">
        <v>45590.48979166667</v>
      </c>
      <c r="C492" s="1" t="n">
        <v>46037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30407-2023</t>
        </is>
      </c>
      <c r="B493" s="1" t="n">
        <v>45111</v>
      </c>
      <c r="C493" s="1" t="n">
        <v>46037</v>
      </c>
      <c r="D493" t="inlineStr">
        <is>
          <t>GÄVLEBORGS LÄN</t>
        </is>
      </c>
      <c r="E493" t="inlineStr">
        <is>
          <t>SÖDERHAMN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40097-2024</t>
        </is>
      </c>
      <c r="B494" s="1" t="n">
        <v>45554.41347222222</v>
      </c>
      <c r="C494" s="1" t="n">
        <v>46037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58799-2024</t>
        </is>
      </c>
      <c r="B495" s="1" t="n">
        <v>45636.32105324074</v>
      </c>
      <c r="C495" s="1" t="n">
        <v>46037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58077-2024</t>
        </is>
      </c>
      <c r="B496" s="1" t="n">
        <v>45632.31140046296</v>
      </c>
      <c r="C496" s="1" t="n">
        <v>46037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63632-2023</t>
        </is>
      </c>
      <c r="B497" s="1" t="n">
        <v>45275.56056712963</v>
      </c>
      <c r="C497" s="1" t="n">
        <v>46037</v>
      </c>
      <c r="D497" t="inlineStr">
        <is>
          <t>GÄVLEBORGS LÄN</t>
        </is>
      </c>
      <c r="E497" t="inlineStr">
        <is>
          <t>SÖDERHAMN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49944-2024</t>
        </is>
      </c>
      <c r="B498" s="1" t="n">
        <v>45597.60057870371</v>
      </c>
      <c r="C498" s="1" t="n">
        <v>46037</v>
      </c>
      <c r="D498" t="inlineStr">
        <is>
          <t>GÄVLEBORGS LÄN</t>
        </is>
      </c>
      <c r="E498" t="inlineStr">
        <is>
          <t>SÖDERHAMN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58180-2024</t>
        </is>
      </c>
      <c r="B499" s="1" t="n">
        <v>45632.46930555555</v>
      </c>
      <c r="C499" s="1" t="n">
        <v>46037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59772-2024</t>
        </is>
      </c>
      <c r="B500" s="1" t="n">
        <v>45639.56792824074</v>
      </c>
      <c r="C500" s="1" t="n">
        <v>46037</v>
      </c>
      <c r="D500" t="inlineStr">
        <is>
          <t>GÄVLEBORGS LÄN</t>
        </is>
      </c>
      <c r="E500" t="inlineStr">
        <is>
          <t>SÖDERHAMN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49765-2024</t>
        </is>
      </c>
      <c r="B501" s="1" t="n">
        <v>45597.34137731481</v>
      </c>
      <c r="C501" s="1" t="n">
        <v>46037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58082-2024</t>
        </is>
      </c>
      <c r="B502" s="1" t="n">
        <v>45632.33841435185</v>
      </c>
      <c r="C502" s="1" t="n">
        <v>46037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58093-2024</t>
        </is>
      </c>
      <c r="B503" s="1" t="n">
        <v>45632.35192129629</v>
      </c>
      <c r="C503" s="1" t="n">
        <v>46037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7799-2025</t>
        </is>
      </c>
      <c r="B504" s="1" t="n">
        <v>45706.60534722222</v>
      </c>
      <c r="C504" s="1" t="n">
        <v>46037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15417-2025</t>
        </is>
      </c>
      <c r="B505" s="1" t="n">
        <v>45747.45960648148</v>
      </c>
      <c r="C505" s="1" t="n">
        <v>46037</v>
      </c>
      <c r="D505" t="inlineStr">
        <is>
          <t>GÄVLEBORGS LÄN</t>
        </is>
      </c>
      <c r="E505" t="inlineStr">
        <is>
          <t>SÖDERHAMN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5366-2024</t>
        </is>
      </c>
      <c r="B506" s="1" t="n">
        <v>45331.4727662037</v>
      </c>
      <c r="C506" s="1" t="n">
        <v>46037</v>
      </c>
      <c r="D506" t="inlineStr">
        <is>
          <t>GÄVLEBORGS LÄN</t>
        </is>
      </c>
      <c r="E506" t="inlineStr">
        <is>
          <t>SÖDERHAMN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38355-2022</t>
        </is>
      </c>
      <c r="B507" s="1" t="n">
        <v>44812</v>
      </c>
      <c r="C507" s="1" t="n">
        <v>46037</v>
      </c>
      <c r="D507" t="inlineStr">
        <is>
          <t>GÄVLEBORGS LÄN</t>
        </is>
      </c>
      <c r="E507" t="inlineStr">
        <is>
          <t>SÖDERHAMN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49935-2024</t>
        </is>
      </c>
      <c r="B508" s="1" t="n">
        <v>45597.58377314815</v>
      </c>
      <c r="C508" s="1" t="n">
        <v>46037</v>
      </c>
      <c r="D508" t="inlineStr">
        <is>
          <t>GÄVLEBORGS LÄN</t>
        </is>
      </c>
      <c r="E508" t="inlineStr">
        <is>
          <t>SÖDERHAMN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49942-2024</t>
        </is>
      </c>
      <c r="B509" s="1" t="n">
        <v>45597.5980324074</v>
      </c>
      <c r="C509" s="1" t="n">
        <v>46037</v>
      </c>
      <c r="D509" t="inlineStr">
        <is>
          <t>GÄVLEBORGS LÄN</t>
        </is>
      </c>
      <c r="E509" t="inlineStr">
        <is>
          <t>SÖDERHAMN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51492-2023</t>
        </is>
      </c>
      <c r="B510" s="1" t="n">
        <v>45222.33164351852</v>
      </c>
      <c r="C510" s="1" t="n">
        <v>46037</v>
      </c>
      <c r="D510" t="inlineStr">
        <is>
          <t>GÄVLEBORGS LÄN</t>
        </is>
      </c>
      <c r="E510" t="inlineStr">
        <is>
          <t>SÖDERHAMN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59773-2024</t>
        </is>
      </c>
      <c r="B511" s="1" t="n">
        <v>45639</v>
      </c>
      <c r="C511" s="1" t="n">
        <v>46037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8276-2025</t>
        </is>
      </c>
      <c r="B512" s="1" t="n">
        <v>45708.54879629629</v>
      </c>
      <c r="C512" s="1" t="n">
        <v>46037</v>
      </c>
      <c r="D512" t="inlineStr">
        <is>
          <t>GÄVLEBORGS LÄN</t>
        </is>
      </c>
      <c r="E512" t="inlineStr">
        <is>
          <t>SÖDERHAMN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43191-2024</t>
        </is>
      </c>
      <c r="B513" s="1" t="n">
        <v>45567.67518518519</v>
      </c>
      <c r="C513" s="1" t="n">
        <v>46037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721-2025</t>
        </is>
      </c>
      <c r="B514" s="1" t="n">
        <v>45665</v>
      </c>
      <c r="C514" s="1" t="n">
        <v>46037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19617-2024</t>
        </is>
      </c>
      <c r="B515" s="1" t="n">
        <v>45432.32243055556</v>
      </c>
      <c r="C515" s="1" t="n">
        <v>46037</v>
      </c>
      <c r="D515" t="inlineStr">
        <is>
          <t>GÄVLEBORGS LÄN</t>
        </is>
      </c>
      <c r="E515" t="inlineStr">
        <is>
          <t>SÖDERHAMN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19789-2025</t>
        </is>
      </c>
      <c r="B516" s="1" t="n">
        <v>45771.44474537037</v>
      </c>
      <c r="C516" s="1" t="n">
        <v>46037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30928-2023</t>
        </is>
      </c>
      <c r="B517" s="1" t="n">
        <v>45113.44694444445</v>
      </c>
      <c r="C517" s="1" t="n">
        <v>46037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7559-2025</t>
        </is>
      </c>
      <c r="B518" s="1" t="n">
        <v>45705.58496527778</v>
      </c>
      <c r="C518" s="1" t="n">
        <v>46037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1659-2025</t>
        </is>
      </c>
      <c r="B519" s="1" t="n">
        <v>45670</v>
      </c>
      <c r="C519" s="1" t="n">
        <v>46037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19846-2024</t>
        </is>
      </c>
      <c r="B520" s="1" t="n">
        <v>45433.39193287037</v>
      </c>
      <c r="C520" s="1" t="n">
        <v>46037</v>
      </c>
      <c r="D520" t="inlineStr">
        <is>
          <t>GÄVLEBORGS LÄN</t>
        </is>
      </c>
      <c r="E520" t="inlineStr">
        <is>
          <t>SÖDERHAMN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44338-2023</t>
        </is>
      </c>
      <c r="B521" s="1" t="n">
        <v>45188</v>
      </c>
      <c r="C521" s="1" t="n">
        <v>46037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44341-2023</t>
        </is>
      </c>
      <c r="B522" s="1" t="n">
        <v>45188</v>
      </c>
      <c r="C522" s="1" t="n">
        <v>46037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15646-2022</t>
        </is>
      </c>
      <c r="B523" s="1" t="n">
        <v>44662.9243287037</v>
      </c>
      <c r="C523" s="1" t="n">
        <v>46037</v>
      </c>
      <c r="D523" t="inlineStr">
        <is>
          <t>GÄVLEBORGS LÄN</t>
        </is>
      </c>
      <c r="E523" t="inlineStr">
        <is>
          <t>SÖDERHAMN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29289-2022</t>
        </is>
      </c>
      <c r="B524" s="1" t="n">
        <v>44750</v>
      </c>
      <c r="C524" s="1" t="n">
        <v>46037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18909-2025</t>
        </is>
      </c>
      <c r="B525" s="1" t="n">
        <v>45764.46388888889</v>
      </c>
      <c r="C525" s="1" t="n">
        <v>46037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39916-2021</t>
        </is>
      </c>
      <c r="B526" s="1" t="n">
        <v>44417.84194444444</v>
      </c>
      <c r="C526" s="1" t="n">
        <v>46037</v>
      </c>
      <c r="D526" t="inlineStr">
        <is>
          <t>GÄVLEBORGS LÄN</t>
        </is>
      </c>
      <c r="E526" t="inlineStr">
        <is>
          <t>SÖDERHAMN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59783-2023</t>
        </is>
      </c>
      <c r="B527" s="1" t="n">
        <v>45257.44179398148</v>
      </c>
      <c r="C527" s="1" t="n">
        <v>46037</v>
      </c>
      <c r="D527" t="inlineStr">
        <is>
          <t>GÄVLEBORGS LÄN</t>
        </is>
      </c>
      <c r="E527" t="inlineStr">
        <is>
          <t>SÖDERHAMN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59796-2023</t>
        </is>
      </c>
      <c r="B528" s="1" t="n">
        <v>45257.46166666667</v>
      </c>
      <c r="C528" s="1" t="n">
        <v>46037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62339-2023</t>
        </is>
      </c>
      <c r="B529" s="1" t="n">
        <v>45267.92671296297</v>
      </c>
      <c r="C529" s="1" t="n">
        <v>46037</v>
      </c>
      <c r="D529" t="inlineStr">
        <is>
          <t>GÄVLEBORGS LÄN</t>
        </is>
      </c>
      <c r="E529" t="inlineStr">
        <is>
          <t>SÖDERHAMN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59869-2023</t>
        </is>
      </c>
      <c r="B530" s="1" t="n">
        <v>45257.58369212963</v>
      </c>
      <c r="C530" s="1" t="n">
        <v>46037</v>
      </c>
      <c r="D530" t="inlineStr">
        <is>
          <t>GÄVLEBORGS LÄN</t>
        </is>
      </c>
      <c r="E530" t="inlineStr">
        <is>
          <t>SÖDERHAMN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62206-2023</t>
        </is>
      </c>
      <c r="B531" s="1" t="n">
        <v>45267.48489583333</v>
      </c>
      <c r="C531" s="1" t="n">
        <v>46037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3487-2025</t>
        </is>
      </c>
      <c r="B532" s="1" t="n">
        <v>45680.5480787037</v>
      </c>
      <c r="C532" s="1" t="n">
        <v>46037</v>
      </c>
      <c r="D532" t="inlineStr">
        <is>
          <t>GÄVLEBORGS LÄN</t>
        </is>
      </c>
      <c r="E532" t="inlineStr">
        <is>
          <t>SÖDERHAMN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28340-2024</t>
        </is>
      </c>
      <c r="B533" s="1" t="n">
        <v>45477.54754629629</v>
      </c>
      <c r="C533" s="1" t="n">
        <v>46037</v>
      </c>
      <c r="D533" t="inlineStr">
        <is>
          <t>GÄVLEBORGS LÄN</t>
        </is>
      </c>
      <c r="E533" t="inlineStr">
        <is>
          <t>SÖDERHAMN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5924-2021</t>
        </is>
      </c>
      <c r="B534" s="1" t="n">
        <v>44231</v>
      </c>
      <c r="C534" s="1" t="n">
        <v>46037</v>
      </c>
      <c r="D534" t="inlineStr">
        <is>
          <t>GÄVLEBORGS LÄN</t>
        </is>
      </c>
      <c r="E534" t="inlineStr">
        <is>
          <t>SÖDERHAMN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26693-2024</t>
        </is>
      </c>
      <c r="B535" s="1" t="n">
        <v>45470.3715162037</v>
      </c>
      <c r="C535" s="1" t="n">
        <v>46037</v>
      </c>
      <c r="D535" t="inlineStr">
        <is>
          <t>GÄVLEBORGS LÄN</t>
        </is>
      </c>
      <c r="E535" t="inlineStr">
        <is>
          <t>SÖDERHAMN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30740-2024</t>
        </is>
      </c>
      <c r="B536" s="1" t="n">
        <v>45496.64633101852</v>
      </c>
      <c r="C536" s="1" t="n">
        <v>46037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52090-2023</t>
        </is>
      </c>
      <c r="B537" s="1" t="n">
        <v>45223.77371527778</v>
      </c>
      <c r="C537" s="1" t="n">
        <v>46037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52092-2023</t>
        </is>
      </c>
      <c r="B538" s="1" t="n">
        <v>45223.79653935185</v>
      </c>
      <c r="C538" s="1" t="n">
        <v>46037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50809-2024</t>
        </is>
      </c>
      <c r="B539" s="1" t="n">
        <v>45602.53582175926</v>
      </c>
      <c r="C539" s="1" t="n">
        <v>46037</v>
      </c>
      <c r="D539" t="inlineStr">
        <is>
          <t>GÄVLEBORGS LÄN</t>
        </is>
      </c>
      <c r="E539" t="inlineStr">
        <is>
          <t>SÖDERHAMN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59586-2024</t>
        </is>
      </c>
      <c r="B540" s="1" t="n">
        <v>45638.68046296296</v>
      </c>
      <c r="C540" s="1" t="n">
        <v>46037</v>
      </c>
      <c r="D540" t="inlineStr">
        <is>
          <t>GÄVLEBORGS LÄN</t>
        </is>
      </c>
      <c r="E540" t="inlineStr">
        <is>
          <t>SÖDERHAMN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61881-2024</t>
        </is>
      </c>
      <c r="B541" s="1" t="n">
        <v>45652</v>
      </c>
      <c r="C541" s="1" t="n">
        <v>46037</v>
      </c>
      <c r="D541" t="inlineStr">
        <is>
          <t>GÄVLEBORGS LÄN</t>
        </is>
      </c>
      <c r="E541" t="inlineStr">
        <is>
          <t>SÖDERHAMN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14321-2024</t>
        </is>
      </c>
      <c r="B542" s="1" t="n">
        <v>45393.69122685185</v>
      </c>
      <c r="C542" s="1" t="n">
        <v>46037</v>
      </c>
      <c r="D542" t="inlineStr">
        <is>
          <t>GÄVLEBORGS LÄN</t>
        </is>
      </c>
      <c r="E542" t="inlineStr">
        <is>
          <t>SÖDERHAMN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31916-2024</t>
        </is>
      </c>
      <c r="B543" s="1" t="n">
        <v>45510.39054398148</v>
      </c>
      <c r="C543" s="1" t="n">
        <v>46037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24910-2024</t>
        </is>
      </c>
      <c r="B544" s="1" t="n">
        <v>45461.59956018518</v>
      </c>
      <c r="C544" s="1" t="n">
        <v>46037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19700-2023</t>
        </is>
      </c>
      <c r="B545" s="1" t="n">
        <v>45051.44525462963</v>
      </c>
      <c r="C545" s="1" t="n">
        <v>46037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18492-2024</t>
        </is>
      </c>
      <c r="B546" s="1" t="n">
        <v>45425</v>
      </c>
      <c r="C546" s="1" t="n">
        <v>46037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26978-2022</t>
        </is>
      </c>
      <c r="B547" s="1" t="n">
        <v>44740.703125</v>
      </c>
      <c r="C547" s="1" t="n">
        <v>46037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15877-2025</t>
        </is>
      </c>
      <c r="B548" s="1" t="n">
        <v>45749.38613425926</v>
      </c>
      <c r="C548" s="1" t="n">
        <v>46037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36204-2024</t>
        </is>
      </c>
      <c r="B549" s="1" t="n">
        <v>45534.43899305556</v>
      </c>
      <c r="C549" s="1" t="n">
        <v>46037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42035-2024</t>
        </is>
      </c>
      <c r="B550" s="1" t="n">
        <v>45561</v>
      </c>
      <c r="C550" s="1" t="n">
        <v>46037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11206-2023</t>
        </is>
      </c>
      <c r="B551" s="1" t="n">
        <v>44992.60256944445</v>
      </c>
      <c r="C551" s="1" t="n">
        <v>46037</v>
      </c>
      <c r="D551" t="inlineStr">
        <is>
          <t>GÄVLEBORGS LÄN</t>
        </is>
      </c>
      <c r="E551" t="inlineStr">
        <is>
          <t>SÖDERHAMN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41648-2024</t>
        </is>
      </c>
      <c r="B552" s="1" t="n">
        <v>45560.63701388889</v>
      </c>
      <c r="C552" s="1" t="n">
        <v>46037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19843-2024</t>
        </is>
      </c>
      <c r="B553" s="1" t="n">
        <v>45433.38668981481</v>
      </c>
      <c r="C553" s="1" t="n">
        <v>46037</v>
      </c>
      <c r="D553" t="inlineStr">
        <is>
          <t>GÄVLEBORGS LÄN</t>
        </is>
      </c>
      <c r="E553" t="inlineStr">
        <is>
          <t>SÖDERHAMN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11215-2023</t>
        </is>
      </c>
      <c r="B554" s="1" t="n">
        <v>44992.61489583334</v>
      </c>
      <c r="C554" s="1" t="n">
        <v>46037</v>
      </c>
      <c r="D554" t="inlineStr">
        <is>
          <t>GÄVLEBORGS LÄN</t>
        </is>
      </c>
      <c r="E554" t="inlineStr">
        <is>
          <t>SÖDERHAMN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4843-2023</t>
        </is>
      </c>
      <c r="B555" s="1" t="n">
        <v>44957</v>
      </c>
      <c r="C555" s="1" t="n">
        <v>46037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4042-2021</t>
        </is>
      </c>
      <c r="B556" s="1" t="n">
        <v>44218</v>
      </c>
      <c r="C556" s="1" t="n">
        <v>46037</v>
      </c>
      <c r="D556" t="inlineStr">
        <is>
          <t>GÄVLEBORGS LÄN</t>
        </is>
      </c>
      <c r="E556" t="inlineStr">
        <is>
          <t>SÖDERHAMN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53503-2023</t>
        </is>
      </c>
      <c r="B557" s="1" t="n">
        <v>45230</v>
      </c>
      <c r="C557" s="1" t="n">
        <v>46037</v>
      </c>
      <c r="D557" t="inlineStr">
        <is>
          <t>GÄVLEBORGS LÄN</t>
        </is>
      </c>
      <c r="E557" t="inlineStr">
        <is>
          <t>SÖDERHAMN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2755-2022</t>
        </is>
      </c>
      <c r="B558" s="1" t="n">
        <v>44580.92254629629</v>
      </c>
      <c r="C558" s="1" t="n">
        <v>46037</v>
      </c>
      <c r="D558" t="inlineStr">
        <is>
          <t>GÄVLEBORGS LÄN</t>
        </is>
      </c>
      <c r="E558" t="inlineStr">
        <is>
          <t>SÖDERHAMN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16137-2022</t>
        </is>
      </c>
      <c r="B559" s="1" t="n">
        <v>44665</v>
      </c>
      <c r="C559" s="1" t="n">
        <v>46037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14128-2022</t>
        </is>
      </c>
      <c r="B560" s="1" t="n">
        <v>44651.41497685185</v>
      </c>
      <c r="C560" s="1" t="n">
        <v>46037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59301-2024</t>
        </is>
      </c>
      <c r="B561" s="1" t="n">
        <v>45637</v>
      </c>
      <c r="C561" s="1" t="n">
        <v>46037</v>
      </c>
      <c r="D561" t="inlineStr">
        <is>
          <t>GÄVLEBORGS LÄN</t>
        </is>
      </c>
      <c r="E561" t="inlineStr">
        <is>
          <t>SÖDERHAMN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29982-2023</t>
        </is>
      </c>
      <c r="B562" s="1" t="n">
        <v>45108.92460648148</v>
      </c>
      <c r="C562" s="1" t="n">
        <v>46037</v>
      </c>
      <c r="D562" t="inlineStr">
        <is>
          <t>GÄVLEBORGS LÄN</t>
        </is>
      </c>
      <c r="E562" t="inlineStr">
        <is>
          <t>SÖDERHAMN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18195-2023</t>
        </is>
      </c>
      <c r="B563" s="1" t="n">
        <v>45041.3624537037</v>
      </c>
      <c r="C563" s="1" t="n">
        <v>46037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5886-2023</t>
        </is>
      </c>
      <c r="B564" s="1" t="n">
        <v>44963.64210648148</v>
      </c>
      <c r="C564" s="1" t="n">
        <v>46037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18913-2025</t>
        </is>
      </c>
      <c r="B565" s="1" t="n">
        <v>45764.46673611111</v>
      </c>
      <c r="C565" s="1" t="n">
        <v>46037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54007-2023</t>
        </is>
      </c>
      <c r="B566" s="1" t="n">
        <v>45231</v>
      </c>
      <c r="C566" s="1" t="n">
        <v>46037</v>
      </c>
      <c r="D566" t="inlineStr">
        <is>
          <t>GÄVLEBORGS LÄN</t>
        </is>
      </c>
      <c r="E566" t="inlineStr">
        <is>
          <t>SÖDERHAMN</t>
        </is>
      </c>
      <c r="F566" t="inlineStr">
        <is>
          <t>Kommuner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49786-2024</t>
        </is>
      </c>
      <c r="B567" s="1" t="n">
        <v>45597.35850694445</v>
      </c>
      <c r="C567" s="1" t="n">
        <v>46037</v>
      </c>
      <c r="D567" t="inlineStr">
        <is>
          <t>GÄVLEBORGS LÄN</t>
        </is>
      </c>
      <c r="E567" t="inlineStr">
        <is>
          <t>SÖDERHAMN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56502-2023</t>
        </is>
      </c>
      <c r="B568" s="1" t="n">
        <v>45243</v>
      </c>
      <c r="C568" s="1" t="n">
        <v>46037</v>
      </c>
      <c r="D568" t="inlineStr">
        <is>
          <t>GÄVLEBORGS LÄN</t>
        </is>
      </c>
      <c r="E568" t="inlineStr">
        <is>
          <t>SÖDERHAMN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58142-2024</t>
        </is>
      </c>
      <c r="B569" s="1" t="n">
        <v>45632.43130787037</v>
      </c>
      <c r="C569" s="1" t="n">
        <v>46037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58156-2024</t>
        </is>
      </c>
      <c r="B570" s="1" t="n">
        <v>45632.44497685185</v>
      </c>
      <c r="C570" s="1" t="n">
        <v>46037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26839-2024</t>
        </is>
      </c>
      <c r="B571" s="1" t="n">
        <v>45470.57621527778</v>
      </c>
      <c r="C571" s="1" t="n">
        <v>46037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71645-2021</t>
        </is>
      </c>
      <c r="B572" s="1" t="n">
        <v>44543.34858796297</v>
      </c>
      <c r="C572" s="1" t="n">
        <v>46037</v>
      </c>
      <c r="D572" t="inlineStr">
        <is>
          <t>GÄVLEBORGS LÄN</t>
        </is>
      </c>
      <c r="E572" t="inlineStr">
        <is>
          <t>SÖDERHAMN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63798-2023</t>
        </is>
      </c>
      <c r="B573" s="1" t="n">
        <v>45278.41434027778</v>
      </c>
      <c r="C573" s="1" t="n">
        <v>46037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6455-2025</t>
        </is>
      </c>
      <c r="B574" s="1" t="n">
        <v>45699.55270833334</v>
      </c>
      <c r="C574" s="1" t="n">
        <v>46037</v>
      </c>
      <c r="D574" t="inlineStr">
        <is>
          <t>GÄVLEBORGS LÄN</t>
        </is>
      </c>
      <c r="E574" t="inlineStr">
        <is>
          <t>SÖDERHAMN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49954-2024</t>
        </is>
      </c>
      <c r="B575" s="1" t="n">
        <v>45597.61638888889</v>
      </c>
      <c r="C575" s="1" t="n">
        <v>46037</v>
      </c>
      <c r="D575" t="inlineStr">
        <is>
          <t>GÄVLEBORGS LÄN</t>
        </is>
      </c>
      <c r="E575" t="inlineStr">
        <is>
          <t>SÖDERHAMN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49961-2024</t>
        </is>
      </c>
      <c r="B576" s="1" t="n">
        <v>45597.62934027778</v>
      </c>
      <c r="C576" s="1" t="n">
        <v>46037</v>
      </c>
      <c r="D576" t="inlineStr">
        <is>
          <t>GÄVLEBORGS LÄN</t>
        </is>
      </c>
      <c r="E576" t="inlineStr">
        <is>
          <t>SÖDERHAMN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6853-2024</t>
        </is>
      </c>
      <c r="B577" s="1" t="n">
        <v>45342</v>
      </c>
      <c r="C577" s="1" t="n">
        <v>46037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58141-2024</t>
        </is>
      </c>
      <c r="B578" s="1" t="n">
        <v>45632.42275462963</v>
      </c>
      <c r="C578" s="1" t="n">
        <v>46037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34826-2024</t>
        </is>
      </c>
      <c r="B579" s="1" t="n">
        <v>45526.72263888889</v>
      </c>
      <c r="C579" s="1" t="n">
        <v>46037</v>
      </c>
      <c r="D579" t="inlineStr">
        <is>
          <t>GÄVLEBORGS LÄN</t>
        </is>
      </c>
      <c r="E579" t="inlineStr">
        <is>
          <t>SÖDERHAMN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15454-2025</t>
        </is>
      </c>
      <c r="B580" s="1" t="n">
        <v>45747.49863425926</v>
      </c>
      <c r="C580" s="1" t="n">
        <v>46037</v>
      </c>
      <c r="D580" t="inlineStr">
        <is>
          <t>GÄVLEBORGS LÄN</t>
        </is>
      </c>
      <c r="E580" t="inlineStr">
        <is>
          <t>SÖDERHAMN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54156-2022</t>
        </is>
      </c>
      <c r="B581" s="1" t="n">
        <v>44881</v>
      </c>
      <c r="C581" s="1" t="n">
        <v>46037</v>
      </c>
      <c r="D581" t="inlineStr">
        <is>
          <t>GÄVLEBORGS LÄN</t>
        </is>
      </c>
      <c r="E581" t="inlineStr">
        <is>
          <t>SÖDERHAMN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50283-2024</t>
        </is>
      </c>
      <c r="B582" s="1" t="n">
        <v>45600.6139699074</v>
      </c>
      <c r="C582" s="1" t="n">
        <v>46037</v>
      </c>
      <c r="D582" t="inlineStr">
        <is>
          <t>GÄVLEBORGS LÄN</t>
        </is>
      </c>
      <c r="E582" t="inlineStr">
        <is>
          <t>SÖDERHAMN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58074-2024</t>
        </is>
      </c>
      <c r="B583" s="1" t="n">
        <v>45632.28496527778</v>
      </c>
      <c r="C583" s="1" t="n">
        <v>46037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63431-2021</t>
        </is>
      </c>
      <c r="B584" s="1" t="n">
        <v>44508.57627314814</v>
      </c>
      <c r="C584" s="1" t="n">
        <v>46037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34976-2024</t>
        </is>
      </c>
      <c r="B585" s="1" t="n">
        <v>45527.5432175926</v>
      </c>
      <c r="C585" s="1" t="n">
        <v>46037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20456-2024</t>
        </is>
      </c>
      <c r="B586" s="1" t="n">
        <v>45435.6531712963</v>
      </c>
      <c r="C586" s="1" t="n">
        <v>46037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56933-2024</t>
        </is>
      </c>
      <c r="B587" s="1" t="n">
        <v>45628</v>
      </c>
      <c r="C587" s="1" t="n">
        <v>46037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54608-2024</t>
        </is>
      </c>
      <c r="B588" s="1" t="n">
        <v>45617.6917824074</v>
      </c>
      <c r="C588" s="1" t="n">
        <v>46037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8073-2022</t>
        </is>
      </c>
      <c r="B589" s="1" t="n">
        <v>44609.49275462963</v>
      </c>
      <c r="C589" s="1" t="n">
        <v>46037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2724-2025</t>
        </is>
      </c>
      <c r="B590" s="1" t="n">
        <v>45677.43975694444</v>
      </c>
      <c r="C590" s="1" t="n">
        <v>46037</v>
      </c>
      <c r="D590" t="inlineStr">
        <is>
          <t>GÄVLEBORGS LÄN</t>
        </is>
      </c>
      <c r="E590" t="inlineStr">
        <is>
          <t>SÖDERHAMN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2268-2025</t>
        </is>
      </c>
      <c r="B591" s="1" t="n">
        <v>45673.53710648148</v>
      </c>
      <c r="C591" s="1" t="n">
        <v>46037</v>
      </c>
      <c r="D591" t="inlineStr">
        <is>
          <t>GÄVLEBORGS LÄN</t>
        </is>
      </c>
      <c r="E591" t="inlineStr">
        <is>
          <t>SÖDERHAMN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58166-2024</t>
        </is>
      </c>
      <c r="B592" s="1" t="n">
        <v>45632.45820601852</v>
      </c>
      <c r="C592" s="1" t="n">
        <v>46037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16185-2025</t>
        </is>
      </c>
      <c r="B593" s="1" t="n">
        <v>45750.58597222222</v>
      </c>
      <c r="C593" s="1" t="n">
        <v>46037</v>
      </c>
      <c r="D593" t="inlineStr">
        <is>
          <t>GÄVLEBORGS LÄN</t>
        </is>
      </c>
      <c r="E593" t="inlineStr">
        <is>
          <t>SÖDERHAMN</t>
        </is>
      </c>
      <c r="F593" t="inlineStr">
        <is>
          <t>Kommuner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19782-2025</t>
        </is>
      </c>
      <c r="B594" s="1" t="n">
        <v>45771.43126157407</v>
      </c>
      <c r="C594" s="1" t="n">
        <v>46037</v>
      </c>
      <c r="D594" t="inlineStr">
        <is>
          <t>GÄVLEBORGS LÄN</t>
        </is>
      </c>
      <c r="E594" t="inlineStr">
        <is>
          <t>SÖDERHAMN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27862-2023</t>
        </is>
      </c>
      <c r="B595" s="1" t="n">
        <v>45098</v>
      </c>
      <c r="C595" s="1" t="n">
        <v>46037</v>
      </c>
      <c r="D595" t="inlineStr">
        <is>
          <t>GÄVLEBORGS LÄN</t>
        </is>
      </c>
      <c r="E595" t="inlineStr">
        <is>
          <t>SÖDERHAMN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21272-2023</t>
        </is>
      </c>
      <c r="B596" s="1" t="n">
        <v>45062.62559027778</v>
      </c>
      <c r="C596" s="1" t="n">
        <v>46037</v>
      </c>
      <c r="D596" t="inlineStr">
        <is>
          <t>GÄVLEBORGS LÄN</t>
        </is>
      </c>
      <c r="E596" t="inlineStr">
        <is>
          <t>SÖDERHAMN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41221-2022</t>
        </is>
      </c>
      <c r="B597" s="1" t="n">
        <v>44826</v>
      </c>
      <c r="C597" s="1" t="n">
        <v>46037</v>
      </c>
      <c r="D597" t="inlineStr">
        <is>
          <t>GÄVLEBORGS LÄN</t>
        </is>
      </c>
      <c r="E597" t="inlineStr">
        <is>
          <t>SÖDERHAMN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47794-2024</t>
        </is>
      </c>
      <c r="B598" s="1" t="n">
        <v>45588.59930555556</v>
      </c>
      <c r="C598" s="1" t="n">
        <v>46037</v>
      </c>
      <c r="D598" t="inlineStr">
        <is>
          <t>GÄVLEBORGS LÄN</t>
        </is>
      </c>
      <c r="E598" t="inlineStr">
        <is>
          <t>SÖDERHAMN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46006-2024</t>
        </is>
      </c>
      <c r="B599" s="1" t="n">
        <v>45580</v>
      </c>
      <c r="C599" s="1" t="n">
        <v>46037</v>
      </c>
      <c r="D599" t="inlineStr">
        <is>
          <t>GÄVLEBORGS LÄN</t>
        </is>
      </c>
      <c r="E599" t="inlineStr">
        <is>
          <t>SÖDERHAMN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59000-2023</t>
        </is>
      </c>
      <c r="B600" s="1" t="n">
        <v>45252.63642361111</v>
      </c>
      <c r="C600" s="1" t="n">
        <v>46037</v>
      </c>
      <c r="D600" t="inlineStr">
        <is>
          <t>GÄVLEBORGS LÄN</t>
        </is>
      </c>
      <c r="E600" t="inlineStr">
        <is>
          <t>SÖDERHAMN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50066-2023</t>
        </is>
      </c>
      <c r="B601" s="1" t="n">
        <v>45215</v>
      </c>
      <c r="C601" s="1" t="n">
        <v>46037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29979-2023</t>
        </is>
      </c>
      <c r="B602" s="1" t="n">
        <v>45108</v>
      </c>
      <c r="C602" s="1" t="n">
        <v>46037</v>
      </c>
      <c r="D602" t="inlineStr">
        <is>
          <t>GÄVLEBORGS LÄN</t>
        </is>
      </c>
      <c r="E602" t="inlineStr">
        <is>
          <t>SÖDERHAMN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15499-2025</t>
        </is>
      </c>
      <c r="B603" s="1" t="n">
        <v>45747.58306712963</v>
      </c>
      <c r="C603" s="1" t="n">
        <v>46037</v>
      </c>
      <c r="D603" t="inlineStr">
        <is>
          <t>GÄVLEBORGS LÄN</t>
        </is>
      </c>
      <c r="E603" t="inlineStr">
        <is>
          <t>SÖDERHAMN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49281-2024</t>
        </is>
      </c>
      <c r="B604" s="1" t="n">
        <v>45595.50841435185</v>
      </c>
      <c r="C604" s="1" t="n">
        <v>46037</v>
      </c>
      <c r="D604" t="inlineStr">
        <is>
          <t>GÄVLEBORGS LÄN</t>
        </is>
      </c>
      <c r="E604" t="inlineStr">
        <is>
          <t>SÖDERHAMN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49282-2024</t>
        </is>
      </c>
      <c r="B605" s="1" t="n">
        <v>45595.50844907408</v>
      </c>
      <c r="C605" s="1" t="n">
        <v>46037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14472-2024</t>
        </is>
      </c>
      <c r="B606" s="1" t="n">
        <v>45394.55886574074</v>
      </c>
      <c r="C606" s="1" t="n">
        <v>46037</v>
      </c>
      <c r="D606" t="inlineStr">
        <is>
          <t>GÄVLEBORGS LÄN</t>
        </is>
      </c>
      <c r="E606" t="inlineStr">
        <is>
          <t>SÖDERHAMN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42265-2024</t>
        </is>
      </c>
      <c r="B607" s="1" t="n">
        <v>45562.59310185185</v>
      </c>
      <c r="C607" s="1" t="n">
        <v>46037</v>
      </c>
      <c r="D607" t="inlineStr">
        <is>
          <t>GÄVLEBORGS LÄN</t>
        </is>
      </c>
      <c r="E607" t="inlineStr">
        <is>
          <t>SÖDERHAMN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19536-2025</t>
        </is>
      </c>
      <c r="B608" s="1" t="n">
        <v>45770.47952546296</v>
      </c>
      <c r="C608" s="1" t="n">
        <v>46037</v>
      </c>
      <c r="D608" t="inlineStr">
        <is>
          <t>GÄVLEBORGS LÄN</t>
        </is>
      </c>
      <c r="E608" t="inlineStr">
        <is>
          <t>SÖDERHAMN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16188-2025</t>
        </is>
      </c>
      <c r="B609" s="1" t="n">
        <v>45750.5878125</v>
      </c>
      <c r="C609" s="1" t="n">
        <v>46037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50842-2024</t>
        </is>
      </c>
      <c r="B610" s="1" t="n">
        <v>45602.60487268519</v>
      </c>
      <c r="C610" s="1" t="n">
        <v>46037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39207-2024</t>
        </is>
      </c>
      <c r="B611" s="1" t="n">
        <v>45548.82506944444</v>
      </c>
      <c r="C611" s="1" t="n">
        <v>46037</v>
      </c>
      <c r="D611" t="inlineStr">
        <is>
          <t>GÄVLEBORGS LÄN</t>
        </is>
      </c>
      <c r="E611" t="inlineStr">
        <is>
          <t>SÖDERHAMN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55713-2024</t>
        </is>
      </c>
      <c r="B612" s="1" t="n">
        <v>45622.70282407408</v>
      </c>
      <c r="C612" s="1" t="n">
        <v>46037</v>
      </c>
      <c r="D612" t="inlineStr">
        <is>
          <t>GÄVLEBORGS LÄN</t>
        </is>
      </c>
      <c r="E612" t="inlineStr">
        <is>
          <t>SÖDERHAMN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51413-2023</t>
        </is>
      </c>
      <c r="B613" s="1" t="n">
        <v>45219</v>
      </c>
      <c r="C613" s="1" t="n">
        <v>46037</v>
      </c>
      <c r="D613" t="inlineStr">
        <is>
          <t>GÄVLEBORGS LÄN</t>
        </is>
      </c>
      <c r="E613" t="inlineStr">
        <is>
          <t>SÖDERHAMN</t>
        </is>
      </c>
      <c r="F613" t="inlineStr">
        <is>
          <t>Kommuner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15635-2025</t>
        </is>
      </c>
      <c r="B614" s="1" t="n">
        <v>45748.3718287037</v>
      </c>
      <c r="C614" s="1" t="n">
        <v>46037</v>
      </c>
      <c r="D614" t="inlineStr">
        <is>
          <t>GÄVLEBORGS LÄN</t>
        </is>
      </c>
      <c r="E614" t="inlineStr">
        <is>
          <t>SÖDERHAMN</t>
        </is>
      </c>
      <c r="F614" t="inlineStr">
        <is>
          <t>Kommuner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22212-2023</t>
        </is>
      </c>
      <c r="B615" s="1" t="n">
        <v>45069.90076388889</v>
      </c>
      <c r="C615" s="1" t="n">
        <v>46037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435-2024</t>
        </is>
      </c>
      <c r="B616" s="1" t="n">
        <v>45296</v>
      </c>
      <c r="C616" s="1" t="n">
        <v>46037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4497-2024</t>
        </is>
      </c>
      <c r="B617" s="1" t="n">
        <v>45327</v>
      </c>
      <c r="C617" s="1" t="n">
        <v>46037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7972-2025</t>
        </is>
      </c>
      <c r="B618" s="1" t="n">
        <v>45707</v>
      </c>
      <c r="C618" s="1" t="n">
        <v>46037</v>
      </c>
      <c r="D618" t="inlineStr">
        <is>
          <t>GÄVLEBORGS LÄN</t>
        </is>
      </c>
      <c r="E618" t="inlineStr">
        <is>
          <t>SÖDERHAMN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21316-2024</t>
        </is>
      </c>
      <c r="B619" s="1" t="n">
        <v>45440.70765046297</v>
      </c>
      <c r="C619" s="1" t="n">
        <v>46037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58281-2024</t>
        </is>
      </c>
      <c r="B620" s="1" t="n">
        <v>45632.57706018518</v>
      </c>
      <c r="C620" s="1" t="n">
        <v>46037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19921-2025</t>
        </is>
      </c>
      <c r="B621" s="1" t="n">
        <v>45771.62862268519</v>
      </c>
      <c r="C621" s="1" t="n">
        <v>46037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53916-2024</t>
        </is>
      </c>
      <c r="B622" s="1" t="n">
        <v>45615.75822916667</v>
      </c>
      <c r="C622" s="1" t="n">
        <v>46037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61680-2023</t>
        </is>
      </c>
      <c r="B623" s="1" t="n">
        <v>45265.63185185185</v>
      </c>
      <c r="C623" s="1" t="n">
        <v>46037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20946-2025</t>
        </is>
      </c>
      <c r="B624" s="1" t="n">
        <v>45777.4344212963</v>
      </c>
      <c r="C624" s="1" t="n">
        <v>46037</v>
      </c>
      <c r="D624" t="inlineStr">
        <is>
          <t>GÄVLEBORGS LÄN</t>
        </is>
      </c>
      <c r="E624" t="inlineStr">
        <is>
          <t>SÖDERHAMN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21252-2025</t>
        </is>
      </c>
      <c r="B625" s="1" t="n">
        <v>45779.57425925926</v>
      </c>
      <c r="C625" s="1" t="n">
        <v>46037</v>
      </c>
      <c r="D625" t="inlineStr">
        <is>
          <t>GÄVLEBORGS LÄN</t>
        </is>
      </c>
      <c r="E625" t="inlineStr">
        <is>
          <t>SÖDERHAMN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21500-2025</t>
        </is>
      </c>
      <c r="B626" s="1" t="n">
        <v>45782.60820601852</v>
      </c>
      <c r="C626" s="1" t="n">
        <v>46037</v>
      </c>
      <c r="D626" t="inlineStr">
        <is>
          <t>GÄVLEBORGS LÄN</t>
        </is>
      </c>
      <c r="E626" t="inlineStr">
        <is>
          <t>SÖDERHAMN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21327-2025</t>
        </is>
      </c>
      <c r="B627" s="1" t="n">
        <v>45782.35456018519</v>
      </c>
      <c r="C627" s="1" t="n">
        <v>46037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Kyrkan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21538-2025</t>
        </is>
      </c>
      <c r="B628" s="1" t="n">
        <v>45782.65975694444</v>
      </c>
      <c r="C628" s="1" t="n">
        <v>46037</v>
      </c>
      <c r="D628" t="inlineStr">
        <is>
          <t>GÄVLEBORGS LÄN</t>
        </is>
      </c>
      <c r="E628" t="inlineStr">
        <is>
          <t>SÖDERHAMN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18189-2024</t>
        </is>
      </c>
      <c r="B629" s="1" t="n">
        <v>45420.65974537037</v>
      </c>
      <c r="C629" s="1" t="n">
        <v>46037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47676-2024</t>
        </is>
      </c>
      <c r="B630" s="1" t="n">
        <v>45588.40865740741</v>
      </c>
      <c r="C630" s="1" t="n">
        <v>46037</v>
      </c>
      <c r="D630" t="inlineStr">
        <is>
          <t>GÄVLEBORGS LÄN</t>
        </is>
      </c>
      <c r="E630" t="inlineStr">
        <is>
          <t>SÖDERHAMN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37916-2024</t>
        </is>
      </c>
      <c r="B631" s="1" t="n">
        <v>45544.46974537037</v>
      </c>
      <c r="C631" s="1" t="n">
        <v>46037</v>
      </c>
      <c r="D631" t="inlineStr">
        <is>
          <t>GÄVLEBORGS LÄN</t>
        </is>
      </c>
      <c r="E631" t="inlineStr">
        <is>
          <t>SÖDERHAMN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36059-2023</t>
        </is>
      </c>
      <c r="B632" s="1" t="n">
        <v>45149.45503472222</v>
      </c>
      <c r="C632" s="1" t="n">
        <v>46037</v>
      </c>
      <c r="D632" t="inlineStr">
        <is>
          <t>GÄVLEBORGS LÄN</t>
        </is>
      </c>
      <c r="E632" t="inlineStr">
        <is>
          <t>SÖDERHAMN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2026-01-15T11:00:53Z</dcterms:created>
  <dcterms:modified xmlns:dcterms="http://purl.org/dc/terms/" xmlns:xsi="http://www.w3.org/2001/XMLSchema-instance" xsi:type="dcterms:W3CDTF">2026-01-15T11:00:54Z</dcterms:modified>
</cp:coreProperties>
</file>