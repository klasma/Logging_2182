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46204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46204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46204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46204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5952-2026</t>
        </is>
      </c>
      <c r="B12" s="1" t="n">
        <v>46052</v>
      </c>
      <c r="C12" s="1" t="n">
        <v>46204</v>
      </c>
      <c r="D12" t="inlineStr">
        <is>
          <t>GÄVLEBORGS LÄN</t>
        </is>
      </c>
      <c r="E12" t="inlineStr">
        <is>
          <t>SÖDERHAMN</t>
        </is>
      </c>
      <c r="G12" t="n">
        <v>0.7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Björktrast
Stor aspticka
Tibast</t>
        </is>
      </c>
      <c r="S12">
        <f>HYPERLINK("https://klasma.github.io/Logging_2182/artfynd/A 5952-2026 artfynd.xlsx", "A 5952-2026")</f>
        <v/>
      </c>
      <c r="T12">
        <f>HYPERLINK("https://klasma.github.io/Logging_2182/kartor/A 5952-2026 karta.png", "A 5952-2026")</f>
        <v/>
      </c>
      <c r="V12">
        <f>HYPERLINK("https://klasma.github.io/Logging_2182/klagomål/A 5952-2026 FSC-klagomål.docx", "A 5952-2026")</f>
        <v/>
      </c>
      <c r="W12">
        <f>HYPERLINK("https://klasma.github.io/Logging_2182/klagomålsmail/A 5952-2026 FSC-klagomål mail.docx", "A 5952-2026")</f>
        <v/>
      </c>
      <c r="X12">
        <f>HYPERLINK("https://klasma.github.io/Logging_2182/tillsyn/A 5952-2026 tillsynsbegäran.docx", "A 5952-2026")</f>
        <v/>
      </c>
      <c r="Y12">
        <f>HYPERLINK("https://klasma.github.io/Logging_2182/tillsynsmail/A 5952-2026 tillsynsbegäran mail.docx", "A 5952-2026")</f>
        <v/>
      </c>
      <c r="Z12">
        <f>HYPERLINK("https://klasma.github.io/Logging_2182/fåglar/A 5952-2026 prioriterade fågelarter.docx", "A 5952-2026")</f>
        <v/>
      </c>
    </row>
    <row r="13" ht="15" customHeight="1">
      <c r="A13" t="inlineStr">
        <is>
          <t>A 24606-2025</t>
        </is>
      </c>
      <c r="B13" s="1" t="n">
        <v>45798</v>
      </c>
      <c r="C13" s="1" t="n">
        <v>46204</v>
      </c>
      <c r="D13" t="inlineStr">
        <is>
          <t>GÄVLEBORGS LÄN</t>
        </is>
      </c>
      <c r="E13" t="inlineStr">
        <is>
          <t>SÖDERHAMN</t>
        </is>
      </c>
      <c r="G13" t="n">
        <v>2.2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24606-2025 artfynd.xlsx", "A 24606-2025")</f>
        <v/>
      </c>
      <c r="T13">
        <f>HYPERLINK("https://klasma.github.io/Logging_2182/kartor/A 24606-2025 karta.png", "A 24606-2025")</f>
        <v/>
      </c>
      <c r="U13">
        <f>HYPERLINK("https://klasma.github.io/Logging_2182/knärot/A 24606-2025 karta knärot.png", "A 24606-2025")</f>
        <v/>
      </c>
      <c r="V13">
        <f>HYPERLINK("https://klasma.github.io/Logging_2182/klagomål/A 24606-2025 FSC-klagomål.docx", "A 24606-2025")</f>
        <v/>
      </c>
      <c r="W13">
        <f>HYPERLINK("https://klasma.github.io/Logging_2182/klagomålsmail/A 24606-2025 FSC-klagomål mail.docx", "A 24606-2025")</f>
        <v/>
      </c>
      <c r="X13">
        <f>HYPERLINK("https://klasma.github.io/Logging_2182/tillsyn/A 24606-2025 tillsynsbegäran.docx", "A 24606-2025")</f>
        <v/>
      </c>
      <c r="Y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s="1" t="n">
        <v>45798</v>
      </c>
      <c r="C14" s="1" t="n">
        <v>46204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42469-2025</t>
        </is>
      </c>
      <c r="B15" s="1" t="n">
        <v>45905</v>
      </c>
      <c r="C15" s="1" t="n">
        <v>46204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HYPERLINK("https://klasma.github.io/Logging_2182/artfynd/A 42469-2025 artfynd.xlsx", "A 42469-2025")</f>
        <v/>
      </c>
      <c r="T15">
        <f>HYPERLINK("https://klasma.github.io/Logging_2182/kartor/A 42469-2025 karta.png", "A 42469-2025")</f>
        <v/>
      </c>
      <c r="V15">
        <f>HYPERLINK("https://klasma.github.io/Logging_2182/klagomål/A 42469-2025 FSC-klagomål.docx", "A 42469-2025")</f>
        <v/>
      </c>
      <c r="W15">
        <f>HYPERLINK("https://klasma.github.io/Logging_2182/klagomålsmail/A 42469-2025 FSC-klagomål mail.docx", "A 42469-2025")</f>
        <v/>
      </c>
      <c r="X15">
        <f>HYPERLINK("https://klasma.github.io/Logging_2182/tillsyn/A 42469-2025 tillsynsbegäran.docx", "A 42469-2025")</f>
        <v/>
      </c>
      <c r="Y15">
        <f>HYPERLINK("https://klasma.github.io/Logging_2182/tillsynsmail/A 42469-2025 tillsynsbegäran mail.docx", "A 42469-2025")</f>
        <v/>
      </c>
      <c r="Z15">
        <f>HYPERLINK("https://klasma.github.io/Logging_2182/fåglar/A 42469-2025 prioriterade fågelarter.docx", "A 42469-2025")</f>
        <v/>
      </c>
    </row>
    <row r="16" ht="15" customHeight="1">
      <c r="A16" t="inlineStr">
        <is>
          <t>A 23333-2026</t>
        </is>
      </c>
      <c r="B16" s="1" t="n">
        <v>46162</v>
      </c>
      <c r="C16" s="1" t="n">
        <v>46204</v>
      </c>
      <c r="D16" t="inlineStr">
        <is>
          <t>GÄVLEBORGS LÄN</t>
        </is>
      </c>
      <c r="E16" t="inlineStr">
        <is>
          <t>SÖDERHAMN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Korallblylav
Stuplav</t>
        </is>
      </c>
      <c r="S16">
        <f>HYPERLINK("https://klasma.github.io/Logging_2182/artfynd/A 23333-2026 artfynd.xlsx", "A 23333-2026")</f>
        <v/>
      </c>
      <c r="T16">
        <f>HYPERLINK("https://klasma.github.io/Logging_2182/kartor/A 23333-2026 karta.png", "A 23333-2026")</f>
        <v/>
      </c>
      <c r="V16">
        <f>HYPERLINK("https://klasma.github.io/Logging_2182/klagomål/A 23333-2026 FSC-klagomål.docx", "A 23333-2026")</f>
        <v/>
      </c>
      <c r="W16">
        <f>HYPERLINK("https://klasma.github.io/Logging_2182/klagomålsmail/A 23333-2026 FSC-klagomål mail.docx", "A 23333-2026")</f>
        <v/>
      </c>
      <c r="X16">
        <f>HYPERLINK("https://klasma.github.io/Logging_2182/tillsyn/A 23333-2026 tillsynsbegäran.docx", "A 23333-2026")</f>
        <v/>
      </c>
      <c r="Y16">
        <f>HYPERLINK("https://klasma.github.io/Logging_2182/tillsynsmail/A 23333-2026 tillsynsbegäran mail.docx", "A 23333-2026")</f>
        <v/>
      </c>
    </row>
    <row r="17" ht="15" customHeight="1">
      <c r="A17" t="inlineStr">
        <is>
          <t>A 53562-2024</t>
        </is>
      </c>
      <c r="B17" s="1" t="n">
        <v>45614</v>
      </c>
      <c r="C17" s="1" t="n">
        <v>46204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24156-2026</t>
        </is>
      </c>
      <c r="B18" s="1" t="n">
        <v>46168</v>
      </c>
      <c r="C18" s="1" t="n">
        <v>46204</v>
      </c>
      <c r="D18" t="inlineStr">
        <is>
          <t>GÄVLEBORGS LÄN</t>
        </is>
      </c>
      <c r="E18" t="inlineStr">
        <is>
          <t>SÖDERHAMN</t>
        </is>
      </c>
      <c r="G18" t="n">
        <v>15.1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HYPERLINK("https://klasma.github.io/Logging_2182/artfynd/A 24156-2026 artfynd.xlsx", "A 24156-2026")</f>
        <v/>
      </c>
      <c r="T18">
        <f>HYPERLINK("https://klasma.github.io/Logging_2182/kartor/A 24156-2026 karta.png", "A 24156-2026")</f>
        <v/>
      </c>
      <c r="V18">
        <f>HYPERLINK("https://klasma.github.io/Logging_2182/klagomål/A 24156-2026 FSC-klagomål.docx", "A 24156-2026")</f>
        <v/>
      </c>
      <c r="W18">
        <f>HYPERLINK("https://klasma.github.io/Logging_2182/klagomålsmail/A 24156-2026 FSC-klagomål mail.docx", "A 24156-2026")</f>
        <v/>
      </c>
      <c r="X18">
        <f>HYPERLINK("https://klasma.github.io/Logging_2182/tillsyn/A 24156-2026 tillsynsbegäran.docx", "A 24156-2026")</f>
        <v/>
      </c>
      <c r="Y18">
        <f>HYPERLINK("https://klasma.github.io/Logging_2182/tillsynsmail/A 24156-2026 tillsynsbegäran mail.docx", "A 24156-2026")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46204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9290-2026</t>
        </is>
      </c>
      <c r="B20" s="1" t="n">
        <v>46070</v>
      </c>
      <c r="C20" s="1" t="n">
        <v>46204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Kortskaftad ärgspik
Vitplätt</t>
        </is>
      </c>
      <c r="S20">
        <f>HYPERLINK("https://klasma.github.io/Logging_2182/artfynd/A 9290-2026 artfynd.xlsx", "A 9290-2026")</f>
        <v/>
      </c>
      <c r="T20">
        <f>HYPERLINK("https://klasma.github.io/Logging_2182/kartor/A 9290-2026 karta.png", "A 9290-2026")</f>
        <v/>
      </c>
      <c r="V20">
        <f>HYPERLINK("https://klasma.github.io/Logging_2182/klagomål/A 9290-2026 FSC-klagomål.docx", "A 9290-2026")</f>
        <v/>
      </c>
      <c r="W20">
        <f>HYPERLINK("https://klasma.github.io/Logging_2182/klagomålsmail/A 9290-2026 FSC-klagomål mail.docx", "A 9290-2026")</f>
        <v/>
      </c>
      <c r="X20">
        <f>HYPERLINK("https://klasma.github.io/Logging_2182/tillsyn/A 9290-2026 tillsynsbegäran.docx", "A 9290-2026")</f>
        <v/>
      </c>
      <c r="Y20">
        <f>HYPERLINK("https://klasma.github.io/Logging_2182/tillsynsmail/A 9290-2026 tillsynsbegäran mail.docx", "A 9290-2026")</f>
        <v/>
      </c>
    </row>
    <row r="21" ht="15" customHeight="1">
      <c r="A21" t="inlineStr">
        <is>
          <t>A 19921-2025</t>
        </is>
      </c>
      <c r="B21" s="1" t="n">
        <v>45771</v>
      </c>
      <c r="C21" s="1" t="n">
        <v>46204</v>
      </c>
      <c r="D21" t="inlineStr">
        <is>
          <t>GÄVLEBORGS LÄN</t>
        </is>
      </c>
      <c r="E21" t="inlineStr">
        <is>
          <t>SÖDERHAMN</t>
        </is>
      </c>
      <c r="G21" t="n">
        <v>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HYPERLINK("https://klasma.github.io/Logging_2182/artfynd/A 19921-2025 artfynd.xlsx", "A 19921-2025")</f>
        <v/>
      </c>
      <c r="T21">
        <f>HYPERLINK("https://klasma.github.io/Logging_2182/kartor/A 19921-2025 karta.png", "A 19921-2025")</f>
        <v/>
      </c>
      <c r="V21">
        <f>HYPERLINK("https://klasma.github.io/Logging_2182/klagomål/A 19921-2025 FSC-klagomål.docx", "A 19921-2025")</f>
        <v/>
      </c>
      <c r="W21">
        <f>HYPERLINK("https://klasma.github.io/Logging_2182/klagomålsmail/A 19921-2025 FSC-klagomål mail.docx", "A 19921-2025")</f>
        <v/>
      </c>
      <c r="X21">
        <f>HYPERLINK("https://klasma.github.io/Logging_2182/tillsyn/A 19921-2025 tillsynsbegäran.docx", "A 19921-2025")</f>
        <v/>
      </c>
      <c r="Y21">
        <f>HYPERLINK("https://klasma.github.io/Logging_2182/tillsynsmail/A 19921-2025 tillsynsbegäran mail.docx", "A 19921-2025")</f>
        <v/>
      </c>
    </row>
    <row r="22" ht="15" customHeight="1">
      <c r="A22" t="inlineStr">
        <is>
          <t>A 18546-2024</t>
        </is>
      </c>
      <c r="B22" s="1" t="n">
        <v>45425</v>
      </c>
      <c r="C22" s="1" t="n">
        <v>46204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Spillkråka</t>
        </is>
      </c>
      <c r="S22">
        <f>HYPERLINK("https://klasma.github.io/Logging_2182/artfynd/A 18546-2024 artfynd.xlsx", "A 18546-2024")</f>
        <v/>
      </c>
      <c r="T22">
        <f>HYPERLINK("https://klasma.github.io/Logging_2182/kartor/A 18546-2024 karta.png", "A 18546-2024")</f>
        <v/>
      </c>
      <c r="V22">
        <f>HYPERLINK("https://klasma.github.io/Logging_2182/klagomål/A 18546-2024 FSC-klagomål.docx", "A 18546-2024")</f>
        <v/>
      </c>
      <c r="W22">
        <f>HYPERLINK("https://klasma.github.io/Logging_2182/klagomålsmail/A 18546-2024 FSC-klagomål mail.docx", "A 18546-2024")</f>
        <v/>
      </c>
      <c r="X22">
        <f>HYPERLINK("https://klasma.github.io/Logging_2182/tillsyn/A 18546-2024 tillsynsbegäran.docx", "A 18546-2024")</f>
        <v/>
      </c>
      <c r="Y22">
        <f>HYPERLINK("https://klasma.github.io/Logging_2182/tillsynsmail/A 18546-2024 tillsynsbegäran mail.docx", "A 18546-2024")</f>
        <v/>
      </c>
      <c r="Z22">
        <f>HYPERLINK("https://klasma.github.io/Logging_2182/fåglar/A 18546-2024 prioriterade fågelarter.docx", "A 18546-2024")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46204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54608-2024</t>
        </is>
      </c>
      <c r="B24" s="1" t="n">
        <v>45617</v>
      </c>
      <c r="C24" s="1" t="n">
        <v>46204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HYPERLINK("https://klasma.github.io/Logging_2182/artfynd/A 54608-2024 artfynd.xlsx", "A 54608-2024")</f>
        <v/>
      </c>
      <c r="T24">
        <f>HYPERLINK("https://klasma.github.io/Logging_2182/kartor/A 54608-2024 karta.png", "A 54608-2024")</f>
        <v/>
      </c>
      <c r="V24">
        <f>HYPERLINK("https://klasma.github.io/Logging_2182/klagomål/A 54608-2024 FSC-klagomål.docx", "A 54608-2024")</f>
        <v/>
      </c>
      <c r="W24">
        <f>HYPERLINK("https://klasma.github.io/Logging_2182/klagomålsmail/A 54608-2024 FSC-klagomål mail.docx", "A 54608-2024")</f>
        <v/>
      </c>
      <c r="X24">
        <f>HYPERLINK("https://klasma.github.io/Logging_2182/tillsyn/A 54608-2024 tillsynsbegäran.docx", "A 54608-2024")</f>
        <v/>
      </c>
      <c r="Y24">
        <f>HYPERLINK("https://klasma.github.io/Logging_2182/tillsynsmail/A 54608-2024 tillsynsbegäran mail.docx", "A 54608-2024")</f>
        <v/>
      </c>
    </row>
    <row r="25" ht="15" customHeight="1">
      <c r="A25" t="inlineStr">
        <is>
          <t>A 43682-2024</t>
        </is>
      </c>
      <c r="B25" s="1" t="n">
        <v>45569</v>
      </c>
      <c r="C25" s="1" t="n">
        <v>46204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Garnlav</t>
        </is>
      </c>
      <c r="S25">
        <f>HYPERLINK("https://klasma.github.io/Logging_2182/artfynd/A 43682-2024 artfynd.xlsx", "A 43682-2024")</f>
        <v/>
      </c>
      <c r="T25">
        <f>HYPERLINK("https://klasma.github.io/Logging_2182/kartor/A 43682-2024 karta.png", "A 43682-2024")</f>
        <v/>
      </c>
      <c r="V25">
        <f>HYPERLINK("https://klasma.github.io/Logging_2182/klagomål/A 43682-2024 FSC-klagomål.docx", "A 43682-2024")</f>
        <v/>
      </c>
      <c r="W25">
        <f>HYPERLINK("https://klasma.github.io/Logging_2182/klagomålsmail/A 43682-2024 FSC-klagomål mail.docx", "A 43682-2024")</f>
        <v/>
      </c>
      <c r="X25">
        <f>HYPERLINK("https://klasma.github.io/Logging_2182/tillsyn/A 43682-2024 tillsynsbegäran.docx", "A 43682-2024")</f>
        <v/>
      </c>
      <c r="Y25">
        <f>HYPERLINK("https://klasma.github.io/Logging_2182/tillsynsmail/A 43682-2024 tillsynsbegäran mail.docx", "A 43682-2024")</f>
        <v/>
      </c>
    </row>
    <row r="26" ht="15" customHeight="1">
      <c r="A26" t="inlineStr">
        <is>
          <t>A 57441-2024</t>
        </is>
      </c>
      <c r="B26" s="1" t="n">
        <v>45629</v>
      </c>
      <c r="C26" s="1" t="n">
        <v>46204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39774-2025</t>
        </is>
      </c>
      <c r="B27" s="1" t="n">
        <v>45891</v>
      </c>
      <c r="C27" s="1" t="n">
        <v>46204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HYPERLINK("https://klasma.github.io/Logging_2182/artfynd/A 39774-2025 artfynd.xlsx", "A 39774-2025")</f>
        <v/>
      </c>
      <c r="T27">
        <f>HYPERLINK("https://klasma.github.io/Logging_2182/kartor/A 39774-2025 karta.png", "A 39774-2025")</f>
        <v/>
      </c>
      <c r="V27">
        <f>HYPERLINK("https://klasma.github.io/Logging_2182/klagomål/A 39774-2025 FSC-klagomål.docx", "A 39774-2025")</f>
        <v/>
      </c>
      <c r="W27">
        <f>HYPERLINK("https://klasma.github.io/Logging_2182/klagomålsmail/A 39774-2025 FSC-klagomål mail.docx", "A 39774-2025")</f>
        <v/>
      </c>
      <c r="X27">
        <f>HYPERLINK("https://klasma.github.io/Logging_2182/tillsyn/A 39774-2025 tillsynsbegäran.docx", "A 39774-2025")</f>
        <v/>
      </c>
      <c r="Y27">
        <f>HYPERLINK("https://klasma.github.io/Logging_2182/tillsynsmail/A 39774-2025 tillsynsbegäran mail.docx", "A 39774-2025")</f>
        <v/>
      </c>
      <c r="Z27">
        <f>HYPERLINK("https://klasma.github.io/Logging_2182/fåglar/A 39774-2025 prioriterade fågelarter.docx", "A 39774-2025")</f>
        <v/>
      </c>
    </row>
    <row r="28" ht="15" customHeight="1">
      <c r="A28" t="inlineStr">
        <is>
          <t>A 9284-2026</t>
        </is>
      </c>
      <c r="B28" s="1" t="n">
        <v>46070</v>
      </c>
      <c r="C28" s="1" t="n">
        <v>46204</v>
      </c>
      <c r="D28" t="inlineStr">
        <is>
          <t>GÄVLEBORGS LÄN</t>
        </is>
      </c>
      <c r="E28" t="inlineStr">
        <is>
          <t>SÖDERHAMN</t>
        </is>
      </c>
      <c r="G28" t="n">
        <v>0.2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9284-2026 artfynd.xlsx", "A 9284-2026")</f>
        <v/>
      </c>
      <c r="T28">
        <f>HYPERLINK("https://klasma.github.io/Logging_2182/kartor/A 9284-2026 karta.png", "A 9284-2026")</f>
        <v/>
      </c>
      <c r="U28">
        <f>HYPERLINK("https://klasma.github.io/Logging_2182/knärot/A 9284-2026 karta knärot.png", "A 9284-2026")</f>
        <v/>
      </c>
      <c r="V28">
        <f>HYPERLINK("https://klasma.github.io/Logging_2182/klagomål/A 9284-2026 FSC-klagomål.docx", "A 9284-2026")</f>
        <v/>
      </c>
      <c r="W28">
        <f>HYPERLINK("https://klasma.github.io/Logging_2182/klagomålsmail/A 9284-2026 FSC-klagomål mail.docx", "A 9284-2026")</f>
        <v/>
      </c>
      <c r="X28">
        <f>HYPERLINK("https://klasma.github.io/Logging_2182/tillsyn/A 9284-2026 tillsynsbegäran.docx", "A 9284-2026")</f>
        <v/>
      </c>
      <c r="Y28">
        <f>HYPERLINK("https://klasma.github.io/Logging_2182/tillsynsmail/A 9284-2026 tillsynsbegäran mail.docx", "A 9284-2026")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46204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11791-2026</t>
        </is>
      </c>
      <c r="B30" s="1" t="n">
        <v>46085</v>
      </c>
      <c r="C30" s="1" t="n">
        <v>46204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38545-2025</t>
        </is>
      </c>
      <c r="B31" s="1" t="n">
        <v>45884</v>
      </c>
      <c r="C31" s="1" t="n">
        <v>46204</v>
      </c>
      <c r="D31" t="inlineStr">
        <is>
          <t>GÄVLEBORGS LÄN</t>
        </is>
      </c>
      <c r="E31" t="inlineStr">
        <is>
          <t>SÖDERHAMN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HYPERLINK("https://klasma.github.io/Logging_2182/artfynd/A 38545-2025 artfynd.xlsx", "A 38545-2025")</f>
        <v/>
      </c>
      <c r="T31">
        <f>HYPERLINK("https://klasma.github.io/Logging_2182/kartor/A 38545-2025 karta.png", "A 38545-2025")</f>
        <v/>
      </c>
      <c r="U31">
        <f>HYPERLINK("https://klasma.github.io/Logging_2182/knärot/A 38545-2025 karta knärot.png", "A 38545-2025")</f>
        <v/>
      </c>
      <c r="V31">
        <f>HYPERLINK("https://klasma.github.io/Logging_2182/klagomål/A 38545-2025 FSC-klagomål.docx", "A 38545-2025")</f>
        <v/>
      </c>
      <c r="W31">
        <f>HYPERLINK("https://klasma.github.io/Logging_2182/klagomålsmail/A 38545-2025 FSC-klagomål mail.docx", "A 38545-2025")</f>
        <v/>
      </c>
      <c r="X31">
        <f>HYPERLINK("https://klasma.github.io/Logging_2182/tillsyn/A 38545-2025 tillsynsbegäran.docx", "A 38545-2025")</f>
        <v/>
      </c>
      <c r="Y31">
        <f>HYPERLINK("https://klasma.github.io/Logging_2182/tillsynsmail/A 38545-2025 tillsynsbegäran mail.docx", "A 38545-2025")</f>
        <v/>
      </c>
    </row>
    <row r="32" ht="15" customHeight="1">
      <c r="A32" t="inlineStr">
        <is>
          <t>A 51157-2025</t>
        </is>
      </c>
      <c r="B32" s="1" t="n">
        <v>45947</v>
      </c>
      <c r="C32" s="1" t="n">
        <v>46204</v>
      </c>
      <c r="D32" t="inlineStr">
        <is>
          <t>GÄVLEBORGS LÄN</t>
        </is>
      </c>
      <c r="E32" t="inlineStr">
        <is>
          <t>SÖDERHAMN</t>
        </is>
      </c>
      <c r="G32" t="n">
        <v>10.2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Gråspett</t>
        </is>
      </c>
      <c r="S32">
        <f>HYPERLINK("https://klasma.github.io/Logging_2182/artfynd/A 51157-2025 artfynd.xlsx", "A 51157-2025")</f>
        <v/>
      </c>
      <c r="T32">
        <f>HYPERLINK("https://klasma.github.io/Logging_2182/kartor/A 51157-2025 karta.png", "A 51157-2025")</f>
        <v/>
      </c>
      <c r="V32">
        <f>HYPERLINK("https://klasma.github.io/Logging_2182/klagomål/A 51157-2025 FSC-klagomål.docx", "A 51157-2025")</f>
        <v/>
      </c>
      <c r="W32">
        <f>HYPERLINK("https://klasma.github.io/Logging_2182/klagomålsmail/A 51157-2025 FSC-klagomål mail.docx", "A 51157-2025")</f>
        <v/>
      </c>
      <c r="X32">
        <f>HYPERLINK("https://klasma.github.io/Logging_2182/tillsyn/A 51157-2025 tillsynsbegäran.docx", "A 51157-2025")</f>
        <v/>
      </c>
      <c r="Y32">
        <f>HYPERLINK("https://klasma.github.io/Logging_2182/tillsynsmail/A 51157-2025 tillsynsbegäran mail.docx", "A 51157-2025")</f>
        <v/>
      </c>
      <c r="Z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s="1" t="n">
        <v>45509</v>
      </c>
      <c r="C33" s="1" t="n">
        <v>46204</v>
      </c>
      <c r="D33" t="inlineStr">
        <is>
          <t>GÄVLEBORGS LÄN</t>
        </is>
      </c>
      <c r="E33" t="inlineStr">
        <is>
          <t>SÖDERHAMN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HYPERLINK("https://klasma.github.io/Logging_2182/artfynd/A 31803-2024 artfynd.xlsx", "A 31803-2024")</f>
        <v/>
      </c>
      <c r="T33">
        <f>HYPERLINK("https://klasma.github.io/Logging_2182/kartor/A 31803-2024 karta.png", "A 31803-2024")</f>
        <v/>
      </c>
      <c r="U33">
        <f>HYPERLINK("https://klasma.github.io/Logging_2182/knärot/A 31803-2024 karta knärot.png", "A 31803-2024")</f>
        <v/>
      </c>
      <c r="V33">
        <f>HYPERLINK("https://klasma.github.io/Logging_2182/klagomål/A 31803-2024 FSC-klagomål.docx", "A 31803-2024")</f>
        <v/>
      </c>
      <c r="W33">
        <f>HYPERLINK("https://klasma.github.io/Logging_2182/klagomålsmail/A 31803-2024 FSC-klagomål mail.docx", "A 31803-2024")</f>
        <v/>
      </c>
      <c r="X33">
        <f>HYPERLINK("https://klasma.github.io/Logging_2182/tillsyn/A 31803-2024 tillsynsbegäran.docx", "A 31803-2024")</f>
        <v/>
      </c>
      <c r="Y33">
        <f>HYPERLINK("https://klasma.github.io/Logging_2182/tillsynsmail/A 31803-2024 tillsynsbegäran mail.docx", "A 31803-2024")</f>
        <v/>
      </c>
    </row>
    <row r="34" ht="15" customHeight="1">
      <c r="A34" t="inlineStr">
        <is>
          <t>A 21316-2024</t>
        </is>
      </c>
      <c r="B34" s="1" t="n">
        <v>45440</v>
      </c>
      <c r="C34" s="1" t="n">
        <v>46204</v>
      </c>
      <c r="D34" t="inlineStr">
        <is>
          <t>GÄVLEBORGS LÄN</t>
        </is>
      </c>
      <c r="E34" t="inlineStr">
        <is>
          <t>SÖDERHAMN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Brunfläckig pärlemorfjäril</t>
        </is>
      </c>
      <c r="S34">
        <f>HYPERLINK("https://klasma.github.io/Logging_2182/artfynd/A 21316-2024 artfynd.xlsx", "A 21316-2024")</f>
        <v/>
      </c>
      <c r="T34">
        <f>HYPERLINK("https://klasma.github.io/Logging_2182/kartor/A 21316-2024 karta.png", "A 21316-2024")</f>
        <v/>
      </c>
      <c r="V34">
        <f>HYPERLINK("https://klasma.github.io/Logging_2182/klagomål/A 21316-2024 FSC-klagomål.docx", "A 21316-2024")</f>
        <v/>
      </c>
      <c r="W34">
        <f>HYPERLINK("https://klasma.github.io/Logging_2182/klagomålsmail/A 21316-2024 FSC-klagomål mail.docx", "A 21316-2024")</f>
        <v/>
      </c>
      <c r="X34">
        <f>HYPERLINK("https://klasma.github.io/Logging_2182/tillsyn/A 21316-2024 tillsynsbegäran.docx", "A 21316-2024")</f>
        <v/>
      </c>
      <c r="Y34">
        <f>HYPERLINK("https://klasma.github.io/Logging_2182/tillsynsmail/A 21316-2024 tillsynsbegäran mail.docx", "A 21316-2024")</f>
        <v/>
      </c>
    </row>
    <row r="35" ht="15" customHeight="1">
      <c r="A35" t="inlineStr">
        <is>
          <t>A 59848-2025</t>
        </is>
      </c>
      <c r="B35" s="1" t="n">
        <v>45992</v>
      </c>
      <c r="C35" s="1" t="n">
        <v>46204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HYPERLINK("https://klasma.github.io/Logging_2182/artfynd/A 59848-2025 artfynd.xlsx", "A 59848-2025")</f>
        <v/>
      </c>
      <c r="T35">
        <f>HYPERLINK("https://klasma.github.io/Logging_2182/kartor/A 59848-2025 karta.png", "A 59848-2025")</f>
        <v/>
      </c>
      <c r="V35">
        <f>HYPERLINK("https://klasma.github.io/Logging_2182/klagomål/A 59848-2025 FSC-klagomål.docx", "A 59848-2025")</f>
        <v/>
      </c>
      <c r="W35">
        <f>HYPERLINK("https://klasma.github.io/Logging_2182/klagomålsmail/A 59848-2025 FSC-klagomål mail.docx", "A 59848-2025")</f>
        <v/>
      </c>
      <c r="X35">
        <f>HYPERLINK("https://klasma.github.io/Logging_2182/tillsyn/A 59848-2025 tillsynsbegäran.docx", "A 59848-2025")</f>
        <v/>
      </c>
      <c r="Y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s="1" t="n">
        <v>45994</v>
      </c>
      <c r="C36" s="1" t="n">
        <v>46204</v>
      </c>
      <c r="D36" t="inlineStr">
        <is>
          <t>GÄVLEBORGS LÄN</t>
        </is>
      </c>
      <c r="E36" t="inlineStr">
        <is>
          <t>SÖDERHAMN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HYPERLINK("https://klasma.github.io/Logging_2182/artfynd/A 60322-2025 artfynd.xlsx", "A 60322-2025")</f>
        <v/>
      </c>
      <c r="T36">
        <f>HYPERLINK("https://klasma.github.io/Logging_2182/kartor/A 60322-2025 karta.png", "A 60322-2025")</f>
        <v/>
      </c>
      <c r="V36">
        <f>HYPERLINK("https://klasma.github.io/Logging_2182/klagomål/A 60322-2025 FSC-klagomål.docx", "A 60322-2025")</f>
        <v/>
      </c>
      <c r="W36">
        <f>HYPERLINK("https://klasma.github.io/Logging_2182/klagomålsmail/A 60322-2025 FSC-klagomål mail.docx", "A 60322-2025")</f>
        <v/>
      </c>
      <c r="X36">
        <f>HYPERLINK("https://klasma.github.io/Logging_2182/tillsyn/A 60322-2025 tillsynsbegäran.docx", "A 60322-2025")</f>
        <v/>
      </c>
      <c r="Y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s="1" t="n">
        <v>45994</v>
      </c>
      <c r="C37" s="1" t="n">
        <v>46204</v>
      </c>
      <c r="D37" t="inlineStr">
        <is>
          <t>GÄVLEBORGS LÄN</t>
        </is>
      </c>
      <c r="E37" t="inlineStr">
        <is>
          <t>SÖDERHAMN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HYPERLINK("https://klasma.github.io/Logging_2182/artfynd/A 60318-2025 artfynd.xlsx", "A 60318-2025")</f>
        <v/>
      </c>
      <c r="T37">
        <f>HYPERLINK("https://klasma.github.io/Logging_2182/kartor/A 60318-2025 karta.png", "A 60318-2025")</f>
        <v/>
      </c>
      <c r="V37">
        <f>HYPERLINK("https://klasma.github.io/Logging_2182/klagomål/A 60318-2025 FSC-klagomål.docx", "A 60318-2025")</f>
        <v/>
      </c>
      <c r="W37">
        <f>HYPERLINK("https://klasma.github.io/Logging_2182/klagomålsmail/A 60318-2025 FSC-klagomål mail.docx", "A 60318-2025")</f>
        <v/>
      </c>
      <c r="X37">
        <f>HYPERLINK("https://klasma.github.io/Logging_2182/tillsyn/A 60318-2025 tillsynsbegäran.docx", "A 60318-2025")</f>
        <v/>
      </c>
      <c r="Y37">
        <f>HYPERLINK("https://klasma.github.io/Logging_2182/tillsynsmail/A 60318-2025 tillsynsbegäran mail.docx", "A 60318-2025")</f>
        <v/>
      </c>
    </row>
    <row r="38" ht="15" customHeight="1">
      <c r="A38" t="inlineStr">
        <is>
          <t>A 40097-2024</t>
        </is>
      </c>
      <c r="B38" s="1" t="n">
        <v>45554</v>
      </c>
      <c r="C38" s="1" t="n">
        <v>46204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40097-2024 artfynd.xlsx", "A 40097-2024")</f>
        <v/>
      </c>
      <c r="T38">
        <f>HYPERLINK("https://klasma.github.io/Logging_2182/kartor/A 40097-2024 karta.png", "A 40097-2024")</f>
        <v/>
      </c>
      <c r="V38">
        <f>HYPERLINK("https://klasma.github.io/Logging_2182/klagomål/A 40097-2024 FSC-klagomål.docx", "A 40097-2024")</f>
        <v/>
      </c>
      <c r="W38">
        <f>HYPERLINK("https://klasma.github.io/Logging_2182/klagomålsmail/A 40097-2024 FSC-klagomål mail.docx", "A 40097-2024")</f>
        <v/>
      </c>
      <c r="X38">
        <f>HYPERLINK("https://klasma.github.io/Logging_2182/tillsyn/A 40097-2024 tillsynsbegäran.docx", "A 40097-2024")</f>
        <v/>
      </c>
      <c r="Y38">
        <f>HYPERLINK("https://klasma.github.io/Logging_2182/tillsynsmail/A 40097-2024 tillsynsbegäran mail.docx", "A 40097-2024")</f>
        <v/>
      </c>
    </row>
    <row r="39" ht="15" customHeight="1">
      <c r="A39" t="inlineStr">
        <is>
          <t>A 58261-2024</t>
        </is>
      </c>
      <c r="B39" s="1" t="n">
        <v>45632</v>
      </c>
      <c r="C39" s="1" t="n">
        <v>46204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58261-2024 artfynd.xlsx", "A 58261-2024")</f>
        <v/>
      </c>
      <c r="T39">
        <f>HYPERLINK("https://klasma.github.io/Logging_2182/kartor/A 58261-2024 karta.png", "A 58261-2024")</f>
        <v/>
      </c>
      <c r="V39">
        <f>HYPERLINK("https://klasma.github.io/Logging_2182/klagomål/A 58261-2024 FSC-klagomål.docx", "A 58261-2024")</f>
        <v/>
      </c>
      <c r="W39">
        <f>HYPERLINK("https://klasma.github.io/Logging_2182/klagomålsmail/A 58261-2024 FSC-klagomål mail.docx", "A 58261-2024")</f>
        <v/>
      </c>
      <c r="X39">
        <f>HYPERLINK("https://klasma.github.io/Logging_2182/tillsyn/A 58261-2024 tillsynsbegäran.docx", "A 58261-2024")</f>
        <v/>
      </c>
      <c r="Y39">
        <f>HYPERLINK("https://klasma.github.io/Logging_2182/tillsynsmail/A 58261-2024 tillsynsbegäran mail.docx", "A 58261-2024")</f>
        <v/>
      </c>
    </row>
    <row r="40" ht="15" customHeight="1">
      <c r="A40" t="inlineStr">
        <is>
          <t>A 58077-2024</t>
        </is>
      </c>
      <c r="B40" s="1" t="n">
        <v>45632</v>
      </c>
      <c r="C40" s="1" t="n">
        <v>46204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6060-2026</t>
        </is>
      </c>
      <c r="B41" s="1" t="n">
        <v>46052</v>
      </c>
      <c r="C41" s="1" t="n">
        <v>46204</v>
      </c>
      <c r="D41" t="inlineStr">
        <is>
          <t>GÄVLEBORGS LÄN</t>
        </is>
      </c>
      <c r="E41" t="inlineStr">
        <is>
          <t>SÖDERHAMN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Barkticka</t>
        </is>
      </c>
      <c r="S41">
        <f>HYPERLINK("https://klasma.github.io/Logging_2182/artfynd/A 6060-2026 artfynd.xlsx", "A 6060-2026")</f>
        <v/>
      </c>
      <c r="T41">
        <f>HYPERLINK("https://klasma.github.io/Logging_2182/kartor/A 6060-2026 karta.png", "A 6060-2026")</f>
        <v/>
      </c>
      <c r="V41">
        <f>HYPERLINK("https://klasma.github.io/Logging_2182/klagomål/A 6060-2026 FSC-klagomål.docx", "A 6060-2026")</f>
        <v/>
      </c>
      <c r="W41">
        <f>HYPERLINK("https://klasma.github.io/Logging_2182/klagomålsmail/A 6060-2026 FSC-klagomål mail.docx", "A 6060-2026")</f>
        <v/>
      </c>
      <c r="X41">
        <f>HYPERLINK("https://klasma.github.io/Logging_2182/tillsyn/A 6060-2026 tillsynsbegäran.docx", "A 6060-2026")</f>
        <v/>
      </c>
      <c r="Y41">
        <f>HYPERLINK("https://klasma.github.io/Logging_2182/tillsynsmail/A 6060-2026 tillsynsbegäran mail.docx", "A 6060-2026")</f>
        <v/>
      </c>
    </row>
    <row r="42" ht="15" customHeight="1">
      <c r="A42" t="inlineStr">
        <is>
          <t>A 5946-2026</t>
        </is>
      </c>
      <c r="B42" s="1" t="n">
        <v>46052</v>
      </c>
      <c r="C42" s="1" t="n">
        <v>46204</v>
      </c>
      <c r="D42" t="inlineStr">
        <is>
          <t>GÄVLEBORGS LÄN</t>
        </is>
      </c>
      <c r="E42" t="inlineStr">
        <is>
          <t>SÖDERHAMN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HYPERLINK("https://klasma.github.io/Logging_2182/artfynd/A 5946-2026 artfynd.xlsx", "A 5946-2026")</f>
        <v/>
      </c>
      <c r="T42">
        <f>HYPERLINK("https://klasma.github.io/Logging_2182/kartor/A 5946-2026 karta.png", "A 5946-2026")</f>
        <v/>
      </c>
      <c r="V42">
        <f>HYPERLINK("https://klasma.github.io/Logging_2182/klagomål/A 5946-2026 FSC-klagomål.docx", "A 5946-2026")</f>
        <v/>
      </c>
      <c r="W42">
        <f>HYPERLINK("https://klasma.github.io/Logging_2182/klagomålsmail/A 5946-2026 FSC-klagomål mail.docx", "A 5946-2026")</f>
        <v/>
      </c>
      <c r="X42">
        <f>HYPERLINK("https://klasma.github.io/Logging_2182/tillsyn/A 5946-2026 tillsynsbegäran.docx", "A 5946-2026")</f>
        <v/>
      </c>
      <c r="Y42">
        <f>HYPERLINK("https://klasma.github.io/Logging_2182/tillsynsmail/A 5946-2026 tillsynsbegäran mail.docx", "A 5946-2026")</f>
        <v/>
      </c>
    </row>
    <row r="43" ht="15" customHeight="1">
      <c r="A43" t="inlineStr">
        <is>
          <t>A 2755-2022</t>
        </is>
      </c>
      <c r="B43" s="1" t="n">
        <v>44580</v>
      </c>
      <c r="C43" s="1" t="n">
        <v>46204</v>
      </c>
      <c r="D43" t="inlineStr">
        <is>
          <t>GÄVLEBORGS LÄN</t>
        </is>
      </c>
      <c r="E43" t="inlineStr">
        <is>
          <t>SÖDERHAMN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HYPERLINK("https://klasma.github.io/Logging_2182/artfynd/A 2755-2022 artfynd.xlsx", "A 2755-2022")</f>
        <v/>
      </c>
      <c r="T43">
        <f>HYPERLINK("https://klasma.github.io/Logging_2182/kartor/A 2755-2022 karta.png", "A 2755-2022")</f>
        <v/>
      </c>
      <c r="V43">
        <f>HYPERLINK("https://klasma.github.io/Logging_2182/klagomål/A 2755-2022 FSC-klagomål.docx", "A 2755-2022")</f>
        <v/>
      </c>
      <c r="W43">
        <f>HYPERLINK("https://klasma.github.io/Logging_2182/klagomålsmail/A 2755-2022 FSC-klagomål mail.docx", "A 2755-2022")</f>
        <v/>
      </c>
      <c r="X43">
        <f>HYPERLINK("https://klasma.github.io/Logging_2182/tillsyn/A 2755-2022 tillsynsbegäran.docx", "A 2755-2022")</f>
        <v/>
      </c>
      <c r="Y43">
        <f>HYPERLINK("https://klasma.github.io/Logging_2182/tillsynsmail/A 2755-2022 tillsynsbegäran mail.docx", "A 2755-2022")</f>
        <v/>
      </c>
    </row>
    <row r="44" ht="15" customHeight="1">
      <c r="A44" t="inlineStr">
        <is>
          <t>A 55768-2025</t>
        </is>
      </c>
      <c r="B44" s="1" t="n">
        <v>45972</v>
      </c>
      <c r="C44" s="1" t="n">
        <v>46204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Sydlig ladlav</t>
        </is>
      </c>
      <c r="S44">
        <f>HYPERLINK("https://klasma.github.io/Logging_2182/artfynd/A 55768-2025 artfynd.xlsx", "A 55768-2025")</f>
        <v/>
      </c>
      <c r="T44">
        <f>HYPERLINK("https://klasma.github.io/Logging_2182/kartor/A 55768-2025 karta.png", "A 55768-2025")</f>
        <v/>
      </c>
      <c r="V44">
        <f>HYPERLINK("https://klasma.github.io/Logging_2182/klagomål/A 55768-2025 FSC-klagomål.docx", "A 55768-2025")</f>
        <v/>
      </c>
      <c r="W44">
        <f>HYPERLINK("https://klasma.github.io/Logging_2182/klagomålsmail/A 55768-2025 FSC-klagomål mail.docx", "A 55768-2025")</f>
        <v/>
      </c>
      <c r="X44">
        <f>HYPERLINK("https://klasma.github.io/Logging_2182/tillsyn/A 55768-2025 tillsynsbegäran.docx", "A 55768-2025")</f>
        <v/>
      </c>
      <c r="Y44">
        <f>HYPERLINK("https://klasma.github.io/Logging_2182/tillsynsmail/A 55768-2025 tillsynsbegäran mail.docx", "A 55768-2025")</f>
        <v/>
      </c>
    </row>
    <row r="45" ht="15" customHeight="1">
      <c r="A45" t="inlineStr">
        <is>
          <t>A 58074-2024</t>
        </is>
      </c>
      <c r="B45" s="1" t="n">
        <v>45632</v>
      </c>
      <c r="C45" s="1" t="n">
        <v>46204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HYPERLINK("https://klasma.github.io/Logging_2182/artfynd/A 58074-2024 artfynd.xlsx", "A 58074-2024")</f>
        <v/>
      </c>
      <c r="T45">
        <f>HYPERLINK("https://klasma.github.io/Logging_2182/kartor/A 58074-2024 karta.png", "A 58074-2024")</f>
        <v/>
      </c>
      <c r="V45">
        <f>HYPERLINK("https://klasma.github.io/Logging_2182/klagomål/A 58074-2024 FSC-klagomål.docx", "A 58074-2024")</f>
        <v/>
      </c>
      <c r="W45">
        <f>HYPERLINK("https://klasma.github.io/Logging_2182/klagomålsmail/A 58074-2024 FSC-klagomål mail.docx", "A 58074-2024")</f>
        <v/>
      </c>
      <c r="X45">
        <f>HYPERLINK("https://klasma.github.io/Logging_2182/tillsyn/A 58074-2024 tillsynsbegäran.docx", "A 58074-2024")</f>
        <v/>
      </c>
      <c r="Y45">
        <f>HYPERLINK("https://klasma.github.io/Logging_2182/tillsynsmail/A 58074-2024 tillsynsbegäran mail.docx", "A 58074-2024")</f>
        <v/>
      </c>
    </row>
    <row r="46" ht="15" customHeight="1">
      <c r="A46" t="inlineStr">
        <is>
          <t>A 17412-2023</t>
        </is>
      </c>
      <c r="B46" s="1" t="n">
        <v>45035</v>
      </c>
      <c r="C46" s="1" t="n">
        <v>46204</v>
      </c>
      <c r="D46" t="inlineStr">
        <is>
          <t>GÄVLEBORGS LÄN</t>
        </is>
      </c>
      <c r="E46" t="inlineStr">
        <is>
          <t>SÖDERHAMN</t>
        </is>
      </c>
      <c r="G46" t="n">
        <v>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Älg</t>
        </is>
      </c>
      <c r="S46">
        <f>HYPERLINK("https://klasma.github.io/Logging_2182/artfynd/A 17412-2023 artfynd.xlsx", "A 17412-2023")</f>
        <v/>
      </c>
      <c r="T46">
        <f>HYPERLINK("https://klasma.github.io/Logging_2182/kartor/A 17412-2023 karta.png", "A 17412-2023")</f>
        <v/>
      </c>
      <c r="V46">
        <f>HYPERLINK("https://klasma.github.io/Logging_2182/klagomål/A 17412-2023 FSC-klagomål.docx", "A 17412-2023")</f>
        <v/>
      </c>
      <c r="W46">
        <f>HYPERLINK("https://klasma.github.io/Logging_2182/klagomålsmail/A 17412-2023 FSC-klagomål mail.docx", "A 17412-2023")</f>
        <v/>
      </c>
      <c r="X46">
        <f>HYPERLINK("https://klasma.github.io/Logging_2182/tillsyn/A 17412-2023 tillsynsbegäran.docx", "A 17412-2023")</f>
        <v/>
      </c>
      <c r="Y46">
        <f>HYPERLINK("https://klasma.github.io/Logging_2182/tillsynsmail/A 17412-2023 tillsynsbegäran mail.docx", "A 17412-2023")</f>
        <v/>
      </c>
    </row>
    <row r="47" ht="15" customHeight="1">
      <c r="A47" t="inlineStr">
        <is>
          <t>A 29834-2025</t>
        </is>
      </c>
      <c r="B47" s="1" t="n">
        <v>45825</v>
      </c>
      <c r="C47" s="1" t="n">
        <v>46204</v>
      </c>
      <c r="D47" t="inlineStr">
        <is>
          <t>GÄVLEBORGS LÄN</t>
        </is>
      </c>
      <c r="E47" t="inlineStr">
        <is>
          <t>SÖDERHAMN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HYPERLINK("https://klasma.github.io/Logging_2182/artfynd/A 29834-2025 artfynd.xlsx", "A 29834-2025")</f>
        <v/>
      </c>
      <c r="T47">
        <f>HYPERLINK("https://klasma.github.io/Logging_2182/kartor/A 29834-2025 karta.png", "A 29834-2025")</f>
        <v/>
      </c>
      <c r="V47">
        <f>HYPERLINK("https://klasma.github.io/Logging_2182/klagomål/A 29834-2025 FSC-klagomål.docx", "A 29834-2025")</f>
        <v/>
      </c>
      <c r="W47">
        <f>HYPERLINK("https://klasma.github.io/Logging_2182/klagomålsmail/A 29834-2025 FSC-klagomål mail.docx", "A 29834-2025")</f>
        <v/>
      </c>
      <c r="X47">
        <f>HYPERLINK("https://klasma.github.io/Logging_2182/tillsyn/A 29834-2025 tillsynsbegäran.docx", "A 29834-2025")</f>
        <v/>
      </c>
      <c r="Y47">
        <f>HYPERLINK("https://klasma.github.io/Logging_2182/tillsynsmail/A 29834-2025 tillsynsbegäran mail.docx", "A 29834-2025")</f>
        <v/>
      </c>
    </row>
    <row r="48" ht="15" customHeight="1">
      <c r="A48" t="inlineStr">
        <is>
          <t>A 64152-2021</t>
        </is>
      </c>
      <c r="B48" s="1" t="n">
        <v>44510</v>
      </c>
      <c r="C48" s="1" t="n">
        <v>46204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32750-2022</t>
        </is>
      </c>
      <c r="B49" s="1" t="n">
        <v>44783</v>
      </c>
      <c r="C49" s="1" t="n">
        <v>46204</v>
      </c>
      <c r="D49" t="inlineStr">
        <is>
          <t>GÄVLEBORGS LÄN</t>
        </is>
      </c>
      <c r="E49" t="inlineStr">
        <is>
          <t>SÖDERHAMN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63423-2021</t>
        </is>
      </c>
      <c r="B50" s="1" t="n">
        <v>44508</v>
      </c>
      <c r="C50" s="1" t="n">
        <v>46204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18503-2022</t>
        </is>
      </c>
      <c r="B51" s="1" t="n">
        <v>44686</v>
      </c>
      <c r="C51" s="1" t="n">
        <v>46204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67634-2021</t>
        </is>
      </c>
      <c r="B52" s="1" t="n">
        <v>44524</v>
      </c>
      <c r="C52" s="1" t="n">
        <v>46204</v>
      </c>
      <c r="D52" t="inlineStr">
        <is>
          <t>GÄVLEBORGS LÄN</t>
        </is>
      </c>
      <c r="E52" t="inlineStr">
        <is>
          <t>SÖDERHAMN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12358-2022</t>
        </is>
      </c>
      <c r="B53" s="1" t="n">
        <v>44637</v>
      </c>
      <c r="C53" s="1" t="n">
        <v>46204</v>
      </c>
      <c r="D53" t="inlineStr">
        <is>
          <t>GÄVLEBORGS LÄN</t>
        </is>
      </c>
      <c r="E53" t="inlineStr">
        <is>
          <t>SÖDERHAMN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46204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41037-2022</t>
        </is>
      </c>
      <c r="B55" s="1" t="n">
        <v>44824</v>
      </c>
      <c r="C55" s="1" t="n">
        <v>46204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9261-2022</t>
        </is>
      </c>
      <c r="B56" s="1" t="n">
        <v>44616</v>
      </c>
      <c r="C56" s="1" t="n">
        <v>46204</v>
      </c>
      <c r="D56" t="inlineStr">
        <is>
          <t>GÄVLEBORGS LÄN</t>
        </is>
      </c>
      <c r="E56" t="inlineStr">
        <is>
          <t>SÖDERHAMN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26939-2022</t>
        </is>
      </c>
      <c r="B57" s="1" t="n">
        <v>44740</v>
      </c>
      <c r="C57" s="1" t="n">
        <v>46204</v>
      </c>
      <c r="D57" t="inlineStr">
        <is>
          <t>GÄVLEBORGS LÄN</t>
        </is>
      </c>
      <c r="E57" t="inlineStr">
        <is>
          <t>SÖDERHAMN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40468-2022</t>
        </is>
      </c>
      <c r="B58" s="1" t="n">
        <v>44823</v>
      </c>
      <c r="C58" s="1" t="n">
        <v>46204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26940-2022</t>
        </is>
      </c>
      <c r="B59" s="1" t="n">
        <v>44740</v>
      </c>
      <c r="C59" s="1" t="n">
        <v>46204</v>
      </c>
      <c r="D59" t="inlineStr">
        <is>
          <t>GÄVLEBORGS LÄN</t>
        </is>
      </c>
      <c r="E59" t="inlineStr">
        <is>
          <t>SÖDERHAMN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62538-2021</t>
        </is>
      </c>
      <c r="B60" s="1" t="n">
        <v>44503</v>
      </c>
      <c r="C60" s="1" t="n">
        <v>46204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46204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58198-2021</t>
        </is>
      </c>
      <c r="B62" s="1" t="n">
        <v>44487</v>
      </c>
      <c r="C62" s="1" t="n">
        <v>46204</v>
      </c>
      <c r="D62" t="inlineStr">
        <is>
          <t>GÄVLEBORGS LÄN</t>
        </is>
      </c>
      <c r="E62" t="inlineStr">
        <is>
          <t>SÖDERHAMN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46302-2022</t>
        </is>
      </c>
      <c r="B63" s="1" t="n">
        <v>44847</v>
      </c>
      <c r="C63" s="1" t="n">
        <v>46204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40575-2022</t>
        </is>
      </c>
      <c r="B64" s="1" t="n">
        <v>44823</v>
      </c>
      <c r="C64" s="1" t="n">
        <v>46204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45494-2022</t>
        </is>
      </c>
      <c r="B65" s="1" t="n">
        <v>44841</v>
      </c>
      <c r="C65" s="1" t="n">
        <v>46204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50876-2022</t>
        </is>
      </c>
      <c r="B66" s="1" t="n">
        <v>44867</v>
      </c>
      <c r="C66" s="1" t="n">
        <v>46204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72645-2021</t>
        </is>
      </c>
      <c r="B67" s="1" t="n">
        <v>44546</v>
      </c>
      <c r="C67" s="1" t="n">
        <v>46204</v>
      </c>
      <c r="D67" t="inlineStr">
        <is>
          <t>GÄVLEBORGS LÄN</t>
        </is>
      </c>
      <c r="E67" t="inlineStr">
        <is>
          <t>SÖDERHAMN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46204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</v>
      </c>
      <c r="C69" s="1" t="n">
        <v>46204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46204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</v>
      </c>
      <c r="C71" s="1" t="n">
        <v>46204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</v>
      </c>
      <c r="C72" s="1" t="n">
        <v>46204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</v>
      </c>
      <c r="C73" s="1" t="n">
        <v>46204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46204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</v>
      </c>
      <c r="C75" s="1" t="n">
        <v>46204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46204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46204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</v>
      </c>
      <c r="C78" s="1" t="n">
        <v>46204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46204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46204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46204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</v>
      </c>
      <c r="C82" s="1" t="n">
        <v>46204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54156-2022</t>
        </is>
      </c>
      <c r="B83" s="1" t="n">
        <v>44881</v>
      </c>
      <c r="C83" s="1" t="n">
        <v>46204</v>
      </c>
      <c r="D83" t="inlineStr">
        <is>
          <t>GÄVLEBORGS LÄN</t>
        </is>
      </c>
      <c r="E83" t="inlineStr">
        <is>
          <t>SÖDERHAMN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29813-2023</t>
        </is>
      </c>
      <c r="B84" s="1" t="n">
        <v>45107</v>
      </c>
      <c r="C84" s="1" t="n">
        <v>46204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59476-2022</t>
        </is>
      </c>
      <c r="B85" s="1" t="n">
        <v>44907</v>
      </c>
      <c r="C85" s="1" t="n">
        <v>46204</v>
      </c>
      <c r="D85" t="inlineStr">
        <is>
          <t>GÄVLEBORGS LÄN</t>
        </is>
      </c>
      <c r="E85" t="inlineStr">
        <is>
          <t>SÖDERHAMN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62339-2023</t>
        </is>
      </c>
      <c r="B86" s="1" t="n">
        <v>45267</v>
      </c>
      <c r="C86" s="1" t="n">
        <v>46204</v>
      </c>
      <c r="D86" t="inlineStr">
        <is>
          <t>GÄVLEBORGS LÄN</t>
        </is>
      </c>
      <c r="E86" t="inlineStr">
        <is>
          <t>SÖDERHAMN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19113-2024</t>
        </is>
      </c>
      <c r="B87" s="1" t="n">
        <v>45428</v>
      </c>
      <c r="C87" s="1" t="n">
        <v>46204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18902-2025</t>
        </is>
      </c>
      <c r="B88" s="1" t="n">
        <v>45764</v>
      </c>
      <c r="C88" s="1" t="n">
        <v>46204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15630-2025</t>
        </is>
      </c>
      <c r="B89" s="1" t="n">
        <v>45748</v>
      </c>
      <c r="C89" s="1" t="n">
        <v>46204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29289-2022</t>
        </is>
      </c>
      <c r="B90" s="1" t="n">
        <v>44750</v>
      </c>
      <c r="C90" s="1" t="n">
        <v>46204</v>
      </c>
      <c r="D90" t="inlineStr">
        <is>
          <t>GÄVLEBORGS LÄN</t>
        </is>
      </c>
      <c r="E90" t="inlineStr">
        <is>
          <t>SÖDERHAMN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15877-2025</t>
        </is>
      </c>
      <c r="B91" s="1" t="n">
        <v>45749</v>
      </c>
      <c r="C91" s="1" t="n">
        <v>46204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58544-2023</t>
        </is>
      </c>
      <c r="B92" s="1" t="n">
        <v>45251</v>
      </c>
      <c r="C92" s="1" t="n">
        <v>46204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59048-2024</t>
        </is>
      </c>
      <c r="B93" s="1" t="n">
        <v>45636</v>
      </c>
      <c r="C93" s="1" t="n">
        <v>46204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63798-2023</t>
        </is>
      </c>
      <c r="B94" s="1" t="n">
        <v>45278</v>
      </c>
      <c r="C94" s="1" t="n">
        <v>46204</v>
      </c>
      <c r="D94" t="inlineStr">
        <is>
          <t>GÄVLEBORGS LÄN</t>
        </is>
      </c>
      <c r="E94" t="inlineStr">
        <is>
          <t>SÖDERHAMN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27050-2024</t>
        </is>
      </c>
      <c r="B95" s="1" t="n">
        <v>45471</v>
      </c>
      <c r="C95" s="1" t="n">
        <v>46204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11215-2023</t>
        </is>
      </c>
      <c r="B96" s="1" t="n">
        <v>44992</v>
      </c>
      <c r="C96" s="1" t="n">
        <v>46204</v>
      </c>
      <c r="D96" t="inlineStr">
        <is>
          <t>GÄVLEBORGS LÄN</t>
        </is>
      </c>
      <c r="E96" t="inlineStr">
        <is>
          <t>SÖDERHAMN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21991-2024</t>
        </is>
      </c>
      <c r="B97" s="1" t="n">
        <v>45443</v>
      </c>
      <c r="C97" s="1" t="n">
        <v>46204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61881-2024</t>
        </is>
      </c>
      <c r="B98" s="1" t="n">
        <v>45652</v>
      </c>
      <c r="C98" s="1" t="n">
        <v>46204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10327-2024</t>
        </is>
      </c>
      <c r="B99" s="1" t="n">
        <v>45365</v>
      </c>
      <c r="C99" s="1" t="n">
        <v>46204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53917-2024</t>
        </is>
      </c>
      <c r="B100" s="1" t="n">
        <v>45615</v>
      </c>
      <c r="C100" s="1" t="n">
        <v>46204</v>
      </c>
      <c r="D100" t="inlineStr">
        <is>
          <t>GÄVLEBORGS LÄN</t>
        </is>
      </c>
      <c r="E100" t="inlineStr">
        <is>
          <t>SÖDERHAMN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1458-2023</t>
        </is>
      </c>
      <c r="B101" s="1" t="n">
        <v>44937</v>
      </c>
      <c r="C101" s="1" t="n">
        <v>46204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45807-2022</t>
        </is>
      </c>
      <c r="B102" s="1" t="n">
        <v>44846</v>
      </c>
      <c r="C102" s="1" t="n">
        <v>46204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</v>
      </c>
      <c r="C103" s="1" t="n">
        <v>46204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49281-2024</t>
        </is>
      </c>
      <c r="B104" s="1" t="n">
        <v>45595</v>
      </c>
      <c r="C104" s="1" t="n">
        <v>46204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19617-2024</t>
        </is>
      </c>
      <c r="B105" s="1" t="n">
        <v>45432</v>
      </c>
      <c r="C105" s="1" t="n">
        <v>46204</v>
      </c>
      <c r="D105" t="inlineStr">
        <is>
          <t>GÄVLEBORGS LÄN</t>
        </is>
      </c>
      <c r="E105" t="inlineStr">
        <is>
          <t>SÖDERHAMN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35172-2021</t>
        </is>
      </c>
      <c r="B106" s="1" t="n">
        <v>44384</v>
      </c>
      <c r="C106" s="1" t="n">
        <v>46204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49941-2024</t>
        </is>
      </c>
      <c r="B107" s="1" t="n">
        <v>45597</v>
      </c>
      <c r="C107" s="1" t="n">
        <v>46204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40736-2021</t>
        </is>
      </c>
      <c r="B108" s="1" t="n">
        <v>44420</v>
      </c>
      <c r="C108" s="1" t="n">
        <v>46204</v>
      </c>
      <c r="D108" t="inlineStr">
        <is>
          <t>GÄVLEBORGS LÄN</t>
        </is>
      </c>
      <c r="E108" t="inlineStr">
        <is>
          <t>SÖDERHAMN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38110-2024</t>
        </is>
      </c>
      <c r="B109" s="1" t="n">
        <v>45545</v>
      </c>
      <c r="C109" s="1" t="n">
        <v>46204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38111-2024</t>
        </is>
      </c>
      <c r="B110" s="1" t="n">
        <v>45545</v>
      </c>
      <c r="C110" s="1" t="n">
        <v>46204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16137-2022</t>
        </is>
      </c>
      <c r="B111" s="1" t="n">
        <v>44665</v>
      </c>
      <c r="C111" s="1" t="n">
        <v>46204</v>
      </c>
      <c r="D111" t="inlineStr">
        <is>
          <t>GÄVLEBORGS LÄN</t>
        </is>
      </c>
      <c r="E111" t="inlineStr">
        <is>
          <t>SÖDERHAMN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59000-2023</t>
        </is>
      </c>
      <c r="B112" s="1" t="n">
        <v>45252</v>
      </c>
      <c r="C112" s="1" t="n">
        <v>46204</v>
      </c>
      <c r="D112" t="inlineStr">
        <is>
          <t>GÄVLEBORGS LÄN</t>
        </is>
      </c>
      <c r="E112" t="inlineStr">
        <is>
          <t>SÖDERHAMN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49703-2023</t>
        </is>
      </c>
      <c r="B113" s="1" t="n">
        <v>45212</v>
      </c>
      <c r="C113" s="1" t="n">
        <v>46204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61408-2023</t>
        </is>
      </c>
      <c r="B114" s="1" t="n">
        <v>45264</v>
      </c>
      <c r="C114" s="1" t="n">
        <v>46204</v>
      </c>
      <c r="D114" t="inlineStr">
        <is>
          <t>GÄVLEBORGS LÄN</t>
        </is>
      </c>
      <c r="E114" t="inlineStr">
        <is>
          <t>SÖDERHAMN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18492-2024</t>
        </is>
      </c>
      <c r="B115" s="1" t="n">
        <v>45425</v>
      </c>
      <c r="C115" s="1" t="n">
        <v>46204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18505-2024</t>
        </is>
      </c>
      <c r="B116" s="1" t="n">
        <v>45425</v>
      </c>
      <c r="C116" s="1" t="n">
        <v>46204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58180-2024</t>
        </is>
      </c>
      <c r="B117" s="1" t="n">
        <v>45632</v>
      </c>
      <c r="C117" s="1" t="n">
        <v>46204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34725-2022</t>
        </is>
      </c>
      <c r="B118" s="1" t="n">
        <v>44795</v>
      </c>
      <c r="C118" s="1" t="n">
        <v>46204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58611-2023</t>
        </is>
      </c>
      <c r="B119" s="1" t="n">
        <v>45251</v>
      </c>
      <c r="C119" s="1" t="n">
        <v>46204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44703-2024</t>
        </is>
      </c>
      <c r="B120" s="1" t="n">
        <v>45574</v>
      </c>
      <c r="C120" s="1" t="n">
        <v>46204</v>
      </c>
      <c r="D120" t="inlineStr">
        <is>
          <t>GÄVLEBORGS LÄN</t>
        </is>
      </c>
      <c r="E120" t="inlineStr">
        <is>
          <t>SÖDERHAMN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38537-2025</t>
        </is>
      </c>
      <c r="B121" s="1" t="n">
        <v>45884</v>
      </c>
      <c r="C121" s="1" t="n">
        <v>46204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30058-2025</t>
        </is>
      </c>
      <c r="B122" s="1" t="n">
        <v>45826</v>
      </c>
      <c r="C122" s="1" t="n">
        <v>46204</v>
      </c>
      <c r="D122" t="inlineStr">
        <is>
          <t>GÄVLEBORGS LÄN</t>
        </is>
      </c>
      <c r="E122" t="inlineStr">
        <is>
          <t>SÖDERHAMN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29835-2025</t>
        </is>
      </c>
      <c r="B123" s="1" t="n">
        <v>45825</v>
      </c>
      <c r="C123" s="1" t="n">
        <v>46204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50268-2024</t>
        </is>
      </c>
      <c r="B124" s="1" t="n">
        <v>45600</v>
      </c>
      <c r="C124" s="1" t="n">
        <v>46204</v>
      </c>
      <c r="D124" t="inlineStr">
        <is>
          <t>GÄVLEBORGS LÄN</t>
        </is>
      </c>
      <c r="E124" t="inlineStr">
        <is>
          <t>SÖDERHAMN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22212-2023</t>
        </is>
      </c>
      <c r="B125" s="1" t="n">
        <v>45069</v>
      </c>
      <c r="C125" s="1" t="n">
        <v>46204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44338-2023</t>
        </is>
      </c>
      <c r="B126" s="1" t="n">
        <v>45188</v>
      </c>
      <c r="C126" s="1" t="n">
        <v>46204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7891-2026</t>
        </is>
      </c>
      <c r="B127" s="1" t="n">
        <v>46063</v>
      </c>
      <c r="C127" s="1" t="n">
        <v>46204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44341-2023</t>
        </is>
      </c>
      <c r="B128" s="1" t="n">
        <v>45188</v>
      </c>
      <c r="C128" s="1" t="n">
        <v>46204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2268-2025</t>
        </is>
      </c>
      <c r="B129" s="1" t="n">
        <v>45673</v>
      </c>
      <c r="C129" s="1" t="n">
        <v>46204</v>
      </c>
      <c r="D129" t="inlineStr">
        <is>
          <t>GÄVLEBORGS LÄN</t>
        </is>
      </c>
      <c r="E129" t="inlineStr">
        <is>
          <t>SÖDERHAMN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7837-2026</t>
        </is>
      </c>
      <c r="B130" s="1" t="n">
        <v>46062</v>
      </c>
      <c r="C130" s="1" t="n">
        <v>46204</v>
      </c>
      <c r="D130" t="inlineStr">
        <is>
          <t>GÄVLEBORGS LÄN</t>
        </is>
      </c>
      <c r="E130" t="inlineStr">
        <is>
          <t>SÖDERHAMN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7605-2026</t>
        </is>
      </c>
      <c r="B131" s="1" t="n">
        <v>46062</v>
      </c>
      <c r="C131" s="1" t="n">
        <v>46204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7608-2026</t>
        </is>
      </c>
      <c r="B132" s="1" t="n">
        <v>46062</v>
      </c>
      <c r="C132" s="1" t="n">
        <v>46204</v>
      </c>
      <c r="D132" t="inlineStr">
        <is>
          <t>GÄVLEBORGS LÄN</t>
        </is>
      </c>
      <c r="E132" t="inlineStr">
        <is>
          <t>SÖDERHAMN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7882-2026</t>
        </is>
      </c>
      <c r="B133" s="1" t="n">
        <v>46063</v>
      </c>
      <c r="C133" s="1" t="n">
        <v>46204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7889-2026</t>
        </is>
      </c>
      <c r="B134" s="1" t="n">
        <v>46063</v>
      </c>
      <c r="C134" s="1" t="n">
        <v>46204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7742-2026</t>
        </is>
      </c>
      <c r="B135" s="1" t="n">
        <v>46062</v>
      </c>
      <c r="C135" s="1" t="n">
        <v>46204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7893-2026</t>
        </is>
      </c>
      <c r="B136" s="1" t="n">
        <v>46063</v>
      </c>
      <c r="C136" s="1" t="n">
        <v>46204</v>
      </c>
      <c r="D136" t="inlineStr">
        <is>
          <t>GÄVLEBORGS LÄN</t>
        </is>
      </c>
      <c r="E136" t="inlineStr">
        <is>
          <t>SÖDERHAMN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8427-2026</t>
        </is>
      </c>
      <c r="B137" s="1" t="n">
        <v>46065</v>
      </c>
      <c r="C137" s="1" t="n">
        <v>46204</v>
      </c>
      <c r="D137" t="inlineStr">
        <is>
          <t>GÄVLEBORGS LÄN</t>
        </is>
      </c>
      <c r="E137" t="inlineStr">
        <is>
          <t>SÖDERHAMN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14029-2023</t>
        </is>
      </c>
      <c r="B138" s="1" t="n">
        <v>45008</v>
      </c>
      <c r="C138" s="1" t="n">
        <v>46204</v>
      </c>
      <c r="D138" t="inlineStr">
        <is>
          <t>GÄVLEBORGS LÄN</t>
        </is>
      </c>
      <c r="E138" t="inlineStr">
        <is>
          <t>SÖDERHAMN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1641-2025</t>
        </is>
      </c>
      <c r="B139" s="1" t="n">
        <v>45670</v>
      </c>
      <c r="C139" s="1" t="n">
        <v>46204</v>
      </c>
      <c r="D139" t="inlineStr">
        <is>
          <t>GÄVLEBORGS LÄN</t>
        </is>
      </c>
      <c r="E139" t="inlineStr">
        <is>
          <t>SÖDERHAMN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20717-2024</t>
        </is>
      </c>
      <c r="B140" s="1" t="n">
        <v>45436</v>
      </c>
      <c r="C140" s="1" t="n">
        <v>46204</v>
      </c>
      <c r="D140" t="inlineStr">
        <is>
          <t>GÄVLEBORGS LÄN</t>
        </is>
      </c>
      <c r="E140" t="inlineStr">
        <is>
          <t>SÖDERHAMN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39399-2025</t>
        </is>
      </c>
      <c r="B141" s="1" t="n">
        <v>45889</v>
      </c>
      <c r="C141" s="1" t="n">
        <v>46204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39797-2025</t>
        </is>
      </c>
      <c r="B142" s="1" t="n">
        <v>45891</v>
      </c>
      <c r="C142" s="1" t="n">
        <v>46204</v>
      </c>
      <c r="D142" t="inlineStr">
        <is>
          <t>GÄVLEBORGS LÄN</t>
        </is>
      </c>
      <c r="E142" t="inlineStr">
        <is>
          <t>SÖDERHAMN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8709-2026</t>
        </is>
      </c>
      <c r="B143" s="1" t="n">
        <v>46066</v>
      </c>
      <c r="C143" s="1" t="n">
        <v>46204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28062-2025</t>
        </is>
      </c>
      <c r="B144" s="1" t="n">
        <v>45817</v>
      </c>
      <c r="C144" s="1" t="n">
        <v>46204</v>
      </c>
      <c r="D144" t="inlineStr">
        <is>
          <t>GÄVLEBORGS LÄN</t>
        </is>
      </c>
      <c r="E144" t="inlineStr">
        <is>
          <t>SÖDERHAMN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29981-2023</t>
        </is>
      </c>
      <c r="B145" s="1" t="n">
        <v>45108</v>
      </c>
      <c r="C145" s="1" t="n">
        <v>46204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29983-2023</t>
        </is>
      </c>
      <c r="B146" s="1" t="n">
        <v>45108</v>
      </c>
      <c r="C146" s="1" t="n">
        <v>46204</v>
      </c>
      <c r="D146" t="inlineStr">
        <is>
          <t>GÄVLEBORGS LÄN</t>
        </is>
      </c>
      <c r="E146" t="inlineStr">
        <is>
          <t>SÖDERHAMN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39784-2025</t>
        </is>
      </c>
      <c r="B147" s="1" t="n">
        <v>45891</v>
      </c>
      <c r="C147" s="1" t="n">
        <v>46204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39471-2025</t>
        </is>
      </c>
      <c r="B148" s="1" t="n">
        <v>45890</v>
      </c>
      <c r="C148" s="1" t="n">
        <v>46204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39496-2025</t>
        </is>
      </c>
      <c r="B149" s="1" t="n">
        <v>45890</v>
      </c>
      <c r="C149" s="1" t="n">
        <v>46204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8943-2026</t>
        </is>
      </c>
      <c r="B150" s="1" t="n">
        <v>46069</v>
      </c>
      <c r="C150" s="1" t="n">
        <v>46204</v>
      </c>
      <c r="D150" t="inlineStr">
        <is>
          <t>GÄVLEBORGS LÄN</t>
        </is>
      </c>
      <c r="E150" t="inlineStr">
        <is>
          <t>SÖDERHAMN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5366-2024</t>
        </is>
      </c>
      <c r="B151" s="1" t="n">
        <v>45331</v>
      </c>
      <c r="C151" s="1" t="n">
        <v>46204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8715-2026</t>
        </is>
      </c>
      <c r="B152" s="1" t="n">
        <v>46066</v>
      </c>
      <c r="C152" s="1" t="n">
        <v>46204</v>
      </c>
      <c r="D152" t="inlineStr">
        <is>
          <t>GÄVLEBORGS LÄN</t>
        </is>
      </c>
      <c r="E152" t="inlineStr">
        <is>
          <t>SÖDERHAMN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34525-2025</t>
        </is>
      </c>
      <c r="B153" s="1" t="n">
        <v>45847</v>
      </c>
      <c r="C153" s="1" t="n">
        <v>46204</v>
      </c>
      <c r="D153" t="inlineStr">
        <is>
          <t>GÄVLEBORGS LÄN</t>
        </is>
      </c>
      <c r="E153" t="inlineStr">
        <is>
          <t>SÖDERHAMN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59783-2023</t>
        </is>
      </c>
      <c r="B154" s="1" t="n">
        <v>45257</v>
      </c>
      <c r="C154" s="1" t="n">
        <v>46204</v>
      </c>
      <c r="D154" t="inlineStr">
        <is>
          <t>GÄVLEBORGS LÄN</t>
        </is>
      </c>
      <c r="E154" t="inlineStr">
        <is>
          <t>SÖDERHAMN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34662-2025</t>
        </is>
      </c>
      <c r="B155" s="1" t="n">
        <v>45848</v>
      </c>
      <c r="C155" s="1" t="n">
        <v>46204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34669-2025</t>
        </is>
      </c>
      <c r="B156" s="1" t="n">
        <v>45848</v>
      </c>
      <c r="C156" s="1" t="n">
        <v>46204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40575-2025</t>
        </is>
      </c>
      <c r="B157" s="1" t="n">
        <v>45896</v>
      </c>
      <c r="C157" s="1" t="n">
        <v>46204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1659-2025</t>
        </is>
      </c>
      <c r="B158" s="1" t="n">
        <v>45670</v>
      </c>
      <c r="C158" s="1" t="n">
        <v>46204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8651-2026</t>
        </is>
      </c>
      <c r="B159" s="1" t="n">
        <v>46066</v>
      </c>
      <c r="C159" s="1" t="n">
        <v>46204</v>
      </c>
      <c r="D159" t="inlineStr">
        <is>
          <t>GÄVLEBORGS LÄN</t>
        </is>
      </c>
      <c r="E159" t="inlineStr">
        <is>
          <t>SÖDERHAMN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8661-2026</t>
        </is>
      </c>
      <c r="B160" s="1" t="n">
        <v>46066</v>
      </c>
      <c r="C160" s="1" t="n">
        <v>46204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376-2026</t>
        </is>
      </c>
      <c r="B161" s="1" t="n">
        <v>46027</v>
      </c>
      <c r="C161" s="1" t="n">
        <v>46204</v>
      </c>
      <c r="D161" t="inlineStr">
        <is>
          <t>GÄVLEBORGS LÄN</t>
        </is>
      </c>
      <c r="E161" t="inlineStr">
        <is>
          <t>SÖDERHAMN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41225-2025</t>
        </is>
      </c>
      <c r="B162" s="1" t="n">
        <v>45898</v>
      </c>
      <c r="C162" s="1" t="n">
        <v>46204</v>
      </c>
      <c r="D162" t="inlineStr">
        <is>
          <t>GÄVLEBORGS LÄN</t>
        </is>
      </c>
      <c r="E162" t="inlineStr">
        <is>
          <t>SÖDERHAMN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51413-2023</t>
        </is>
      </c>
      <c r="B163" s="1" t="n">
        <v>45219</v>
      </c>
      <c r="C163" s="1" t="n">
        <v>46204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8944-2026</t>
        </is>
      </c>
      <c r="B164" s="1" t="n">
        <v>46069</v>
      </c>
      <c r="C164" s="1" t="n">
        <v>46204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41351-2025</t>
        </is>
      </c>
      <c r="B165" s="1" t="n">
        <v>45899</v>
      </c>
      <c r="C165" s="1" t="n">
        <v>46204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53503-2023</t>
        </is>
      </c>
      <c r="B166" s="1" t="n">
        <v>45230</v>
      </c>
      <c r="C166" s="1" t="n">
        <v>46204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18459-2025</t>
        </is>
      </c>
      <c r="B167" s="1" t="n">
        <v>45762</v>
      </c>
      <c r="C167" s="1" t="n">
        <v>46204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58166-2024</t>
        </is>
      </c>
      <c r="B168" s="1" t="n">
        <v>45632</v>
      </c>
      <c r="C168" s="1" t="n">
        <v>46204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42497-2025</t>
        </is>
      </c>
      <c r="B169" s="1" t="n">
        <v>45905</v>
      </c>
      <c r="C169" s="1" t="n">
        <v>46204</v>
      </c>
      <c r="D169" t="inlineStr">
        <is>
          <t>GÄVLEBORGS LÄN</t>
        </is>
      </c>
      <c r="E169" t="inlineStr">
        <is>
          <t>SÖDERHAMN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38355-2022</t>
        </is>
      </c>
      <c r="B170" s="1" t="n">
        <v>44812</v>
      </c>
      <c r="C170" s="1" t="n">
        <v>46204</v>
      </c>
      <c r="D170" t="inlineStr">
        <is>
          <t>GÄVLEBORGS LÄN</t>
        </is>
      </c>
      <c r="E170" t="inlineStr">
        <is>
          <t>SÖDERHAMN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42501-2025</t>
        </is>
      </c>
      <c r="B171" s="1" t="n">
        <v>45905</v>
      </c>
      <c r="C171" s="1" t="n">
        <v>46204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9176-2026</t>
        </is>
      </c>
      <c r="B172" s="1" t="n">
        <v>46070</v>
      </c>
      <c r="C172" s="1" t="n">
        <v>46204</v>
      </c>
      <c r="D172" t="inlineStr">
        <is>
          <t>GÄVLEBORGS LÄN</t>
        </is>
      </c>
      <c r="E172" t="inlineStr">
        <is>
          <t>SÖDERHAMN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29802-2023</t>
        </is>
      </c>
      <c r="B173" s="1" t="n">
        <v>45107</v>
      </c>
      <c r="C173" s="1" t="n">
        <v>46204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35961-2025</t>
        </is>
      </c>
      <c r="B174" s="1" t="n">
        <v>45863</v>
      </c>
      <c r="C174" s="1" t="n">
        <v>46204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1075-2025</t>
        </is>
      </c>
      <c r="B175" s="1" t="n">
        <v>45666</v>
      </c>
      <c r="C175" s="1" t="n">
        <v>46204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24766-2023</t>
        </is>
      </c>
      <c r="B176" s="1" t="n">
        <v>45084</v>
      </c>
      <c r="C176" s="1" t="n">
        <v>46204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29821-2024</t>
        </is>
      </c>
      <c r="B177" s="1" t="n">
        <v>45485</v>
      </c>
      <c r="C177" s="1" t="n">
        <v>46204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9921-2026</t>
        </is>
      </c>
      <c r="B178" s="1" t="n">
        <v>46073</v>
      </c>
      <c r="C178" s="1" t="n">
        <v>46204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36186-2025</t>
        </is>
      </c>
      <c r="B179" s="1" t="n">
        <v>45867</v>
      </c>
      <c r="C179" s="1" t="n">
        <v>46204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10483-2026</t>
        </is>
      </c>
      <c r="B180" s="1" t="n">
        <v>46077</v>
      </c>
      <c r="C180" s="1" t="n">
        <v>46204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10345-2026</t>
        </is>
      </c>
      <c r="B181" s="1" t="n">
        <v>46076</v>
      </c>
      <c r="C181" s="1" t="n">
        <v>46204</v>
      </c>
      <c r="D181" t="inlineStr">
        <is>
          <t>GÄVLEBORGS LÄN</t>
        </is>
      </c>
      <c r="E181" t="inlineStr">
        <is>
          <t>SÖDERHAMN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27028-2025</t>
        </is>
      </c>
      <c r="B182" s="1" t="n">
        <v>45811</v>
      </c>
      <c r="C182" s="1" t="n">
        <v>46204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43375-2025</t>
        </is>
      </c>
      <c r="B183" s="1" t="n">
        <v>45911</v>
      </c>
      <c r="C183" s="1" t="n">
        <v>46204</v>
      </c>
      <c r="D183" t="inlineStr">
        <is>
          <t>GÄVLEBORGS LÄN</t>
        </is>
      </c>
      <c r="E183" t="inlineStr">
        <is>
          <t>SÖDERHAMN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43355-2025</t>
        </is>
      </c>
      <c r="B184" s="1" t="n">
        <v>45911</v>
      </c>
      <c r="C184" s="1" t="n">
        <v>46204</v>
      </c>
      <c r="D184" t="inlineStr">
        <is>
          <t>GÄVLEBORGS LÄN</t>
        </is>
      </c>
      <c r="E184" t="inlineStr">
        <is>
          <t>SÖDERHAMN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71645-2021</t>
        </is>
      </c>
      <c r="B185" s="1" t="n">
        <v>44543</v>
      </c>
      <c r="C185" s="1" t="n">
        <v>46204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41221-2022</t>
        </is>
      </c>
      <c r="B186" s="1" t="n">
        <v>44826</v>
      </c>
      <c r="C186" s="1" t="n">
        <v>46204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39869-2025</t>
        </is>
      </c>
      <c r="B187" s="1" t="n">
        <v>45891</v>
      </c>
      <c r="C187" s="1" t="n">
        <v>46204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37538-2025</t>
        </is>
      </c>
      <c r="B188" s="1" t="n">
        <v>45879</v>
      </c>
      <c r="C188" s="1" t="n">
        <v>46204</v>
      </c>
      <c r="D188" t="inlineStr">
        <is>
          <t>GÄVLEBORGS LÄN</t>
        </is>
      </c>
      <c r="E188" t="inlineStr">
        <is>
          <t>SÖDERHAMN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37541-2025</t>
        </is>
      </c>
      <c r="B189" s="1" t="n">
        <v>45879</v>
      </c>
      <c r="C189" s="1" t="n">
        <v>46204</v>
      </c>
      <c r="D189" t="inlineStr">
        <is>
          <t>GÄVLEBORGS LÄN</t>
        </is>
      </c>
      <c r="E189" t="inlineStr">
        <is>
          <t>SÖDERHAMN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10167-2026</t>
        </is>
      </c>
      <c r="B190" s="1" t="n">
        <v>46076</v>
      </c>
      <c r="C190" s="1" t="n">
        <v>46204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29084-2025</t>
        </is>
      </c>
      <c r="B191" s="1" t="n">
        <v>45821</v>
      </c>
      <c r="C191" s="1" t="n">
        <v>46204</v>
      </c>
      <c r="D191" t="inlineStr">
        <is>
          <t>GÄVLEBORGS LÄN</t>
        </is>
      </c>
      <c r="E191" t="inlineStr">
        <is>
          <t>SÖDERHAMN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57044-2022</t>
        </is>
      </c>
      <c r="B192" s="1" t="n">
        <v>44895</v>
      </c>
      <c r="C192" s="1" t="n">
        <v>46204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32729-2025</t>
        </is>
      </c>
      <c r="B193" s="1" t="n">
        <v>45839</v>
      </c>
      <c r="C193" s="1" t="n">
        <v>46204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30208-2022</t>
        </is>
      </c>
      <c r="B194" s="1" t="n">
        <v>44757</v>
      </c>
      <c r="C194" s="1" t="n">
        <v>46204</v>
      </c>
      <c r="D194" t="inlineStr">
        <is>
          <t>GÄVLEBORGS LÄN</t>
        </is>
      </c>
      <c r="E194" t="inlineStr">
        <is>
          <t>SÖDERHAMN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10135-2026</t>
        </is>
      </c>
      <c r="B195" s="1" t="n">
        <v>46076</v>
      </c>
      <c r="C195" s="1" t="n">
        <v>46204</v>
      </c>
      <c r="D195" t="inlineStr">
        <is>
          <t>GÄVLEBORGS LÄN</t>
        </is>
      </c>
      <c r="E195" t="inlineStr">
        <is>
          <t>SÖDERHAMN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59772-2024</t>
        </is>
      </c>
      <c r="B196" s="1" t="n">
        <v>45639</v>
      </c>
      <c r="C196" s="1" t="n">
        <v>46204</v>
      </c>
      <c r="D196" t="inlineStr">
        <is>
          <t>GÄVLEBORGS LÄN</t>
        </is>
      </c>
      <c r="E196" t="inlineStr">
        <is>
          <t>SÖDERHAMN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38218-2025</t>
        </is>
      </c>
      <c r="B197" s="1" t="n">
        <v>45883</v>
      </c>
      <c r="C197" s="1" t="n">
        <v>46204</v>
      </c>
      <c r="D197" t="inlineStr">
        <is>
          <t>GÄVLEBORGS LÄN</t>
        </is>
      </c>
      <c r="E197" t="inlineStr">
        <is>
          <t>SÖDERHAMN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10137-2026</t>
        </is>
      </c>
      <c r="B198" s="1" t="n">
        <v>46076</v>
      </c>
      <c r="C198" s="1" t="n">
        <v>46204</v>
      </c>
      <c r="D198" t="inlineStr">
        <is>
          <t>GÄVLEBORGS LÄN</t>
        </is>
      </c>
      <c r="E198" t="inlineStr">
        <is>
          <t>SÖDERHAMN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6792-2024</t>
        </is>
      </c>
      <c r="B199" s="1" t="n">
        <v>45342</v>
      </c>
      <c r="C199" s="1" t="n">
        <v>46204</v>
      </c>
      <c r="D199" t="inlineStr">
        <is>
          <t>GÄVLEBORGS LÄN</t>
        </is>
      </c>
      <c r="E199" t="inlineStr">
        <is>
          <t>SÖDERHAMN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47057-2025</t>
        </is>
      </c>
      <c r="B200" s="1" t="n">
        <v>45929</v>
      </c>
      <c r="C200" s="1" t="n">
        <v>46204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47100-2025</t>
        </is>
      </c>
      <c r="B201" s="1" t="n">
        <v>45929</v>
      </c>
      <c r="C201" s="1" t="n">
        <v>46204</v>
      </c>
      <c r="D201" t="inlineStr">
        <is>
          <t>GÄVLEBORGS LÄN</t>
        </is>
      </c>
      <c r="E201" t="inlineStr">
        <is>
          <t>SÖDERHAMN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11046-2026</t>
        </is>
      </c>
      <c r="B202" s="1" t="n">
        <v>46079</v>
      </c>
      <c r="C202" s="1" t="n">
        <v>46204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48102-2022</t>
        </is>
      </c>
      <c r="B203" s="1" t="n">
        <v>44856</v>
      </c>
      <c r="C203" s="1" t="n">
        <v>46204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1888-2026</t>
        </is>
      </c>
      <c r="B204" s="1" t="n">
        <v>46035</v>
      </c>
      <c r="C204" s="1" t="n">
        <v>46204</v>
      </c>
      <c r="D204" t="inlineStr">
        <is>
          <t>GÄVLEBORGS LÄN</t>
        </is>
      </c>
      <c r="E204" t="inlineStr">
        <is>
          <t>SÖDERHAMN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7559-2025</t>
        </is>
      </c>
      <c r="B205" s="1" t="n">
        <v>45705</v>
      </c>
      <c r="C205" s="1" t="n">
        <v>46204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11620-2026</t>
        </is>
      </c>
      <c r="B206" s="1" t="n">
        <v>46084</v>
      </c>
      <c r="C206" s="1" t="n">
        <v>46204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6175-2025</t>
        </is>
      </c>
      <c r="B207" s="1" t="n">
        <v>45698</v>
      </c>
      <c r="C207" s="1" t="n">
        <v>46204</v>
      </c>
      <c r="D207" t="inlineStr">
        <is>
          <t>GÄVLEBORGS LÄN</t>
        </is>
      </c>
      <c r="E207" t="inlineStr">
        <is>
          <t>SÖDERHAMN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11794-2026</t>
        </is>
      </c>
      <c r="B208" s="1" t="n">
        <v>46085</v>
      </c>
      <c r="C208" s="1" t="n">
        <v>46204</v>
      </c>
      <c r="D208" t="inlineStr">
        <is>
          <t>GÄVLEBORGS LÄN</t>
        </is>
      </c>
      <c r="E208" t="inlineStr">
        <is>
          <t>SÖDERHAMN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11793-2026</t>
        </is>
      </c>
      <c r="B209" s="1" t="n">
        <v>46085</v>
      </c>
      <c r="C209" s="1" t="n">
        <v>46204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11795-2026</t>
        </is>
      </c>
      <c r="B210" s="1" t="n">
        <v>46085</v>
      </c>
      <c r="C210" s="1" t="n">
        <v>46204</v>
      </c>
      <c r="D210" t="inlineStr">
        <is>
          <t>GÄVLEBORGS LÄN</t>
        </is>
      </c>
      <c r="E210" t="inlineStr">
        <is>
          <t>SÖDERHAMN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12063-2026</t>
        </is>
      </c>
      <c r="B211" s="1" t="n">
        <v>46086</v>
      </c>
      <c r="C211" s="1" t="n">
        <v>46204</v>
      </c>
      <c r="D211" t="inlineStr">
        <is>
          <t>GÄVLEBORGS LÄN</t>
        </is>
      </c>
      <c r="E211" t="inlineStr">
        <is>
          <t>SÖDERHAMN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48543-2025</t>
        </is>
      </c>
      <c r="B212" s="1" t="n">
        <v>45936</v>
      </c>
      <c r="C212" s="1" t="n">
        <v>46204</v>
      </c>
      <c r="D212" t="inlineStr">
        <is>
          <t>GÄVLEBORGS LÄN</t>
        </is>
      </c>
      <c r="E212" t="inlineStr">
        <is>
          <t>SÖDERHAMN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48561-2025</t>
        </is>
      </c>
      <c r="B213" s="1" t="n">
        <v>45936</v>
      </c>
      <c r="C213" s="1" t="n">
        <v>46204</v>
      </c>
      <c r="D213" t="inlineStr">
        <is>
          <t>GÄVLEBORGS LÄN</t>
        </is>
      </c>
      <c r="E213" t="inlineStr">
        <is>
          <t>SÖDERHAMN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48835-2025</t>
        </is>
      </c>
      <c r="B214" s="1" t="n">
        <v>45937</v>
      </c>
      <c r="C214" s="1" t="n">
        <v>46204</v>
      </c>
      <c r="D214" t="inlineStr">
        <is>
          <t>GÄVLEBORGS LÄN</t>
        </is>
      </c>
      <c r="E214" t="inlineStr">
        <is>
          <t>SÖDERHAMN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12204-2026</t>
        </is>
      </c>
      <c r="B215" s="1" t="n">
        <v>46087</v>
      </c>
      <c r="C215" s="1" t="n">
        <v>46204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24933-2024</t>
        </is>
      </c>
      <c r="B216" s="1" t="n">
        <v>45461</v>
      </c>
      <c r="C216" s="1" t="n">
        <v>46204</v>
      </c>
      <c r="D216" t="inlineStr">
        <is>
          <t>GÄVLEBORGS LÄN</t>
        </is>
      </c>
      <c r="E216" t="inlineStr">
        <is>
          <t>SÖDERHAMN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49532-2025</t>
        </is>
      </c>
      <c r="B217" s="1" t="n">
        <v>45939</v>
      </c>
      <c r="C217" s="1" t="n">
        <v>46204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50059-2023</t>
        </is>
      </c>
      <c r="B218" s="1" t="n">
        <v>45215</v>
      </c>
      <c r="C218" s="1" t="n">
        <v>46204</v>
      </c>
      <c r="D218" t="inlineStr">
        <is>
          <t>GÄVLEBORGS LÄN</t>
        </is>
      </c>
      <c r="E218" t="inlineStr">
        <is>
          <t>SÖDERHAMN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13287-2026</t>
        </is>
      </c>
      <c r="B219" s="1" t="n">
        <v>46093</v>
      </c>
      <c r="C219" s="1" t="n">
        <v>46204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13126-2026</t>
        </is>
      </c>
      <c r="B220" s="1" t="n">
        <v>46093</v>
      </c>
      <c r="C220" s="1" t="n">
        <v>46204</v>
      </c>
      <c r="D220" t="inlineStr">
        <is>
          <t>GÄVLEBORGS LÄN</t>
        </is>
      </c>
      <c r="E220" t="inlineStr">
        <is>
          <t>SÖDERHAMN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58099-2024</t>
        </is>
      </c>
      <c r="B221" s="1" t="n">
        <v>45632</v>
      </c>
      <c r="C221" s="1" t="n">
        <v>46204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58142-2024</t>
        </is>
      </c>
      <c r="B222" s="1" t="n">
        <v>45632</v>
      </c>
      <c r="C222" s="1" t="n">
        <v>46204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58156-2024</t>
        </is>
      </c>
      <c r="B223" s="1" t="n">
        <v>45632</v>
      </c>
      <c r="C223" s="1" t="n">
        <v>46204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50007-2025</t>
        </is>
      </c>
      <c r="B224" s="1" t="n">
        <v>45943</v>
      </c>
      <c r="C224" s="1" t="n">
        <v>46204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435-2024</t>
        </is>
      </c>
      <c r="B225" s="1" t="n">
        <v>45296</v>
      </c>
      <c r="C225" s="1" t="n">
        <v>46204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50246-2025</t>
        </is>
      </c>
      <c r="B226" s="1" t="n">
        <v>45944</v>
      </c>
      <c r="C226" s="1" t="n">
        <v>46204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58281-2024</t>
        </is>
      </c>
      <c r="B227" s="1" t="n">
        <v>45632</v>
      </c>
      <c r="C227" s="1" t="n">
        <v>46204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13289-2026</t>
        </is>
      </c>
      <c r="B228" s="1" t="n">
        <v>46094</v>
      </c>
      <c r="C228" s="1" t="n">
        <v>46204</v>
      </c>
      <c r="D228" t="inlineStr">
        <is>
          <t>GÄVLEBORGS LÄN</t>
        </is>
      </c>
      <c r="E228" t="inlineStr">
        <is>
          <t>SÖDERHAMN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13664-2026</t>
        </is>
      </c>
      <c r="B229" s="1" t="n">
        <v>46097</v>
      </c>
      <c r="C229" s="1" t="n">
        <v>46204</v>
      </c>
      <c r="D229" t="inlineStr">
        <is>
          <t>GÄVLEBORGS LÄN</t>
        </is>
      </c>
      <c r="E229" t="inlineStr">
        <is>
          <t>SÖDERHAMN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15646-2022</t>
        </is>
      </c>
      <c r="B230" s="1" t="n">
        <v>44662</v>
      </c>
      <c r="C230" s="1" t="n">
        <v>46204</v>
      </c>
      <c r="D230" t="inlineStr">
        <is>
          <t>GÄVLEBORGS LÄN</t>
        </is>
      </c>
      <c r="E230" t="inlineStr">
        <is>
          <t>SÖDERHAMN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15417-2025</t>
        </is>
      </c>
      <c r="B231" s="1" t="n">
        <v>45747</v>
      </c>
      <c r="C231" s="1" t="n">
        <v>46204</v>
      </c>
      <c r="D231" t="inlineStr">
        <is>
          <t>GÄVLEBORGS LÄN</t>
        </is>
      </c>
      <c r="E231" t="inlineStr">
        <is>
          <t>SÖDERHAMN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43395-2023</t>
        </is>
      </c>
      <c r="B232" s="1" t="n">
        <v>45183</v>
      </c>
      <c r="C232" s="1" t="n">
        <v>46204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13974-2026</t>
        </is>
      </c>
      <c r="B233" s="1" t="n">
        <v>46098</v>
      </c>
      <c r="C233" s="1" t="n">
        <v>46204</v>
      </c>
      <c r="D233" t="inlineStr">
        <is>
          <t>GÄVLEBORGS LÄN</t>
        </is>
      </c>
      <c r="E233" t="inlineStr">
        <is>
          <t>SÖDERHAMN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6853-2024</t>
        </is>
      </c>
      <c r="B234" s="1" t="n">
        <v>45342</v>
      </c>
      <c r="C234" s="1" t="n">
        <v>46204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61680-2023</t>
        </is>
      </c>
      <c r="B235" s="1" t="n">
        <v>45265</v>
      </c>
      <c r="C235" s="1" t="n">
        <v>46204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52494-2025</t>
        </is>
      </c>
      <c r="B236" s="1" t="n">
        <v>45954</v>
      </c>
      <c r="C236" s="1" t="n">
        <v>46204</v>
      </c>
      <c r="D236" t="inlineStr">
        <is>
          <t>GÄVLEBORGS LÄN</t>
        </is>
      </c>
      <c r="E236" t="inlineStr">
        <is>
          <t>SÖDERHAMN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14259-2026</t>
        </is>
      </c>
      <c r="B237" s="1" t="n">
        <v>46099</v>
      </c>
      <c r="C237" s="1" t="n">
        <v>46204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16.2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52913-2025</t>
        </is>
      </c>
      <c r="B238" s="1" t="n">
        <v>45957</v>
      </c>
      <c r="C238" s="1" t="n">
        <v>46204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64138-2023</t>
        </is>
      </c>
      <c r="B239" s="1" t="n">
        <v>45279</v>
      </c>
      <c r="C239" s="1" t="n">
        <v>46204</v>
      </c>
      <c r="D239" t="inlineStr">
        <is>
          <t>GÄVLEBORGS LÄN</t>
        </is>
      </c>
      <c r="E239" t="inlineStr">
        <is>
          <t>SÖDERHAMN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52886-2025</t>
        </is>
      </c>
      <c r="B240" s="1" t="n">
        <v>45957</v>
      </c>
      <c r="C240" s="1" t="n">
        <v>46204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14129-2026</t>
        </is>
      </c>
      <c r="B241" s="1" t="n">
        <v>46099</v>
      </c>
      <c r="C241" s="1" t="n">
        <v>46204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46006-2024</t>
        </is>
      </c>
      <c r="B242" s="1" t="n">
        <v>45580</v>
      </c>
      <c r="C242" s="1" t="n">
        <v>46204</v>
      </c>
      <c r="D242" t="inlineStr">
        <is>
          <t>GÄVLEBORGS LÄN</t>
        </is>
      </c>
      <c r="E242" t="inlineStr">
        <is>
          <t>SÖDERHAMN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14073-2026</t>
        </is>
      </c>
      <c r="B243" s="1" t="n">
        <v>46099</v>
      </c>
      <c r="C243" s="1" t="n">
        <v>46204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14061-2026</t>
        </is>
      </c>
      <c r="B244" s="1" t="n">
        <v>46099</v>
      </c>
      <c r="C244" s="1" t="n">
        <v>46204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49935-2024</t>
        </is>
      </c>
      <c r="B245" s="1" t="n">
        <v>45597</v>
      </c>
      <c r="C245" s="1" t="n">
        <v>46204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18140-2023</t>
        </is>
      </c>
      <c r="B246" s="1" t="n">
        <v>45040</v>
      </c>
      <c r="C246" s="1" t="n">
        <v>46204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53781-2025</t>
        </is>
      </c>
      <c r="B247" s="1" t="n">
        <v>45960</v>
      </c>
      <c r="C247" s="1" t="n">
        <v>46204</v>
      </c>
      <c r="D247" t="inlineStr">
        <is>
          <t>GÄVLEBORGS LÄN</t>
        </is>
      </c>
      <c r="E247" t="inlineStr">
        <is>
          <t>SÖDERHAMN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53628-2025</t>
        </is>
      </c>
      <c r="B248" s="1" t="n">
        <v>45960</v>
      </c>
      <c r="C248" s="1" t="n">
        <v>46204</v>
      </c>
      <c r="D248" t="inlineStr">
        <is>
          <t>GÄVLEBORGS LÄN</t>
        </is>
      </c>
      <c r="E248" t="inlineStr">
        <is>
          <t>SÖDERHAMN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53729-2025</t>
        </is>
      </c>
      <c r="B249" s="1" t="n">
        <v>45960</v>
      </c>
      <c r="C249" s="1" t="n">
        <v>46204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15024-2026</t>
        </is>
      </c>
      <c r="B250" s="1" t="n">
        <v>46104</v>
      </c>
      <c r="C250" s="1" t="n">
        <v>46204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53494-2025</t>
        </is>
      </c>
      <c r="B251" s="1" t="n">
        <v>45960</v>
      </c>
      <c r="C251" s="1" t="n">
        <v>46204</v>
      </c>
      <c r="D251" t="inlineStr">
        <is>
          <t>GÄVLEBORGS LÄN</t>
        </is>
      </c>
      <c r="E251" t="inlineStr">
        <is>
          <t>SÖDERHAMN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53731-2025</t>
        </is>
      </c>
      <c r="B252" s="1" t="n">
        <v>45960</v>
      </c>
      <c r="C252" s="1" t="n">
        <v>46204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54266-2025</t>
        </is>
      </c>
      <c r="B253" s="1" t="n">
        <v>45964</v>
      </c>
      <c r="C253" s="1" t="n">
        <v>46204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59922-2023</t>
        </is>
      </c>
      <c r="B254" s="1" t="n">
        <v>45254</v>
      </c>
      <c r="C254" s="1" t="n">
        <v>46204</v>
      </c>
      <c r="D254" t="inlineStr">
        <is>
          <t>GÄVLEBORGS LÄN</t>
        </is>
      </c>
      <c r="E254" t="inlineStr">
        <is>
          <t>SÖDERHAMN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54995-2025</t>
        </is>
      </c>
      <c r="B255" s="1" t="n">
        <v>45967</v>
      </c>
      <c r="C255" s="1" t="n">
        <v>46204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43723-2022</t>
        </is>
      </c>
      <c r="B256" s="1" t="n">
        <v>44837</v>
      </c>
      <c r="C256" s="1" t="n">
        <v>46204</v>
      </c>
      <c r="D256" t="inlineStr">
        <is>
          <t>GÄVLEBORGS LÄN</t>
        </is>
      </c>
      <c r="E256" t="inlineStr">
        <is>
          <t>SÖDERHAMN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15066-2026</t>
        </is>
      </c>
      <c r="B257" s="1" t="n">
        <v>46104</v>
      </c>
      <c r="C257" s="1" t="n">
        <v>46204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54656-2025</t>
        </is>
      </c>
      <c r="B258" s="1" t="n">
        <v>45966</v>
      </c>
      <c r="C258" s="1" t="n">
        <v>46204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55058-2025</t>
        </is>
      </c>
      <c r="B259" s="1" t="n">
        <v>45967</v>
      </c>
      <c r="C259" s="1" t="n">
        <v>46204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42265-2024</t>
        </is>
      </c>
      <c r="B260" s="1" t="n">
        <v>45562</v>
      </c>
      <c r="C260" s="1" t="n">
        <v>46204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54685-2025</t>
        </is>
      </c>
      <c r="B261" s="1" t="n">
        <v>45966</v>
      </c>
      <c r="C261" s="1" t="n">
        <v>46204</v>
      </c>
      <c r="D261" t="inlineStr">
        <is>
          <t>GÄVLEBORGS LÄN</t>
        </is>
      </c>
      <c r="E261" t="inlineStr">
        <is>
          <t>SÖDERHAMN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14321-2024</t>
        </is>
      </c>
      <c r="B262" s="1" t="n">
        <v>45393</v>
      </c>
      <c r="C262" s="1" t="n">
        <v>46204</v>
      </c>
      <c r="D262" t="inlineStr">
        <is>
          <t>GÄVLEBORGS LÄN</t>
        </is>
      </c>
      <c r="E262" t="inlineStr">
        <is>
          <t>SÖDERHAMN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54650-2025</t>
        </is>
      </c>
      <c r="B263" s="1" t="n">
        <v>45966</v>
      </c>
      <c r="C263" s="1" t="n">
        <v>46204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56502-2023</t>
        </is>
      </c>
      <c r="B264" s="1" t="n">
        <v>45243</v>
      </c>
      <c r="C264" s="1" t="n">
        <v>46204</v>
      </c>
      <c r="D264" t="inlineStr">
        <is>
          <t>GÄVLEBORGS LÄN</t>
        </is>
      </c>
      <c r="E264" t="inlineStr">
        <is>
          <t>SÖDERHAMN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26936-2023</t>
        </is>
      </c>
      <c r="B265" s="1" t="n">
        <v>45093</v>
      </c>
      <c r="C265" s="1" t="n">
        <v>46204</v>
      </c>
      <c r="D265" t="inlineStr">
        <is>
          <t>GÄVLEBORGS LÄN</t>
        </is>
      </c>
      <c r="E265" t="inlineStr">
        <is>
          <t>SÖDERHAMN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55401-2025</t>
        </is>
      </c>
      <c r="B266" s="1" t="n">
        <v>45971</v>
      </c>
      <c r="C266" s="1" t="n">
        <v>46204</v>
      </c>
      <c r="D266" t="inlineStr">
        <is>
          <t>GÄVLEBORGS LÄN</t>
        </is>
      </c>
      <c r="E266" t="inlineStr">
        <is>
          <t>SÖDERHAMN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55711-2025</t>
        </is>
      </c>
      <c r="B267" s="1" t="n">
        <v>45972</v>
      </c>
      <c r="C267" s="1" t="n">
        <v>46204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55730-2025</t>
        </is>
      </c>
      <c r="B268" s="1" t="n">
        <v>45972</v>
      </c>
      <c r="C268" s="1" t="n">
        <v>46204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15375-2026</t>
        </is>
      </c>
      <c r="B269" s="1" t="n">
        <v>46106</v>
      </c>
      <c r="C269" s="1" t="n">
        <v>46204</v>
      </c>
      <c r="D269" t="inlineStr">
        <is>
          <t>GÄVLEBORGS LÄN</t>
        </is>
      </c>
      <c r="E269" t="inlineStr">
        <is>
          <t>SÖDERHAMN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15157-2026</t>
        </is>
      </c>
      <c r="B270" s="1" t="n">
        <v>46105</v>
      </c>
      <c r="C270" s="1" t="n">
        <v>46204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2873-2025</t>
        </is>
      </c>
      <c r="B271" s="1" t="n">
        <v>45677</v>
      </c>
      <c r="C271" s="1" t="n">
        <v>46204</v>
      </c>
      <c r="D271" t="inlineStr">
        <is>
          <t>GÄVLEBORGS LÄN</t>
        </is>
      </c>
      <c r="E271" t="inlineStr">
        <is>
          <t>SÖDERHAMN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56608-2025</t>
        </is>
      </c>
      <c r="B272" s="1" t="n">
        <v>45975</v>
      </c>
      <c r="C272" s="1" t="n">
        <v>46204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38079-2024</t>
        </is>
      </c>
      <c r="B273" s="1" t="n">
        <v>45545</v>
      </c>
      <c r="C273" s="1" t="n">
        <v>46204</v>
      </c>
      <c r="D273" t="inlineStr">
        <is>
          <t>GÄVLEBORGS LÄN</t>
        </is>
      </c>
      <c r="E273" t="inlineStr">
        <is>
          <t>SÖDERHAMN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31916-2024</t>
        </is>
      </c>
      <c r="B274" s="1" t="n">
        <v>45510</v>
      </c>
      <c r="C274" s="1" t="n">
        <v>46204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16750-2025</t>
        </is>
      </c>
      <c r="B275" s="1" t="n">
        <v>45754</v>
      </c>
      <c r="C275" s="1" t="n">
        <v>46204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14850-2024</t>
        </is>
      </c>
      <c r="B276" s="1" t="n">
        <v>45398</v>
      </c>
      <c r="C276" s="1" t="n">
        <v>46204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56228-2025</t>
        </is>
      </c>
      <c r="B277" s="1" t="n">
        <v>45974</v>
      </c>
      <c r="C277" s="1" t="n">
        <v>46204</v>
      </c>
      <c r="D277" t="inlineStr">
        <is>
          <t>GÄVLEBORGS LÄN</t>
        </is>
      </c>
      <c r="E277" t="inlineStr">
        <is>
          <t>SÖDERHAMN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56945-2025</t>
        </is>
      </c>
      <c r="B278" s="1" t="n">
        <v>45978</v>
      </c>
      <c r="C278" s="1" t="n">
        <v>46204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53918-2025</t>
        </is>
      </c>
      <c r="B279" s="1" t="n">
        <v>45961</v>
      </c>
      <c r="C279" s="1" t="n">
        <v>46204</v>
      </c>
      <c r="D279" t="inlineStr">
        <is>
          <t>GÄVLEBORGS LÄN</t>
        </is>
      </c>
      <c r="E279" t="inlineStr">
        <is>
          <t>SÖDERHAMN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57085-2025</t>
        </is>
      </c>
      <c r="B280" s="1" t="n">
        <v>45979</v>
      </c>
      <c r="C280" s="1" t="n">
        <v>46204</v>
      </c>
      <c r="D280" t="inlineStr">
        <is>
          <t>GÄVLEBORGS LÄN</t>
        </is>
      </c>
      <c r="E280" t="inlineStr">
        <is>
          <t>SÖDERHAMN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15976-2026</t>
        </is>
      </c>
      <c r="B281" s="1" t="n">
        <v>46108</v>
      </c>
      <c r="C281" s="1" t="n">
        <v>46204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56949-2025</t>
        </is>
      </c>
      <c r="B282" s="1" t="n">
        <v>45978</v>
      </c>
      <c r="C282" s="1" t="n">
        <v>46204</v>
      </c>
      <c r="D282" t="inlineStr">
        <is>
          <t>GÄVLEBORGS LÄN</t>
        </is>
      </c>
      <c r="E282" t="inlineStr">
        <is>
          <t>SÖDERHAMN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15958-2026</t>
        </is>
      </c>
      <c r="B283" s="1" t="n">
        <v>46108</v>
      </c>
      <c r="C283" s="1" t="n">
        <v>46204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57175-2025</t>
        </is>
      </c>
      <c r="B284" s="1" t="n">
        <v>45979</v>
      </c>
      <c r="C284" s="1" t="n">
        <v>46204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56946-2025</t>
        </is>
      </c>
      <c r="B285" s="1" t="n">
        <v>45978</v>
      </c>
      <c r="C285" s="1" t="n">
        <v>46204</v>
      </c>
      <c r="D285" t="inlineStr">
        <is>
          <t>GÄVLEBORGS LÄN</t>
        </is>
      </c>
      <c r="E285" t="inlineStr">
        <is>
          <t>SÖDERHAMN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57120-2025</t>
        </is>
      </c>
      <c r="B286" s="1" t="n">
        <v>45978</v>
      </c>
      <c r="C286" s="1" t="n">
        <v>46204</v>
      </c>
      <c r="D286" t="inlineStr">
        <is>
          <t>GÄVLEBORGS LÄN</t>
        </is>
      </c>
      <c r="E286" t="inlineStr">
        <is>
          <t>SÖDERHAMN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17456-2025</t>
        </is>
      </c>
      <c r="B287" s="1" t="n">
        <v>45757</v>
      </c>
      <c r="C287" s="1" t="n">
        <v>46204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58215-2025</t>
        </is>
      </c>
      <c r="B288" s="1" t="n">
        <v>45985</v>
      </c>
      <c r="C288" s="1" t="n">
        <v>46204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58047-2025</t>
        </is>
      </c>
      <c r="B289" s="1" t="n">
        <v>45982</v>
      </c>
      <c r="C289" s="1" t="n">
        <v>46204</v>
      </c>
      <c r="D289" t="inlineStr">
        <is>
          <t>GÄVLEBORGS LÄN</t>
        </is>
      </c>
      <c r="E289" t="inlineStr">
        <is>
          <t>SÖDERHAMN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58069-2025</t>
        </is>
      </c>
      <c r="B290" s="1" t="n">
        <v>45982</v>
      </c>
      <c r="C290" s="1" t="n">
        <v>46204</v>
      </c>
      <c r="D290" t="inlineStr">
        <is>
          <t>GÄVLEBORGS LÄN</t>
        </is>
      </c>
      <c r="E290" t="inlineStr">
        <is>
          <t>SÖDERHAMN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18800-2024</t>
        </is>
      </c>
      <c r="B291" s="1" t="n">
        <v>45426</v>
      </c>
      <c r="C291" s="1" t="n">
        <v>46204</v>
      </c>
      <c r="D291" t="inlineStr">
        <is>
          <t>GÄVLEBORGS LÄN</t>
        </is>
      </c>
      <c r="E291" t="inlineStr">
        <is>
          <t>SÖDERHAMN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49959-2024</t>
        </is>
      </c>
      <c r="B292" s="1" t="n">
        <v>45597</v>
      </c>
      <c r="C292" s="1" t="n">
        <v>46204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58499-2025</t>
        </is>
      </c>
      <c r="B293" s="1" t="n">
        <v>45985</v>
      </c>
      <c r="C293" s="1" t="n">
        <v>46204</v>
      </c>
      <c r="D293" t="inlineStr">
        <is>
          <t>GÄVLEBORGS LÄN</t>
        </is>
      </c>
      <c r="E293" t="inlineStr">
        <is>
          <t>SÖDERHAMN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58502-2025</t>
        </is>
      </c>
      <c r="B294" s="1" t="n">
        <v>45985</v>
      </c>
      <c r="C294" s="1" t="n">
        <v>46204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16178-2026</t>
        </is>
      </c>
      <c r="B295" s="1" t="n">
        <v>46111</v>
      </c>
      <c r="C295" s="1" t="n">
        <v>46204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16231-2026</t>
        </is>
      </c>
      <c r="B296" s="1" t="n">
        <v>46111</v>
      </c>
      <c r="C296" s="1" t="n">
        <v>46204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16484-2026</t>
        </is>
      </c>
      <c r="B297" s="1" t="n">
        <v>46112</v>
      </c>
      <c r="C297" s="1" t="n">
        <v>46204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16472-2026</t>
        </is>
      </c>
      <c r="B298" s="1" t="n">
        <v>46112</v>
      </c>
      <c r="C298" s="1" t="n">
        <v>46204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16475-2026</t>
        </is>
      </c>
      <c r="B299" s="1" t="n">
        <v>46112</v>
      </c>
      <c r="C299" s="1" t="n">
        <v>46204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16485-2026</t>
        </is>
      </c>
      <c r="B300" s="1" t="n">
        <v>46112</v>
      </c>
      <c r="C300" s="1" t="n">
        <v>46204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18135-2025</t>
        </is>
      </c>
      <c r="B301" s="1" t="n">
        <v>45761</v>
      </c>
      <c r="C301" s="1" t="n">
        <v>46204</v>
      </c>
      <c r="D301" t="inlineStr">
        <is>
          <t>GÄVLEBORGS LÄN</t>
        </is>
      </c>
      <c r="E301" t="inlineStr">
        <is>
          <t>SÖDERHAMN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59827-2025</t>
        </is>
      </c>
      <c r="B302" s="1" t="n">
        <v>45992</v>
      </c>
      <c r="C302" s="1" t="n">
        <v>46204</v>
      </c>
      <c r="D302" t="inlineStr">
        <is>
          <t>GÄVLEBORGS LÄN</t>
        </is>
      </c>
      <c r="E302" t="inlineStr">
        <is>
          <t>SÖDERHAMN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53916-2024</t>
        </is>
      </c>
      <c r="B303" s="1" t="n">
        <v>45615</v>
      </c>
      <c r="C303" s="1" t="n">
        <v>46204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59847-2025</t>
        </is>
      </c>
      <c r="B304" s="1" t="n">
        <v>45992</v>
      </c>
      <c r="C304" s="1" t="n">
        <v>46204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16726-2025</t>
        </is>
      </c>
      <c r="B305" s="1" t="n">
        <v>45754</v>
      </c>
      <c r="C305" s="1" t="n">
        <v>46204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15635-2025</t>
        </is>
      </c>
      <c r="B306" s="1" t="n">
        <v>45748</v>
      </c>
      <c r="C306" s="1" t="n">
        <v>46204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1649-2025</t>
        </is>
      </c>
      <c r="B307" s="1" t="n">
        <v>45670</v>
      </c>
      <c r="C307" s="1" t="n">
        <v>46204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59754-2025</t>
        </is>
      </c>
      <c r="B308" s="1" t="n">
        <v>45992</v>
      </c>
      <c r="C308" s="1" t="n">
        <v>46204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34752-2024</t>
        </is>
      </c>
      <c r="B309" s="1" t="n">
        <v>45526</v>
      </c>
      <c r="C309" s="1" t="n">
        <v>46204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59684-2025</t>
        </is>
      </c>
      <c r="B310" s="1" t="n">
        <v>45992</v>
      </c>
      <c r="C310" s="1" t="n">
        <v>46204</v>
      </c>
      <c r="D310" t="inlineStr">
        <is>
          <t>GÄVLEBORGS LÄN</t>
        </is>
      </c>
      <c r="E310" t="inlineStr">
        <is>
          <t>SÖDERHAMN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49765-2024</t>
        </is>
      </c>
      <c r="B311" s="1" t="n">
        <v>45597</v>
      </c>
      <c r="C311" s="1" t="n">
        <v>46204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1782-2023</t>
        </is>
      </c>
      <c r="B312" s="1" t="n">
        <v>44938</v>
      </c>
      <c r="C312" s="1" t="n">
        <v>46204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60301-2025</t>
        </is>
      </c>
      <c r="B313" s="1" t="n">
        <v>45994</v>
      </c>
      <c r="C313" s="1" t="n">
        <v>46204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16828-2026</t>
        </is>
      </c>
      <c r="B314" s="1" t="n">
        <v>46113</v>
      </c>
      <c r="C314" s="1" t="n">
        <v>46204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60453-2025</t>
        </is>
      </c>
      <c r="B315" s="1" t="n">
        <v>45995</v>
      </c>
      <c r="C315" s="1" t="n">
        <v>46204</v>
      </c>
      <c r="D315" t="inlineStr">
        <is>
          <t>GÄVLEBORGS LÄN</t>
        </is>
      </c>
      <c r="E315" t="inlineStr">
        <is>
          <t>SÖDERHAMN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60939-2025</t>
        </is>
      </c>
      <c r="B316" s="1" t="n">
        <v>45999</v>
      </c>
      <c r="C316" s="1" t="n">
        <v>46204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58212-2025</t>
        </is>
      </c>
      <c r="B317" s="1" t="n">
        <v>45985</v>
      </c>
      <c r="C317" s="1" t="n">
        <v>46204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60937-2025</t>
        </is>
      </c>
      <c r="B318" s="1" t="n">
        <v>45999</v>
      </c>
      <c r="C318" s="1" t="n">
        <v>46204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7799-2025</t>
        </is>
      </c>
      <c r="B319" s="1" t="n">
        <v>45706</v>
      </c>
      <c r="C319" s="1" t="n">
        <v>46204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60935-2025</t>
        </is>
      </c>
      <c r="B320" s="1" t="n">
        <v>45999</v>
      </c>
      <c r="C320" s="1" t="n">
        <v>46204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16908-2026</t>
        </is>
      </c>
      <c r="B321" s="1" t="n">
        <v>46113</v>
      </c>
      <c r="C321" s="1" t="n">
        <v>46204</v>
      </c>
      <c r="D321" t="inlineStr">
        <is>
          <t>GÄVLEBORGS LÄN</t>
        </is>
      </c>
      <c r="E321" t="inlineStr">
        <is>
          <t>SÖDERHAMN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61042-2025</t>
        </is>
      </c>
      <c r="B322" s="1" t="n">
        <v>46000</v>
      </c>
      <c r="C322" s="1" t="n">
        <v>46204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17192-2026</t>
        </is>
      </c>
      <c r="B323" s="1" t="n">
        <v>46117</v>
      </c>
      <c r="C323" s="1" t="n">
        <v>46204</v>
      </c>
      <c r="D323" t="inlineStr">
        <is>
          <t>GÄVLEBORGS LÄN</t>
        </is>
      </c>
      <c r="E323" t="inlineStr">
        <is>
          <t>SÖDERHAMN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61416-2025</t>
        </is>
      </c>
      <c r="B324" s="1" t="n">
        <v>46001</v>
      </c>
      <c r="C324" s="1" t="n">
        <v>46204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17190-2026</t>
        </is>
      </c>
      <c r="B325" s="1" t="n">
        <v>46117</v>
      </c>
      <c r="C325" s="1" t="n">
        <v>46204</v>
      </c>
      <c r="D325" t="inlineStr">
        <is>
          <t>GÄVLEBORGS LÄN</t>
        </is>
      </c>
      <c r="E325" t="inlineStr">
        <is>
          <t>SÖDERHAMN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17189-2026</t>
        </is>
      </c>
      <c r="B326" s="1" t="n">
        <v>46117</v>
      </c>
      <c r="C326" s="1" t="n">
        <v>46204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17191-2026</t>
        </is>
      </c>
      <c r="B327" s="1" t="n">
        <v>46117</v>
      </c>
      <c r="C327" s="1" t="n">
        <v>46204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50281-2024</t>
        </is>
      </c>
      <c r="B328" s="1" t="n">
        <v>45600</v>
      </c>
      <c r="C328" s="1" t="n">
        <v>46204</v>
      </c>
      <c r="D328" t="inlineStr">
        <is>
          <t>GÄVLEBORGS LÄN</t>
        </is>
      </c>
      <c r="E328" t="inlineStr">
        <is>
          <t>SÖDERHAMN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61396-2025</t>
        </is>
      </c>
      <c r="B329" s="1" t="n">
        <v>46001</v>
      </c>
      <c r="C329" s="1" t="n">
        <v>46204</v>
      </c>
      <c r="D329" t="inlineStr">
        <is>
          <t>GÄVLEBORGS LÄN</t>
        </is>
      </c>
      <c r="E329" t="inlineStr">
        <is>
          <t>SÖDERHAMN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39208-2024</t>
        </is>
      </c>
      <c r="B330" s="1" t="n">
        <v>45548</v>
      </c>
      <c r="C330" s="1" t="n">
        <v>46204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21272-2023</t>
        </is>
      </c>
      <c r="B331" s="1" t="n">
        <v>45062</v>
      </c>
      <c r="C331" s="1" t="n">
        <v>46204</v>
      </c>
      <c r="D331" t="inlineStr">
        <is>
          <t>GÄVLEBORGS LÄN</t>
        </is>
      </c>
      <c r="E331" t="inlineStr">
        <is>
          <t>SÖDERHAMN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40745-2023</t>
        </is>
      </c>
      <c r="B332" s="1" t="n">
        <v>45170</v>
      </c>
      <c r="C332" s="1" t="n">
        <v>46204</v>
      </c>
      <c r="D332" t="inlineStr">
        <is>
          <t>GÄVLEBORGS LÄN</t>
        </is>
      </c>
      <c r="E332" t="inlineStr">
        <is>
          <t>SÖDERHAMN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14472-2024</t>
        </is>
      </c>
      <c r="B333" s="1" t="n">
        <v>45394</v>
      </c>
      <c r="C333" s="1" t="n">
        <v>46204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4557-2024</t>
        </is>
      </c>
      <c r="B334" s="1" t="n">
        <v>45327</v>
      </c>
      <c r="C334" s="1" t="n">
        <v>46204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23328-2026</t>
        </is>
      </c>
      <c r="B335" s="1" t="n">
        <v>46162</v>
      </c>
      <c r="C335" s="1" t="n">
        <v>46204</v>
      </c>
      <c r="D335" t="inlineStr">
        <is>
          <t>GÄVLEBORGS LÄN</t>
        </is>
      </c>
      <c r="E335" t="inlineStr">
        <is>
          <t>SÖDERHAMN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62414-2025</t>
        </is>
      </c>
      <c r="B336" s="1" t="n">
        <v>46007</v>
      </c>
      <c r="C336" s="1" t="n">
        <v>46204</v>
      </c>
      <c r="D336" t="inlineStr">
        <is>
          <t>GÄVLEBORGS LÄN</t>
        </is>
      </c>
      <c r="E336" t="inlineStr">
        <is>
          <t>SÖDERHAMN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17809-2026</t>
        </is>
      </c>
      <c r="B337" s="1" t="n">
        <v>46122</v>
      </c>
      <c r="C337" s="1" t="n">
        <v>46204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23770-2026</t>
        </is>
      </c>
      <c r="B338" s="1" t="n">
        <v>46164</v>
      </c>
      <c r="C338" s="1" t="n">
        <v>46204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16188-2025</t>
        </is>
      </c>
      <c r="B339" s="1" t="n">
        <v>45750</v>
      </c>
      <c r="C339" s="1" t="n">
        <v>46204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23470-2026</t>
        </is>
      </c>
      <c r="B340" s="1" t="n">
        <v>46163</v>
      </c>
      <c r="C340" s="1" t="n">
        <v>46204</v>
      </c>
      <c r="D340" t="inlineStr">
        <is>
          <t>GÄVLEBORGS LÄN</t>
        </is>
      </c>
      <c r="E340" t="inlineStr">
        <is>
          <t>SÖDERHAMN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24083-2025</t>
        </is>
      </c>
      <c r="B341" s="1" t="n">
        <v>45796</v>
      </c>
      <c r="C341" s="1" t="n">
        <v>46204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62616-2025</t>
        </is>
      </c>
      <c r="B342" s="1" t="n">
        <v>46008</v>
      </c>
      <c r="C342" s="1" t="n">
        <v>46204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17836-2026</t>
        </is>
      </c>
      <c r="B343" s="1" t="n">
        <v>46122</v>
      </c>
      <c r="C343" s="1" t="n">
        <v>46204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23467-2026</t>
        </is>
      </c>
      <c r="B344" s="1" t="n">
        <v>46163</v>
      </c>
      <c r="C344" s="1" t="n">
        <v>46204</v>
      </c>
      <c r="D344" t="inlineStr">
        <is>
          <t>GÄVLEBORGS LÄN</t>
        </is>
      </c>
      <c r="E344" t="inlineStr">
        <is>
          <t>SÖDERHAMN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23469-2026</t>
        </is>
      </c>
      <c r="B345" s="1" t="n">
        <v>46163</v>
      </c>
      <c r="C345" s="1" t="n">
        <v>46204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23651-2026</t>
        </is>
      </c>
      <c r="B346" s="1" t="n">
        <v>46164</v>
      </c>
      <c r="C346" s="1" t="n">
        <v>46204</v>
      </c>
      <c r="D346" t="inlineStr">
        <is>
          <t>GÄVLEBORGS LÄN</t>
        </is>
      </c>
      <c r="E346" t="inlineStr">
        <is>
          <t>SÖDERHAMN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24910-2024</t>
        </is>
      </c>
      <c r="B347" s="1" t="n">
        <v>45461</v>
      </c>
      <c r="C347" s="1" t="n">
        <v>46204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204-2026</t>
        </is>
      </c>
      <c r="B348" s="1" t="n">
        <v>46026</v>
      </c>
      <c r="C348" s="1" t="n">
        <v>46204</v>
      </c>
      <c r="D348" t="inlineStr">
        <is>
          <t>GÄVLEBORGS LÄN</t>
        </is>
      </c>
      <c r="E348" t="inlineStr">
        <is>
          <t>SÖDERHAMN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206-2026</t>
        </is>
      </c>
      <c r="B349" s="1" t="n">
        <v>46026</v>
      </c>
      <c r="C349" s="1" t="n">
        <v>46204</v>
      </c>
      <c r="D349" t="inlineStr">
        <is>
          <t>GÄVLEBORGS LÄN</t>
        </is>
      </c>
      <c r="E349" t="inlineStr">
        <is>
          <t>SÖDERHAMN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201-2026</t>
        </is>
      </c>
      <c r="B350" s="1" t="n">
        <v>46026</v>
      </c>
      <c r="C350" s="1" t="n">
        <v>46204</v>
      </c>
      <c r="D350" t="inlineStr">
        <is>
          <t>GÄVLEBORGS LÄN</t>
        </is>
      </c>
      <c r="E350" t="inlineStr">
        <is>
          <t>SÖDERHAMN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34976-2024</t>
        </is>
      </c>
      <c r="B351" s="1" t="n">
        <v>45527</v>
      </c>
      <c r="C351" s="1" t="n">
        <v>46204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200-2026</t>
        </is>
      </c>
      <c r="B352" s="1" t="n">
        <v>46026</v>
      </c>
      <c r="C352" s="1" t="n">
        <v>46204</v>
      </c>
      <c r="D352" t="inlineStr">
        <is>
          <t>GÄVLEBORGS LÄN</t>
        </is>
      </c>
      <c r="E352" t="inlineStr">
        <is>
          <t>SÖDERHAMN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202-2026</t>
        </is>
      </c>
      <c r="B353" s="1" t="n">
        <v>46026</v>
      </c>
      <c r="C353" s="1" t="n">
        <v>46204</v>
      </c>
      <c r="D353" t="inlineStr">
        <is>
          <t>GÄVLEBORGS LÄN</t>
        </is>
      </c>
      <c r="E353" t="inlineStr">
        <is>
          <t>SÖDERHAMN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437-2026</t>
        </is>
      </c>
      <c r="B354" s="1" t="n">
        <v>46029</v>
      </c>
      <c r="C354" s="1" t="n">
        <v>46204</v>
      </c>
      <c r="D354" t="inlineStr">
        <is>
          <t>GÄVLEBORGS LÄN</t>
        </is>
      </c>
      <c r="E354" t="inlineStr">
        <is>
          <t>SÖDERHAMN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23870-2026</t>
        </is>
      </c>
      <c r="B355" s="1" t="n">
        <v>46167</v>
      </c>
      <c r="C355" s="1" t="n">
        <v>46204</v>
      </c>
      <c r="D355" t="inlineStr">
        <is>
          <t>GÄVLEBORGS LÄN</t>
        </is>
      </c>
      <c r="E355" t="inlineStr">
        <is>
          <t>SÖDERHAMN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14128-2022</t>
        </is>
      </c>
      <c r="B356" s="1" t="n">
        <v>44651</v>
      </c>
      <c r="C356" s="1" t="n">
        <v>46204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1001-2026</t>
        </is>
      </c>
      <c r="B357" s="1" t="n">
        <v>46030</v>
      </c>
      <c r="C357" s="1" t="n">
        <v>46204</v>
      </c>
      <c r="D357" t="inlineStr">
        <is>
          <t>GÄVLEBORGS LÄN</t>
        </is>
      </c>
      <c r="E357" t="inlineStr">
        <is>
          <t>SÖDERHAMN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7979-2025</t>
        </is>
      </c>
      <c r="B358" s="1" t="n">
        <v>45707</v>
      </c>
      <c r="C358" s="1" t="n">
        <v>46204</v>
      </c>
      <c r="D358" t="inlineStr">
        <is>
          <t>GÄVLEBORGS LÄN</t>
        </is>
      </c>
      <c r="E358" t="inlineStr">
        <is>
          <t>SÖDERHAMN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1512-2026</t>
        </is>
      </c>
      <c r="B359" s="1" t="n">
        <v>46034</v>
      </c>
      <c r="C359" s="1" t="n">
        <v>46204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1701-2026</t>
        </is>
      </c>
      <c r="B360" s="1" t="n">
        <v>46034</v>
      </c>
      <c r="C360" s="1" t="n">
        <v>46204</v>
      </c>
      <c r="D360" t="inlineStr">
        <is>
          <t>GÄVLEBORGS LÄN</t>
        </is>
      </c>
      <c r="E360" t="inlineStr">
        <is>
          <t>SÖDERHAMN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1518-2026</t>
        </is>
      </c>
      <c r="B361" s="1" t="n">
        <v>46034</v>
      </c>
      <c r="C361" s="1" t="n">
        <v>46204</v>
      </c>
      <c r="D361" t="inlineStr">
        <is>
          <t>GÄVLEBORGS LÄN</t>
        </is>
      </c>
      <c r="E361" t="inlineStr">
        <is>
          <t>SÖDERHAMN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1980-2026</t>
        </is>
      </c>
      <c r="B362" s="1" t="n">
        <v>46035</v>
      </c>
      <c r="C362" s="1" t="n">
        <v>46204</v>
      </c>
      <c r="D362" t="inlineStr">
        <is>
          <t>GÄVLEBORGS LÄN</t>
        </is>
      </c>
      <c r="E362" t="inlineStr">
        <is>
          <t>SÖDERHAMN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2001-2026</t>
        </is>
      </c>
      <c r="B363" s="1" t="n">
        <v>46035</v>
      </c>
      <c r="C363" s="1" t="n">
        <v>46204</v>
      </c>
      <c r="D363" t="inlineStr">
        <is>
          <t>GÄVLEBORGS LÄN</t>
        </is>
      </c>
      <c r="E363" t="inlineStr">
        <is>
          <t>SÖDERHAMN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167-2026</t>
        </is>
      </c>
      <c r="B364" s="1" t="n">
        <v>46024</v>
      </c>
      <c r="C364" s="1" t="n">
        <v>46204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1537-2026</t>
        </is>
      </c>
      <c r="B365" s="1" t="n">
        <v>46034</v>
      </c>
      <c r="C365" s="1" t="n">
        <v>46204</v>
      </c>
      <c r="D365" t="inlineStr">
        <is>
          <t>GÄVLEBORGS LÄN</t>
        </is>
      </c>
      <c r="E365" t="inlineStr">
        <is>
          <t>SÖDERHAMN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1990-2026</t>
        </is>
      </c>
      <c r="B366" s="1" t="n">
        <v>46035</v>
      </c>
      <c r="C366" s="1" t="n">
        <v>46204</v>
      </c>
      <c r="D366" t="inlineStr">
        <is>
          <t>GÄVLEBORGS LÄN</t>
        </is>
      </c>
      <c r="E366" t="inlineStr">
        <is>
          <t>SÖDERHAMN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16340-2023</t>
        </is>
      </c>
      <c r="B367" s="1" t="n">
        <v>45028</v>
      </c>
      <c r="C367" s="1" t="n">
        <v>46204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168-2026</t>
        </is>
      </c>
      <c r="B368" s="1" t="n">
        <v>46024</v>
      </c>
      <c r="C368" s="1" t="n">
        <v>46204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1991-2026</t>
        </is>
      </c>
      <c r="B369" s="1" t="n">
        <v>46035</v>
      </c>
      <c r="C369" s="1" t="n">
        <v>46204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102-2026</t>
        </is>
      </c>
      <c r="B370" s="1" t="n">
        <v>46024</v>
      </c>
      <c r="C370" s="1" t="n">
        <v>46204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2622-2026</t>
        </is>
      </c>
      <c r="B371" s="1" t="n">
        <v>46037</v>
      </c>
      <c r="C371" s="1" t="n">
        <v>46204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24097-2026</t>
        </is>
      </c>
      <c r="B372" s="1" t="n">
        <v>46168</v>
      </c>
      <c r="C372" s="1" t="n">
        <v>46204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2227-2026</t>
        </is>
      </c>
      <c r="B373" s="1" t="n">
        <v>46036</v>
      </c>
      <c r="C373" s="1" t="n">
        <v>46204</v>
      </c>
      <c r="D373" t="inlineStr">
        <is>
          <t>GÄVLEBORGS LÄN</t>
        </is>
      </c>
      <c r="E373" t="inlineStr">
        <is>
          <t>SÖDERHAMN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63431-2021</t>
        </is>
      </c>
      <c r="B374" s="1" t="n">
        <v>44508</v>
      </c>
      <c r="C374" s="1" t="n">
        <v>46204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2398-2026</t>
        </is>
      </c>
      <c r="B375" s="1" t="n">
        <v>46036</v>
      </c>
      <c r="C375" s="1" t="n">
        <v>46204</v>
      </c>
      <c r="D375" t="inlineStr">
        <is>
          <t>GÄVLEBORGS LÄN</t>
        </is>
      </c>
      <c r="E375" t="inlineStr">
        <is>
          <t>SÖDERHAMN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39916-2021</t>
        </is>
      </c>
      <c r="B376" s="1" t="n">
        <v>44417</v>
      </c>
      <c r="C376" s="1" t="n">
        <v>46204</v>
      </c>
      <c r="D376" t="inlineStr">
        <is>
          <t>GÄVLEBORGS LÄN</t>
        </is>
      </c>
      <c r="E376" t="inlineStr">
        <is>
          <t>SÖDERHAMN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2619-2026</t>
        </is>
      </c>
      <c r="B377" s="1" t="n">
        <v>46037</v>
      </c>
      <c r="C377" s="1" t="n">
        <v>46204</v>
      </c>
      <c r="D377" t="inlineStr">
        <is>
          <t>GÄVLEBORGS LÄN</t>
        </is>
      </c>
      <c r="E377" t="inlineStr">
        <is>
          <t>SÖDERHAMN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2621-2026</t>
        </is>
      </c>
      <c r="B378" s="1" t="n">
        <v>46037</v>
      </c>
      <c r="C378" s="1" t="n">
        <v>46204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13805-2022</t>
        </is>
      </c>
      <c r="B379" s="1" t="n">
        <v>44649</v>
      </c>
      <c r="C379" s="1" t="n">
        <v>46204</v>
      </c>
      <c r="D379" t="inlineStr">
        <is>
          <t>GÄVLEBORGS LÄN</t>
        </is>
      </c>
      <c r="E379" t="inlineStr">
        <is>
          <t>SÖDERHAMN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14498-2023</t>
        </is>
      </c>
      <c r="B380" s="1" t="n">
        <v>45012</v>
      </c>
      <c r="C380" s="1" t="n">
        <v>46204</v>
      </c>
      <c r="D380" t="inlineStr">
        <is>
          <t>GÄVLEBORGS LÄN</t>
        </is>
      </c>
      <c r="E380" t="inlineStr">
        <is>
          <t>SÖDERHAMN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11653-2024</t>
        </is>
      </c>
      <c r="B381" s="1" t="n">
        <v>45373</v>
      </c>
      <c r="C381" s="1" t="n">
        <v>46204</v>
      </c>
      <c r="D381" t="inlineStr">
        <is>
          <t>GÄVLEBORGS LÄN</t>
        </is>
      </c>
      <c r="E381" t="inlineStr">
        <is>
          <t>SÖDERHAMN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3118-2026</t>
        </is>
      </c>
      <c r="B382" s="1" t="n">
        <v>46041</v>
      </c>
      <c r="C382" s="1" t="n">
        <v>46204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18468-2026</t>
        </is>
      </c>
      <c r="B383" s="1" t="n">
        <v>46127</v>
      </c>
      <c r="C383" s="1" t="n">
        <v>46204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3840-2026</t>
        </is>
      </c>
      <c r="B384" s="1" t="n">
        <v>46043</v>
      </c>
      <c r="C384" s="1" t="n">
        <v>46204</v>
      </c>
      <c r="D384" t="inlineStr">
        <is>
          <t>GÄVLEBORGS LÄN</t>
        </is>
      </c>
      <c r="E384" t="inlineStr">
        <is>
          <t>SÖDERHAMN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51986-2024</t>
        </is>
      </c>
      <c r="B385" s="1" t="n">
        <v>45607</v>
      </c>
      <c r="C385" s="1" t="n">
        <v>46204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56933-2024</t>
        </is>
      </c>
      <c r="B386" s="1" t="n">
        <v>45628</v>
      </c>
      <c r="C386" s="1" t="n">
        <v>46204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3753-2026</t>
        </is>
      </c>
      <c r="B387" s="1" t="n">
        <v>46043</v>
      </c>
      <c r="C387" s="1" t="n">
        <v>46204</v>
      </c>
      <c r="D387" t="inlineStr">
        <is>
          <t>GÄVLEBORGS LÄN</t>
        </is>
      </c>
      <c r="E387" t="inlineStr">
        <is>
          <t>SÖDERHAMN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3857-2026</t>
        </is>
      </c>
      <c r="B388" s="1" t="n">
        <v>46043</v>
      </c>
      <c r="C388" s="1" t="n">
        <v>46204</v>
      </c>
      <c r="D388" t="inlineStr">
        <is>
          <t>GÄVLEBORGS LÄN</t>
        </is>
      </c>
      <c r="E388" t="inlineStr">
        <is>
          <t>SÖDERHAMN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3793-2026</t>
        </is>
      </c>
      <c r="B389" s="1" t="n">
        <v>46043</v>
      </c>
      <c r="C389" s="1" t="n">
        <v>46204</v>
      </c>
      <c r="D389" t="inlineStr">
        <is>
          <t>GÄVLEBORGS LÄN</t>
        </is>
      </c>
      <c r="E389" t="inlineStr">
        <is>
          <t>SÖDERHAMN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23825-2026</t>
        </is>
      </c>
      <c r="B390" s="1" t="n">
        <v>46165</v>
      </c>
      <c r="C390" s="1" t="n">
        <v>46204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4356-2026</t>
        </is>
      </c>
      <c r="B391" s="1" t="n">
        <v>46045</v>
      </c>
      <c r="C391" s="1" t="n">
        <v>46204</v>
      </c>
      <c r="D391" t="inlineStr">
        <is>
          <t>GÄVLEBORGS LÄN</t>
        </is>
      </c>
      <c r="E391" t="inlineStr">
        <is>
          <t>SÖDERHAMN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4060-2026</t>
        </is>
      </c>
      <c r="B392" s="1" t="n">
        <v>46044</v>
      </c>
      <c r="C392" s="1" t="n">
        <v>46204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4031-2026</t>
        </is>
      </c>
      <c r="B393" s="1" t="n">
        <v>46044</v>
      </c>
      <c r="C393" s="1" t="n">
        <v>46204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55713-2024</t>
        </is>
      </c>
      <c r="B394" s="1" t="n">
        <v>45622</v>
      </c>
      <c r="C394" s="1" t="n">
        <v>46204</v>
      </c>
      <c r="D394" t="inlineStr">
        <is>
          <t>GÄVLEBORGS LÄN</t>
        </is>
      </c>
      <c r="E394" t="inlineStr">
        <is>
          <t>SÖDERHAMN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55715-2024</t>
        </is>
      </c>
      <c r="B395" s="1" t="n">
        <v>45622</v>
      </c>
      <c r="C395" s="1" t="n">
        <v>46204</v>
      </c>
      <c r="D395" t="inlineStr">
        <is>
          <t>GÄVLEBORGS LÄN</t>
        </is>
      </c>
      <c r="E395" t="inlineStr">
        <is>
          <t>SÖDERHAMN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3974-2026</t>
        </is>
      </c>
      <c r="B396" s="1" t="n">
        <v>46044</v>
      </c>
      <c r="C396" s="1" t="n">
        <v>46204</v>
      </c>
      <c r="D396" t="inlineStr">
        <is>
          <t>GÄVLEBORGS LÄN</t>
        </is>
      </c>
      <c r="E396" t="inlineStr">
        <is>
          <t>SÖDERHAMN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50842-2024</t>
        </is>
      </c>
      <c r="B397" s="1" t="n">
        <v>45602</v>
      </c>
      <c r="C397" s="1" t="n">
        <v>46204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42035-2024</t>
        </is>
      </c>
      <c r="B398" s="1" t="n">
        <v>45561</v>
      </c>
      <c r="C398" s="1" t="n">
        <v>46204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5119-2026</t>
        </is>
      </c>
      <c r="B399" s="1" t="n">
        <v>46049</v>
      </c>
      <c r="C399" s="1" t="n">
        <v>46204</v>
      </c>
      <c r="D399" t="inlineStr">
        <is>
          <t>GÄVLEBORGS LÄN</t>
        </is>
      </c>
      <c r="E399" t="inlineStr">
        <is>
          <t>SÖDERHAMN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13288-2026</t>
        </is>
      </c>
      <c r="B400" s="1" t="n">
        <v>46094</v>
      </c>
      <c r="C400" s="1" t="n">
        <v>46204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5077-2026</t>
        </is>
      </c>
      <c r="B401" s="1" t="n">
        <v>46048</v>
      </c>
      <c r="C401" s="1" t="n">
        <v>46204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14960-2024</t>
        </is>
      </c>
      <c r="B402" s="1" t="n">
        <v>45398</v>
      </c>
      <c r="C402" s="1" t="n">
        <v>46204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6336-2026</t>
        </is>
      </c>
      <c r="B403" s="1" t="n">
        <v>46055</v>
      </c>
      <c r="C403" s="1" t="n">
        <v>46204</v>
      </c>
      <c r="D403" t="inlineStr">
        <is>
          <t>GÄVLEBORGS LÄN</t>
        </is>
      </c>
      <c r="E403" t="inlineStr">
        <is>
          <t>SÖDERHAMN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59216-2021</t>
        </is>
      </c>
      <c r="B404" s="1" t="n">
        <v>44490</v>
      </c>
      <c r="C404" s="1" t="n">
        <v>46204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5954-2026</t>
        </is>
      </c>
      <c r="B405" s="1" t="n">
        <v>46052</v>
      </c>
      <c r="C405" s="1" t="n">
        <v>46204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6230-2026</t>
        </is>
      </c>
      <c r="B406" s="1" t="n">
        <v>46055</v>
      </c>
      <c r="C406" s="1" t="n">
        <v>46204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63632-2023</t>
        </is>
      </c>
      <c r="B407" s="1" t="n">
        <v>45275</v>
      </c>
      <c r="C407" s="1" t="n">
        <v>46204</v>
      </c>
      <c r="D407" t="inlineStr">
        <is>
          <t>GÄVLEBORGS LÄN</t>
        </is>
      </c>
      <c r="E407" t="inlineStr">
        <is>
          <t>SÖDERHAMN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18479-2026</t>
        </is>
      </c>
      <c r="B408" s="1" t="n">
        <v>46127</v>
      </c>
      <c r="C408" s="1" t="n">
        <v>46204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6228-2026</t>
        </is>
      </c>
      <c r="B409" s="1" t="n">
        <v>46055</v>
      </c>
      <c r="C409" s="1" t="n">
        <v>46204</v>
      </c>
      <c r="D409" t="inlineStr">
        <is>
          <t>GÄVLEBORGS LÄN</t>
        </is>
      </c>
      <c r="E409" t="inlineStr">
        <is>
          <t>SÖDERHAMN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15499-2025</t>
        </is>
      </c>
      <c r="B410" s="1" t="n">
        <v>45747</v>
      </c>
      <c r="C410" s="1" t="n">
        <v>46204</v>
      </c>
      <c r="D410" t="inlineStr">
        <is>
          <t>GÄVLEBORGS LÄN</t>
        </is>
      </c>
      <c r="E410" t="inlineStr">
        <is>
          <t>SÖDERHAMN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6095-2026</t>
        </is>
      </c>
      <c r="B411" s="1" t="n">
        <v>46052</v>
      </c>
      <c r="C411" s="1" t="n">
        <v>46204</v>
      </c>
      <c r="D411" t="inlineStr">
        <is>
          <t>GÄVLEBORGS LÄN</t>
        </is>
      </c>
      <c r="E411" t="inlineStr">
        <is>
          <t>SÖDERHAMN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6713-2026</t>
        </is>
      </c>
      <c r="B412" s="1" t="n">
        <v>46056</v>
      </c>
      <c r="C412" s="1" t="n">
        <v>46204</v>
      </c>
      <c r="D412" t="inlineStr">
        <is>
          <t>GÄVLEBORGS LÄN</t>
        </is>
      </c>
      <c r="E412" t="inlineStr">
        <is>
          <t>SÖDERHAMN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24912-2026</t>
        </is>
      </c>
      <c r="B413" s="1" t="n">
        <v>46174</v>
      </c>
      <c r="C413" s="1" t="n">
        <v>46204</v>
      </c>
      <c r="D413" t="inlineStr">
        <is>
          <t>GÄVLEBORGS LÄN</t>
        </is>
      </c>
      <c r="E413" t="inlineStr">
        <is>
          <t>SÖDERHAMN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24916-2026</t>
        </is>
      </c>
      <c r="B414" s="1" t="n">
        <v>46174</v>
      </c>
      <c r="C414" s="1" t="n">
        <v>46204</v>
      </c>
      <c r="D414" t="inlineStr">
        <is>
          <t>GÄVLEBORGS LÄN</t>
        </is>
      </c>
      <c r="E414" t="inlineStr">
        <is>
          <t>SÖDERHAMN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18431-2025</t>
        </is>
      </c>
      <c r="B415" s="1" t="n">
        <v>45762</v>
      </c>
      <c r="C415" s="1" t="n">
        <v>46204</v>
      </c>
      <c r="D415" t="inlineStr">
        <is>
          <t>GÄVLEBORGS LÄN</t>
        </is>
      </c>
      <c r="E415" t="inlineStr">
        <is>
          <t>SÖDERHAMN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7018-2026</t>
        </is>
      </c>
      <c r="B416" s="1" t="n">
        <v>46057</v>
      </c>
      <c r="C416" s="1" t="n">
        <v>46204</v>
      </c>
      <c r="D416" t="inlineStr">
        <is>
          <t>GÄVLEBORGS LÄN</t>
        </is>
      </c>
      <c r="E416" t="inlineStr">
        <is>
          <t>SÖDERHAMN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19310-2026</t>
        </is>
      </c>
      <c r="B417" s="1" t="n">
        <v>46133</v>
      </c>
      <c r="C417" s="1" t="n">
        <v>46204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7114-2026</t>
        </is>
      </c>
      <c r="B418" s="1" t="n">
        <v>46058</v>
      </c>
      <c r="C418" s="1" t="n">
        <v>46204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Övriga statliga verk och myndigheter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47288-2023</t>
        </is>
      </c>
      <c r="B419" s="1" t="n">
        <v>45202</v>
      </c>
      <c r="C419" s="1" t="n">
        <v>46204</v>
      </c>
      <c r="D419" t="inlineStr">
        <is>
          <t>GÄVLEBORGS LÄN</t>
        </is>
      </c>
      <c r="E419" t="inlineStr">
        <is>
          <t>SÖDERHAMN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24917-2026</t>
        </is>
      </c>
      <c r="B420" s="1" t="n">
        <v>46174</v>
      </c>
      <c r="C420" s="1" t="n">
        <v>46204</v>
      </c>
      <c r="D420" t="inlineStr">
        <is>
          <t>GÄVLEBORGS LÄN</t>
        </is>
      </c>
      <c r="E420" t="inlineStr">
        <is>
          <t>SÖDERHAMN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24918-2026</t>
        </is>
      </c>
      <c r="B421" s="1" t="n">
        <v>46174</v>
      </c>
      <c r="C421" s="1" t="n">
        <v>46204</v>
      </c>
      <c r="D421" t="inlineStr">
        <is>
          <t>GÄVLEBORGS LÄN</t>
        </is>
      </c>
      <c r="E421" t="inlineStr">
        <is>
          <t>SÖDERHAMN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51553-2024</t>
        </is>
      </c>
      <c r="B422" s="1" t="n">
        <v>45604</v>
      </c>
      <c r="C422" s="1" t="n">
        <v>46204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19109-2026</t>
        </is>
      </c>
      <c r="B423" s="1" t="n">
        <v>46132</v>
      </c>
      <c r="C423" s="1" t="n">
        <v>46204</v>
      </c>
      <c r="D423" t="inlineStr">
        <is>
          <t>GÄVLEBORGS LÄN</t>
        </is>
      </c>
      <c r="E423" t="inlineStr">
        <is>
          <t>SÖDERHAMN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20312-2025</t>
        </is>
      </c>
      <c r="B424" s="1" t="n">
        <v>45775</v>
      </c>
      <c r="C424" s="1" t="n">
        <v>46204</v>
      </c>
      <c r="D424" t="inlineStr">
        <is>
          <t>GÄVLEBORGS LÄN</t>
        </is>
      </c>
      <c r="E424" t="inlineStr">
        <is>
          <t>SÖDERHAMN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24966-2026</t>
        </is>
      </c>
      <c r="B425" s="1" t="n">
        <v>46174</v>
      </c>
      <c r="C425" s="1" t="n">
        <v>46204</v>
      </c>
      <c r="D425" t="inlineStr">
        <is>
          <t>GÄVLEBORGS LÄN</t>
        </is>
      </c>
      <c r="E425" t="inlineStr">
        <is>
          <t>SÖDERHAMN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24921-2026</t>
        </is>
      </c>
      <c r="B426" s="1" t="n">
        <v>46174</v>
      </c>
      <c r="C426" s="1" t="n">
        <v>46204</v>
      </c>
      <c r="D426" t="inlineStr">
        <is>
          <t>GÄVLEBORGS LÄN</t>
        </is>
      </c>
      <c r="E426" t="inlineStr">
        <is>
          <t>SÖDERHAMN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18920-2025</t>
        </is>
      </c>
      <c r="B427" s="1" t="n">
        <v>45764</v>
      </c>
      <c r="C427" s="1" t="n">
        <v>46204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25904-2024</t>
        </is>
      </c>
      <c r="B428" s="1" t="n">
        <v>45467</v>
      </c>
      <c r="C428" s="1" t="n">
        <v>46204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19175-2026</t>
        </is>
      </c>
      <c r="B429" s="1" t="n">
        <v>46132</v>
      </c>
      <c r="C429" s="1" t="n">
        <v>46204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16106-2023</t>
        </is>
      </c>
      <c r="B430" s="1" t="n">
        <v>45027</v>
      </c>
      <c r="C430" s="1" t="n">
        <v>46204</v>
      </c>
      <c r="D430" t="inlineStr">
        <is>
          <t>GÄVLEBORGS LÄN</t>
        </is>
      </c>
      <c r="E430" t="inlineStr">
        <is>
          <t>SÖDERHAMN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25200-2026</t>
        </is>
      </c>
      <c r="B431" s="1" t="n">
        <v>46175</v>
      </c>
      <c r="C431" s="1" t="n">
        <v>46204</v>
      </c>
      <c r="D431" t="inlineStr">
        <is>
          <t>GÄVLEBORGS LÄN</t>
        </is>
      </c>
      <c r="E431" t="inlineStr">
        <is>
          <t>SÖDERHAMN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49305-2023</t>
        </is>
      </c>
      <c r="B432" s="1" t="n">
        <v>45210</v>
      </c>
      <c r="C432" s="1" t="n">
        <v>46204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49306-2023</t>
        </is>
      </c>
      <c r="B433" s="1" t="n">
        <v>45210</v>
      </c>
      <c r="C433" s="1" t="n">
        <v>46204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19647-2026</t>
        </is>
      </c>
      <c r="B434" s="1" t="n">
        <v>46134</v>
      </c>
      <c r="C434" s="1" t="n">
        <v>46204</v>
      </c>
      <c r="D434" t="inlineStr">
        <is>
          <t>GÄVLEBORGS LÄN</t>
        </is>
      </c>
      <c r="E434" t="inlineStr">
        <is>
          <t>SÖDERHAMN</t>
        </is>
      </c>
      <c r="F434" t="inlineStr">
        <is>
          <t>Övriga statliga verk och myndigheter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19726-2026</t>
        </is>
      </c>
      <c r="B435" s="1" t="n">
        <v>46135</v>
      </c>
      <c r="C435" s="1" t="n">
        <v>46204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44681-2024</t>
        </is>
      </c>
      <c r="B436" s="1" t="n">
        <v>45574</v>
      </c>
      <c r="C436" s="1" t="n">
        <v>46204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25477-2026</t>
        </is>
      </c>
      <c r="B437" s="1" t="n">
        <v>46177</v>
      </c>
      <c r="C437" s="1" t="n">
        <v>46204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20286-2023</t>
        </is>
      </c>
      <c r="B438" s="1" t="n">
        <v>45056</v>
      </c>
      <c r="C438" s="1" t="n">
        <v>46204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55240-2024</t>
        </is>
      </c>
      <c r="B439" s="1" t="n">
        <v>45621</v>
      </c>
      <c r="C439" s="1" t="n">
        <v>46204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27862-2023</t>
        </is>
      </c>
      <c r="B440" s="1" t="n">
        <v>45098</v>
      </c>
      <c r="C440" s="1" t="n">
        <v>46204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5886-2023</t>
        </is>
      </c>
      <c r="B441" s="1" t="n">
        <v>44963</v>
      </c>
      <c r="C441" s="1" t="n">
        <v>46204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43191-2024</t>
        </is>
      </c>
      <c r="B442" s="1" t="n">
        <v>45567</v>
      </c>
      <c r="C442" s="1" t="n">
        <v>46204</v>
      </c>
      <c r="D442" t="inlineStr">
        <is>
          <t>GÄVLEBORGS LÄN</t>
        </is>
      </c>
      <c r="E442" t="inlineStr">
        <is>
          <t>SÖDERHAMN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19725-2026</t>
        </is>
      </c>
      <c r="B443" s="1" t="n">
        <v>46135</v>
      </c>
      <c r="C443" s="1" t="n">
        <v>46204</v>
      </c>
      <c r="D443" t="inlineStr">
        <is>
          <t>GÄVLEBORGS LÄN</t>
        </is>
      </c>
      <c r="E443" t="inlineStr">
        <is>
          <t>SÖDERHAMN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19736-2026</t>
        </is>
      </c>
      <c r="B444" s="1" t="n">
        <v>46135</v>
      </c>
      <c r="C444" s="1" t="n">
        <v>46204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624-2026</t>
        </is>
      </c>
      <c r="B445" s="1" t="n">
        <v>46029</v>
      </c>
      <c r="C445" s="1" t="n">
        <v>46204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13124-2026</t>
        </is>
      </c>
      <c r="B446" s="1" t="n">
        <v>46093</v>
      </c>
      <c r="C446" s="1" t="n">
        <v>46204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13117-2026</t>
        </is>
      </c>
      <c r="B447" s="1" t="n">
        <v>46093</v>
      </c>
      <c r="C447" s="1" t="n">
        <v>46204</v>
      </c>
      <c r="D447" t="inlineStr">
        <is>
          <t>GÄVLEBORGS LÄN</t>
        </is>
      </c>
      <c r="E447" t="inlineStr">
        <is>
          <t>SÖDERHAMN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16224-2025</t>
        </is>
      </c>
      <c r="B448" s="1" t="n">
        <v>45750</v>
      </c>
      <c r="C448" s="1" t="n">
        <v>46204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16235-2025</t>
        </is>
      </c>
      <c r="B449" s="1" t="n">
        <v>45750</v>
      </c>
      <c r="C449" s="1" t="n">
        <v>46204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4843-2023</t>
        </is>
      </c>
      <c r="B450" s="1" t="n">
        <v>44957</v>
      </c>
      <c r="C450" s="1" t="n">
        <v>46204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20107-2026</t>
        </is>
      </c>
      <c r="B451" s="1" t="n">
        <v>46136</v>
      </c>
      <c r="C451" s="1" t="n">
        <v>46204</v>
      </c>
      <c r="D451" t="inlineStr">
        <is>
          <t>GÄVLEBORGS LÄN</t>
        </is>
      </c>
      <c r="E451" t="inlineStr">
        <is>
          <t>SÖDERHAMN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7629-2026</t>
        </is>
      </c>
      <c r="B452" s="1" t="n">
        <v>46062</v>
      </c>
      <c r="C452" s="1" t="n">
        <v>46204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12227-2026</t>
        </is>
      </c>
      <c r="B453" s="1" t="n">
        <v>46087</v>
      </c>
      <c r="C453" s="1" t="n">
        <v>46204</v>
      </c>
      <c r="D453" t="inlineStr">
        <is>
          <t>GÄVLEBORGS LÄN</t>
        </is>
      </c>
      <c r="E453" t="inlineStr">
        <is>
          <t>SÖDERHAMN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10876-2026</t>
        </is>
      </c>
      <c r="B454" s="1" t="n">
        <v>46078</v>
      </c>
      <c r="C454" s="1" t="n">
        <v>46204</v>
      </c>
      <c r="D454" t="inlineStr">
        <is>
          <t>GÄVLEBORGS LÄN</t>
        </is>
      </c>
      <c r="E454" t="inlineStr">
        <is>
          <t>SÖDERHAMN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7341-2026</t>
        </is>
      </c>
      <c r="B455" s="1" t="n">
        <v>46058</v>
      </c>
      <c r="C455" s="1" t="n">
        <v>46204</v>
      </c>
      <c r="D455" t="inlineStr">
        <is>
          <t>GÄVLEBORGS LÄN</t>
        </is>
      </c>
      <c r="E455" t="inlineStr">
        <is>
          <t>SÖDERHAMN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58610-2023</t>
        </is>
      </c>
      <c r="B456" s="1" t="n">
        <v>45251</v>
      </c>
      <c r="C456" s="1" t="n">
        <v>46204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42409-2025</t>
        </is>
      </c>
      <c r="B457" s="1" t="n">
        <v>45905</v>
      </c>
      <c r="C457" s="1" t="n">
        <v>46204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49762-2024</t>
        </is>
      </c>
      <c r="B458" s="1" t="n">
        <v>45597</v>
      </c>
      <c r="C458" s="1" t="n">
        <v>46204</v>
      </c>
      <c r="D458" t="inlineStr">
        <is>
          <t>GÄVLEBORGS LÄN</t>
        </is>
      </c>
      <c r="E458" t="inlineStr">
        <is>
          <t>SÖDERHAMN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57753-2023</t>
        </is>
      </c>
      <c r="B459" s="1" t="n">
        <v>45246</v>
      </c>
      <c r="C459" s="1" t="n">
        <v>46204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72644-2021</t>
        </is>
      </c>
      <c r="B460" s="1" t="n">
        <v>44546</v>
      </c>
      <c r="C460" s="1" t="n">
        <v>46204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19174-2026</t>
        </is>
      </c>
      <c r="B461" s="1" t="n">
        <v>46132</v>
      </c>
      <c r="C461" s="1" t="n">
        <v>46204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23189-2025</t>
        </is>
      </c>
      <c r="B462" s="1" t="n">
        <v>45791</v>
      </c>
      <c r="C462" s="1" t="n">
        <v>46204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25552-2026</t>
        </is>
      </c>
      <c r="B463" s="1" t="n">
        <v>46177</v>
      </c>
      <c r="C463" s="1" t="n">
        <v>46204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26013-2026</t>
        </is>
      </c>
      <c r="B464" s="1" t="n">
        <v>46181</v>
      </c>
      <c r="C464" s="1" t="n">
        <v>46204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58141-2024</t>
        </is>
      </c>
      <c r="B465" s="1" t="n">
        <v>45632</v>
      </c>
      <c r="C465" s="1" t="n">
        <v>46204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21283-2023</t>
        </is>
      </c>
      <c r="B466" s="1" t="n">
        <v>45062</v>
      </c>
      <c r="C466" s="1" t="n">
        <v>46204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3309-2026</t>
        </is>
      </c>
      <c r="B467" s="1" t="n">
        <v>46041</v>
      </c>
      <c r="C467" s="1" t="n">
        <v>46204</v>
      </c>
      <c r="D467" t="inlineStr">
        <is>
          <t>GÄVLEBORGS LÄN</t>
        </is>
      </c>
      <c r="E467" t="inlineStr">
        <is>
          <t>SÖDERHAMN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55383-2025</t>
        </is>
      </c>
      <c r="B468" s="1" t="n">
        <v>45971</v>
      </c>
      <c r="C468" s="1" t="n">
        <v>46204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3167-2026</t>
        </is>
      </c>
      <c r="B469" s="1" t="n">
        <v>46041</v>
      </c>
      <c r="C469" s="1" t="n">
        <v>46204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31176-2023</t>
        </is>
      </c>
      <c r="B470" s="1" t="n">
        <v>45113</v>
      </c>
      <c r="C470" s="1" t="n">
        <v>46204</v>
      </c>
      <c r="D470" t="inlineStr">
        <is>
          <t>GÄVLEBORGS LÄN</t>
        </is>
      </c>
      <c r="E470" t="inlineStr">
        <is>
          <t>SÖDERHAMN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2266-2026</t>
        </is>
      </c>
      <c r="B471" s="1" t="n">
        <v>46036</v>
      </c>
      <c r="C471" s="1" t="n">
        <v>46204</v>
      </c>
      <c r="D471" t="inlineStr">
        <is>
          <t>GÄVLEBORGS LÄN</t>
        </is>
      </c>
      <c r="E471" t="inlineStr">
        <is>
          <t>SÖDERHAMN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3985-2026</t>
        </is>
      </c>
      <c r="B472" s="1" t="n">
        <v>46044</v>
      </c>
      <c r="C472" s="1" t="n">
        <v>46204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5328-2026</t>
        </is>
      </c>
      <c r="B473" s="1" t="n">
        <v>46050</v>
      </c>
      <c r="C473" s="1" t="n">
        <v>46204</v>
      </c>
      <c r="D473" t="inlineStr">
        <is>
          <t>GÄVLEBORGS LÄN</t>
        </is>
      </c>
      <c r="E473" t="inlineStr">
        <is>
          <t>SÖDERHAMN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48797-2024</t>
        </is>
      </c>
      <c r="B474" s="1" t="n">
        <v>45593</v>
      </c>
      <c r="C474" s="1" t="n">
        <v>46204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20289-2026</t>
        </is>
      </c>
      <c r="B475" s="1" t="n">
        <v>46139</v>
      </c>
      <c r="C475" s="1" t="n">
        <v>46204</v>
      </c>
      <c r="D475" t="inlineStr">
        <is>
          <t>GÄVLEBORGS LÄN</t>
        </is>
      </c>
      <c r="E475" t="inlineStr">
        <is>
          <t>SÖDERHAMN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18466-2024</t>
        </is>
      </c>
      <c r="B476" s="1" t="n">
        <v>45425</v>
      </c>
      <c r="C476" s="1" t="n">
        <v>46204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47794-2024</t>
        </is>
      </c>
      <c r="B477" s="1" t="n">
        <v>45588</v>
      </c>
      <c r="C477" s="1" t="n">
        <v>46204</v>
      </c>
      <c r="D477" t="inlineStr">
        <is>
          <t>GÄVLEBORGS LÄN</t>
        </is>
      </c>
      <c r="E477" t="inlineStr">
        <is>
          <t>SÖDERHAMN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40811-2022</t>
        </is>
      </c>
      <c r="B478" s="1" t="n">
        <v>44824</v>
      </c>
      <c r="C478" s="1" t="n">
        <v>46204</v>
      </c>
      <c r="D478" t="inlineStr">
        <is>
          <t>GÄVLEBORGS LÄN</t>
        </is>
      </c>
      <c r="E478" t="inlineStr">
        <is>
          <t>SÖDERHAMN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42549-2024</t>
        </is>
      </c>
      <c r="B479" s="1" t="n">
        <v>45565</v>
      </c>
      <c r="C479" s="1" t="n">
        <v>46204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3855-2026</t>
        </is>
      </c>
      <c r="B480" s="1" t="n">
        <v>46043</v>
      </c>
      <c r="C480" s="1" t="n">
        <v>46204</v>
      </c>
      <c r="D480" t="inlineStr">
        <is>
          <t>GÄVLEBORGS LÄN</t>
        </is>
      </c>
      <c r="E480" t="inlineStr">
        <is>
          <t>SÖDERHAMN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42902-2024</t>
        </is>
      </c>
      <c r="B481" s="1" t="n">
        <v>45566</v>
      </c>
      <c r="C481" s="1" t="n">
        <v>46204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7972-2025</t>
        </is>
      </c>
      <c r="B482" s="1" t="n">
        <v>45707</v>
      </c>
      <c r="C482" s="1" t="n">
        <v>46204</v>
      </c>
      <c r="D482" t="inlineStr">
        <is>
          <t>GÄVLEBORGS LÄN</t>
        </is>
      </c>
      <c r="E482" t="inlineStr">
        <is>
          <t>SÖDERHAMN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57814-2022</t>
        </is>
      </c>
      <c r="B483" s="1" t="n">
        <v>44897</v>
      </c>
      <c r="C483" s="1" t="n">
        <v>46204</v>
      </c>
      <c r="D483" t="inlineStr">
        <is>
          <t>GÄVLEBORGS LÄN</t>
        </is>
      </c>
      <c r="E483" t="inlineStr">
        <is>
          <t>SÖDERHAMN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11823-2026</t>
        </is>
      </c>
      <c r="B484" s="1" t="n">
        <v>46085</v>
      </c>
      <c r="C484" s="1" t="n">
        <v>46204</v>
      </c>
      <c r="D484" t="inlineStr">
        <is>
          <t>GÄVLEBORGS LÄN</t>
        </is>
      </c>
      <c r="E484" t="inlineStr">
        <is>
          <t>SÖDERHAMN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51458-2022</t>
        </is>
      </c>
      <c r="B485" s="1" t="n">
        <v>44869</v>
      </c>
      <c r="C485" s="1" t="n">
        <v>46204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57500-2023</t>
        </is>
      </c>
      <c r="B486" s="1" t="n">
        <v>45246</v>
      </c>
      <c r="C486" s="1" t="n">
        <v>46204</v>
      </c>
      <c r="D486" t="inlineStr">
        <is>
          <t>GÄVLEBORGS LÄN</t>
        </is>
      </c>
      <c r="E486" t="inlineStr">
        <is>
          <t>SÖDERHAMN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24206-2025</t>
        </is>
      </c>
      <c r="B487" s="1" t="n">
        <v>45797</v>
      </c>
      <c r="C487" s="1" t="n">
        <v>46204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28003-2025</t>
        </is>
      </c>
      <c r="B488" s="1" t="n">
        <v>45817</v>
      </c>
      <c r="C488" s="1" t="n">
        <v>46204</v>
      </c>
      <c r="D488" t="inlineStr">
        <is>
          <t>GÄVLEBORGS LÄN</t>
        </is>
      </c>
      <c r="E488" t="inlineStr">
        <is>
          <t>SÖDERHAMN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40793-2024</t>
        </is>
      </c>
      <c r="B489" s="1" t="n">
        <v>45558</v>
      </c>
      <c r="C489" s="1" t="n">
        <v>46204</v>
      </c>
      <c r="D489" t="inlineStr">
        <is>
          <t>GÄVLEBORGS LÄN</t>
        </is>
      </c>
      <c r="E489" t="inlineStr">
        <is>
          <t>SÖDERHAMN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53583-2025</t>
        </is>
      </c>
      <c r="B490" s="1" t="n">
        <v>45960</v>
      </c>
      <c r="C490" s="1" t="n">
        <v>46204</v>
      </c>
      <c r="D490" t="inlineStr">
        <is>
          <t>GÄVLEBORGS LÄN</t>
        </is>
      </c>
      <c r="E490" t="inlineStr">
        <is>
          <t>SÖDERHAMN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54135-2024</t>
        </is>
      </c>
      <c r="B491" s="1" t="n">
        <v>45616</v>
      </c>
      <c r="C491" s="1" t="n">
        <v>46204</v>
      </c>
      <c r="D491" t="inlineStr">
        <is>
          <t>GÄVLEBORGS LÄN</t>
        </is>
      </c>
      <c r="E491" t="inlineStr">
        <is>
          <t>SÖDERHAMN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8663-2026</t>
        </is>
      </c>
      <c r="B492" s="1" t="n">
        <v>46066</v>
      </c>
      <c r="C492" s="1" t="n">
        <v>46204</v>
      </c>
      <c r="D492" t="inlineStr">
        <is>
          <t>GÄVLEBORGS LÄN</t>
        </is>
      </c>
      <c r="E492" t="inlineStr">
        <is>
          <t>SÖDERHAMN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12240-2026</t>
        </is>
      </c>
      <c r="B493" s="1" t="n">
        <v>46087</v>
      </c>
      <c r="C493" s="1" t="n">
        <v>46204</v>
      </c>
      <c r="D493" t="inlineStr">
        <is>
          <t>GÄVLEBORGS LÄN</t>
        </is>
      </c>
      <c r="E493" t="inlineStr">
        <is>
          <t>SÖDERHAMN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42-2026</t>
        </is>
      </c>
      <c r="B494" s="1" t="n">
        <v>46024</v>
      </c>
      <c r="C494" s="1" t="n">
        <v>46204</v>
      </c>
      <c r="D494" t="inlineStr">
        <is>
          <t>GÄVLEBORGS LÄN</t>
        </is>
      </c>
      <c r="E494" t="inlineStr">
        <is>
          <t>SÖDERHAMN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51492-2023</t>
        </is>
      </c>
      <c r="B495" s="1" t="n">
        <v>45222</v>
      </c>
      <c r="C495" s="1" t="n">
        <v>46204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13661-2026</t>
        </is>
      </c>
      <c r="B496" s="1" t="n">
        <v>46097</v>
      </c>
      <c r="C496" s="1" t="n">
        <v>46204</v>
      </c>
      <c r="D496" t="inlineStr">
        <is>
          <t>GÄVLEBORGS LÄN</t>
        </is>
      </c>
      <c r="E496" t="inlineStr">
        <is>
          <t>SÖDERHAMN</t>
        </is>
      </c>
      <c r="G496" t="n">
        <v>14.2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20595-2026</t>
        </is>
      </c>
      <c r="B497" s="1" t="n">
        <v>46140</v>
      </c>
      <c r="C497" s="1" t="n">
        <v>46204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4298-2024</t>
        </is>
      </c>
      <c r="B498" s="1" t="n">
        <v>45324</v>
      </c>
      <c r="C498" s="1" t="n">
        <v>46204</v>
      </c>
      <c r="D498" t="inlineStr">
        <is>
          <t>GÄVLEBORGS LÄN</t>
        </is>
      </c>
      <c r="E498" t="inlineStr">
        <is>
          <t>SÖDERHAMN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26042-2026</t>
        </is>
      </c>
      <c r="B499" s="1" t="n">
        <v>46177</v>
      </c>
      <c r="C499" s="1" t="n">
        <v>46204</v>
      </c>
      <c r="D499" t="inlineStr">
        <is>
          <t>GÄVLEBORGS LÄN</t>
        </is>
      </c>
      <c r="E499" t="inlineStr">
        <is>
          <t>SÖDERHAMN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51292-2023</t>
        </is>
      </c>
      <c r="B500" s="1" t="n">
        <v>45219</v>
      </c>
      <c r="C500" s="1" t="n">
        <v>46204</v>
      </c>
      <c r="D500" t="inlineStr">
        <is>
          <t>GÄVLEBORGS LÄN</t>
        </is>
      </c>
      <c r="E500" t="inlineStr">
        <is>
          <t>SÖDERHAMN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15975-2026</t>
        </is>
      </c>
      <c r="B501" s="1" t="n">
        <v>46108</v>
      </c>
      <c r="C501" s="1" t="n">
        <v>46204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3945-2026</t>
        </is>
      </c>
      <c r="B502" s="1" t="n">
        <v>46043</v>
      </c>
      <c r="C502" s="1" t="n">
        <v>46204</v>
      </c>
      <c r="D502" t="inlineStr">
        <is>
          <t>GÄVLEBORGS LÄN</t>
        </is>
      </c>
      <c r="E502" t="inlineStr">
        <is>
          <t>SÖDERHAMN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3369-2026</t>
        </is>
      </c>
      <c r="B503" s="1" t="n">
        <v>46042</v>
      </c>
      <c r="C503" s="1" t="n">
        <v>46204</v>
      </c>
      <c r="D503" t="inlineStr">
        <is>
          <t>GÄVLEBORGS LÄN</t>
        </is>
      </c>
      <c r="E503" t="inlineStr">
        <is>
          <t>SÖDERHAMN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26213-2026</t>
        </is>
      </c>
      <c r="B504" s="1" t="n">
        <v>46182</v>
      </c>
      <c r="C504" s="1" t="n">
        <v>46204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967-2026</t>
        </is>
      </c>
      <c r="B505" s="1" t="n">
        <v>46030</v>
      </c>
      <c r="C505" s="1" t="n">
        <v>46204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13965-2026</t>
        </is>
      </c>
      <c r="B506" s="1" t="n">
        <v>46098</v>
      </c>
      <c r="C506" s="1" t="n">
        <v>46204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17517-2025</t>
        </is>
      </c>
      <c r="B507" s="1" t="n">
        <v>45757</v>
      </c>
      <c r="C507" s="1" t="n">
        <v>46204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60698-2023</t>
        </is>
      </c>
      <c r="B508" s="1" t="n">
        <v>45260</v>
      </c>
      <c r="C508" s="1" t="n">
        <v>46204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26839-2024</t>
        </is>
      </c>
      <c r="B509" s="1" t="n">
        <v>45470</v>
      </c>
      <c r="C509" s="1" t="n">
        <v>46204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20934-2026</t>
        </is>
      </c>
      <c r="B510" s="1" t="n">
        <v>46142</v>
      </c>
      <c r="C510" s="1" t="n">
        <v>46204</v>
      </c>
      <c r="D510" t="inlineStr">
        <is>
          <t>GÄVLEBORGS LÄN</t>
        </is>
      </c>
      <c r="E510" t="inlineStr">
        <is>
          <t>SÖDERHAMN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16731-2025</t>
        </is>
      </c>
      <c r="B511" s="1" t="n">
        <v>45754</v>
      </c>
      <c r="C511" s="1" t="n">
        <v>46204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27038-2026</t>
        </is>
      </c>
      <c r="B512" s="1" t="n">
        <v>46185</v>
      </c>
      <c r="C512" s="1" t="n">
        <v>46204</v>
      </c>
      <c r="D512" t="inlineStr">
        <is>
          <t>GÄVLEBORGS LÄN</t>
        </is>
      </c>
      <c r="E512" t="inlineStr">
        <is>
          <t>SÖDERHAMN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52518-2024</t>
        </is>
      </c>
      <c r="B513" s="1" t="n">
        <v>45609</v>
      </c>
      <c r="C513" s="1" t="n">
        <v>46204</v>
      </c>
      <c r="D513" t="inlineStr">
        <is>
          <t>GÄVLEBORGS LÄN</t>
        </is>
      </c>
      <c r="E513" t="inlineStr">
        <is>
          <t>SÖDERHAMN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21003-2026</t>
        </is>
      </c>
      <c r="B514" s="1" t="n">
        <v>46142</v>
      </c>
      <c r="C514" s="1" t="n">
        <v>46204</v>
      </c>
      <c r="D514" t="inlineStr">
        <is>
          <t>GÄVLEBORGS LÄN</t>
        </is>
      </c>
      <c r="E514" t="inlineStr">
        <is>
          <t>SÖDERHAMN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254-2022</t>
        </is>
      </c>
      <c r="B515" s="1" t="n">
        <v>44564</v>
      </c>
      <c r="C515" s="1" t="n">
        <v>46204</v>
      </c>
      <c r="D515" t="inlineStr">
        <is>
          <t>GÄVLEBORGS LÄN</t>
        </is>
      </c>
      <c r="E515" t="inlineStr">
        <is>
          <t>SÖDERHAMN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21195-2026</t>
        </is>
      </c>
      <c r="B516" s="1" t="n">
        <v>46146</v>
      </c>
      <c r="C516" s="1" t="n">
        <v>46204</v>
      </c>
      <c r="D516" t="inlineStr">
        <is>
          <t>GÄVLEBORGS LÄN</t>
        </is>
      </c>
      <c r="E516" t="inlineStr">
        <is>
          <t>SÖDERHAMN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55765-2025</t>
        </is>
      </c>
      <c r="B517" s="1" t="n">
        <v>45972</v>
      </c>
      <c r="C517" s="1" t="n">
        <v>46204</v>
      </c>
      <c r="D517" t="inlineStr">
        <is>
          <t>GÄVLEBORGS LÄN</t>
        </is>
      </c>
      <c r="E517" t="inlineStr">
        <is>
          <t>SÖDERHAMN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130-2026</t>
        </is>
      </c>
      <c r="B518" s="1" t="n">
        <v>46024</v>
      </c>
      <c r="C518" s="1" t="n">
        <v>46204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39207-2024</t>
        </is>
      </c>
      <c r="B519" s="1" t="n">
        <v>45548</v>
      </c>
      <c r="C519" s="1" t="n">
        <v>46204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21385-2026</t>
        </is>
      </c>
      <c r="B520" s="1" t="n">
        <v>46147</v>
      </c>
      <c r="C520" s="1" t="n">
        <v>46204</v>
      </c>
      <c r="D520" t="inlineStr">
        <is>
          <t>GÄVLEBORGS LÄN</t>
        </is>
      </c>
      <c r="E520" t="inlineStr">
        <is>
          <t>SÖDERHAMN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2724-2025</t>
        </is>
      </c>
      <c r="B521" s="1" t="n">
        <v>45677</v>
      </c>
      <c r="C521" s="1" t="n">
        <v>46204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56500-2023</t>
        </is>
      </c>
      <c r="B522" s="1" t="n">
        <v>45243</v>
      </c>
      <c r="C522" s="1" t="n">
        <v>46204</v>
      </c>
      <c r="D522" t="inlineStr">
        <is>
          <t>GÄVLEBORGS LÄN</t>
        </is>
      </c>
      <c r="E522" t="inlineStr">
        <is>
          <t>SÖDERHAMN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21387-2026</t>
        </is>
      </c>
      <c r="B523" s="1" t="n">
        <v>46147</v>
      </c>
      <c r="C523" s="1" t="n">
        <v>46204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20806-2026</t>
        </is>
      </c>
      <c r="B524" s="1" t="n">
        <v>46141</v>
      </c>
      <c r="C524" s="1" t="n">
        <v>46204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21059-2026</t>
        </is>
      </c>
      <c r="B525" s="1" t="n">
        <v>46146</v>
      </c>
      <c r="C525" s="1" t="n">
        <v>46204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18195-2023</t>
        </is>
      </c>
      <c r="B526" s="1" t="n">
        <v>45041</v>
      </c>
      <c r="C526" s="1" t="n">
        <v>46204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21699-2026</t>
        </is>
      </c>
      <c r="B527" s="1" t="n">
        <v>46149</v>
      </c>
      <c r="C527" s="1" t="n">
        <v>46204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27130-2026</t>
        </is>
      </c>
      <c r="B528" s="1" t="n">
        <v>46188</v>
      </c>
      <c r="C528" s="1" t="n">
        <v>46204</v>
      </c>
      <c r="D528" t="inlineStr">
        <is>
          <t>GÄVLEBORGS LÄN</t>
        </is>
      </c>
      <c r="E528" t="inlineStr">
        <is>
          <t>SÖDERHAMN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21644-2026</t>
        </is>
      </c>
      <c r="B529" s="1" t="n">
        <v>46149</v>
      </c>
      <c r="C529" s="1" t="n">
        <v>46204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50066-2023</t>
        </is>
      </c>
      <c r="B530" s="1" t="n">
        <v>45215</v>
      </c>
      <c r="C530" s="1" t="n">
        <v>46204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21547-2026</t>
        </is>
      </c>
      <c r="B531" s="1" t="n">
        <v>46148</v>
      </c>
      <c r="C531" s="1" t="n">
        <v>46204</v>
      </c>
      <c r="D531" t="inlineStr">
        <is>
          <t>GÄVLEBORGS LÄN</t>
        </is>
      </c>
      <c r="E531" t="inlineStr">
        <is>
          <t>SÖDERHAMN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46007-2024</t>
        </is>
      </c>
      <c r="B532" s="1" t="n">
        <v>45580</v>
      </c>
      <c r="C532" s="1" t="n">
        <v>46204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21694-2026</t>
        </is>
      </c>
      <c r="B533" s="1" t="n">
        <v>46149</v>
      </c>
      <c r="C533" s="1" t="n">
        <v>46204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21548-2026</t>
        </is>
      </c>
      <c r="B534" s="1" t="n">
        <v>46148</v>
      </c>
      <c r="C534" s="1" t="n">
        <v>46204</v>
      </c>
      <c r="D534" t="inlineStr">
        <is>
          <t>GÄVLEBORGS LÄN</t>
        </is>
      </c>
      <c r="E534" t="inlineStr">
        <is>
          <t>SÖDERHAMN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41649-2024</t>
        </is>
      </c>
      <c r="B535" s="1" t="n">
        <v>45560</v>
      </c>
      <c r="C535" s="1" t="n">
        <v>46204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41650-2024</t>
        </is>
      </c>
      <c r="B536" s="1" t="n">
        <v>45560</v>
      </c>
      <c r="C536" s="1" t="n">
        <v>46204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21690-2026</t>
        </is>
      </c>
      <c r="B537" s="1" t="n">
        <v>46149</v>
      </c>
      <c r="C537" s="1" t="n">
        <v>46204</v>
      </c>
      <c r="D537" t="inlineStr">
        <is>
          <t>GÄVLEBORGS LÄN</t>
        </is>
      </c>
      <c r="E537" t="inlineStr">
        <is>
          <t>SÖDERHAMN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12274-2026</t>
        </is>
      </c>
      <c r="B538" s="1" t="n">
        <v>46087</v>
      </c>
      <c r="C538" s="1" t="n">
        <v>46204</v>
      </c>
      <c r="D538" t="inlineStr">
        <is>
          <t>GÄVLEBORGS LÄN</t>
        </is>
      </c>
      <c r="E538" t="inlineStr">
        <is>
          <t>SÖDERHAMN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29818-2023</t>
        </is>
      </c>
      <c r="B539" s="1" t="n">
        <v>45107</v>
      </c>
      <c r="C539" s="1" t="n">
        <v>46204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51273-2021</t>
        </is>
      </c>
      <c r="B540" s="1" t="n">
        <v>44460</v>
      </c>
      <c r="C540" s="1" t="n">
        <v>46204</v>
      </c>
      <c r="D540" t="inlineStr">
        <is>
          <t>GÄVLEBORGS LÄN</t>
        </is>
      </c>
      <c r="E540" t="inlineStr">
        <is>
          <t>SÖDERHAMN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11075-2023</t>
        </is>
      </c>
      <c r="B541" s="1" t="n">
        <v>44992</v>
      </c>
      <c r="C541" s="1" t="n">
        <v>46204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30336-2022</t>
        </is>
      </c>
      <c r="B542" s="1" t="n">
        <v>44760</v>
      </c>
      <c r="C542" s="1" t="n">
        <v>46204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21913-2026</t>
        </is>
      </c>
      <c r="B543" s="1" t="n">
        <v>46150</v>
      </c>
      <c r="C543" s="1" t="n">
        <v>46204</v>
      </c>
      <c r="D543" t="inlineStr">
        <is>
          <t>GÄVLEBORGS LÄN</t>
        </is>
      </c>
      <c r="E543" t="inlineStr">
        <is>
          <t>SÖDERHAMN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30359-2024</t>
        </is>
      </c>
      <c r="B544" s="1" t="n">
        <v>45491</v>
      </c>
      <c r="C544" s="1" t="n">
        <v>46204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18913-2025</t>
        </is>
      </c>
      <c r="B545" s="1" t="n">
        <v>45764</v>
      </c>
      <c r="C545" s="1" t="n">
        <v>46204</v>
      </c>
      <c r="D545" t="inlineStr">
        <is>
          <t>GÄVLEBORGS LÄN</t>
        </is>
      </c>
      <c r="E545" t="inlineStr">
        <is>
          <t>SÖDERHAMN</t>
        </is>
      </c>
      <c r="F545" t="inlineStr">
        <is>
          <t>Kommuner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28426-2026</t>
        </is>
      </c>
      <c r="B546" s="1" t="n">
        <v>46197</v>
      </c>
      <c r="C546" s="1" t="n">
        <v>46204</v>
      </c>
      <c r="D546" t="inlineStr">
        <is>
          <t>GÄVLEBORGS LÄN</t>
        </is>
      </c>
      <c r="E546" t="inlineStr">
        <is>
          <t>SÖDERHAMN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63932-2023</t>
        </is>
      </c>
      <c r="B547" s="1" t="n">
        <v>45278</v>
      </c>
      <c r="C547" s="1" t="n">
        <v>46204</v>
      </c>
      <c r="D547" t="inlineStr">
        <is>
          <t>GÄVLEBORGS LÄN</t>
        </is>
      </c>
      <c r="E547" t="inlineStr">
        <is>
          <t>SÖDERHAMN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23230-2024</t>
        </is>
      </c>
      <c r="B548" s="1" t="n">
        <v>45453</v>
      </c>
      <c r="C548" s="1" t="n">
        <v>46204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26554-2022</t>
        </is>
      </c>
      <c r="B549" s="1" t="n">
        <v>44739</v>
      </c>
      <c r="C549" s="1" t="n">
        <v>46204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10138-2026</t>
        </is>
      </c>
      <c r="B550" s="1" t="n">
        <v>46076</v>
      </c>
      <c r="C550" s="1" t="n">
        <v>46204</v>
      </c>
      <c r="D550" t="inlineStr">
        <is>
          <t>GÄVLEBORGS LÄN</t>
        </is>
      </c>
      <c r="E550" t="inlineStr">
        <is>
          <t>SÖDERHAMN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28434-2026</t>
        </is>
      </c>
      <c r="B551" s="1" t="n">
        <v>46197</v>
      </c>
      <c r="C551" s="1" t="n">
        <v>46204</v>
      </c>
      <c r="D551" t="inlineStr">
        <is>
          <t>GÄVLEBORGS LÄN</t>
        </is>
      </c>
      <c r="E551" t="inlineStr">
        <is>
          <t>SÖDERHAMN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22543-2026</t>
        </is>
      </c>
      <c r="B552" s="1" t="n">
        <v>46155</v>
      </c>
      <c r="C552" s="1" t="n">
        <v>46204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3031-2022</t>
        </is>
      </c>
      <c r="B553" s="1" t="n">
        <v>44582</v>
      </c>
      <c r="C553" s="1" t="n">
        <v>46204</v>
      </c>
      <c r="D553" t="inlineStr">
        <is>
          <t>GÄVLEBORGS LÄN</t>
        </is>
      </c>
      <c r="E553" t="inlineStr">
        <is>
          <t>SÖDERHAMN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15454-2025</t>
        </is>
      </c>
      <c r="B554" s="1" t="n">
        <v>45747</v>
      </c>
      <c r="C554" s="1" t="n">
        <v>46204</v>
      </c>
      <c r="D554" t="inlineStr">
        <is>
          <t>GÄVLEBORGS LÄN</t>
        </is>
      </c>
      <c r="E554" t="inlineStr">
        <is>
          <t>SÖDERHAMN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37837-2024</t>
        </is>
      </c>
      <c r="B555" s="1" t="n">
        <v>45544</v>
      </c>
      <c r="C555" s="1" t="n">
        <v>46204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22592-2026</t>
        </is>
      </c>
      <c r="B556" s="1" t="n">
        <v>46155</v>
      </c>
      <c r="C556" s="1" t="n">
        <v>46204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26930-2023</t>
        </is>
      </c>
      <c r="B557" s="1" t="n">
        <v>45093</v>
      </c>
      <c r="C557" s="1" t="n">
        <v>46204</v>
      </c>
      <c r="D557" t="inlineStr">
        <is>
          <t>GÄVLEBORGS LÄN</t>
        </is>
      </c>
      <c r="E557" t="inlineStr">
        <is>
          <t>SÖDERHAMN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22507-2026</t>
        </is>
      </c>
      <c r="B558" s="1" t="n">
        <v>46155</v>
      </c>
      <c r="C558" s="1" t="n">
        <v>46204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10763-2025</t>
        </is>
      </c>
      <c r="B559" s="1" t="n">
        <v>45722</v>
      </c>
      <c r="C559" s="1" t="n">
        <v>46204</v>
      </c>
      <c r="D559" t="inlineStr">
        <is>
          <t>GÄVLEBORGS LÄN</t>
        </is>
      </c>
      <c r="E559" t="inlineStr">
        <is>
          <t>SÖDERHAMN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4563-2023</t>
        </is>
      </c>
      <c r="B560" s="1" t="n">
        <v>44956</v>
      </c>
      <c r="C560" s="1" t="n">
        <v>46204</v>
      </c>
      <c r="D560" t="inlineStr">
        <is>
          <t>GÄVLEBORGS LÄN</t>
        </is>
      </c>
      <c r="E560" t="inlineStr">
        <is>
          <t>SÖDERHAMN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22790-2026</t>
        </is>
      </c>
      <c r="B561" s="1" t="n">
        <v>46157</v>
      </c>
      <c r="C561" s="1" t="n">
        <v>46204</v>
      </c>
      <c r="D561" t="inlineStr">
        <is>
          <t>GÄVLEBORGS LÄN</t>
        </is>
      </c>
      <c r="E561" t="inlineStr">
        <is>
          <t>SÖDERHAMN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22791-2026</t>
        </is>
      </c>
      <c r="B562" s="1" t="n">
        <v>46157</v>
      </c>
      <c r="C562" s="1" t="n">
        <v>46204</v>
      </c>
      <c r="D562" t="inlineStr">
        <is>
          <t>GÄVLEBORGS LÄN</t>
        </is>
      </c>
      <c r="E562" t="inlineStr">
        <is>
          <t>SÖDERHAMN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22735-2026</t>
        </is>
      </c>
      <c r="B563" s="1" t="n">
        <v>46157</v>
      </c>
      <c r="C563" s="1" t="n">
        <v>46204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22736-2026</t>
        </is>
      </c>
      <c r="B564" s="1" t="n">
        <v>46157</v>
      </c>
      <c r="C564" s="1" t="n">
        <v>46204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22737-2026</t>
        </is>
      </c>
      <c r="B565" s="1" t="n">
        <v>46157</v>
      </c>
      <c r="C565" s="1" t="n">
        <v>46204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41648-2024</t>
        </is>
      </c>
      <c r="B566" s="1" t="n">
        <v>45560</v>
      </c>
      <c r="C566" s="1" t="n">
        <v>46204</v>
      </c>
      <c r="D566" t="inlineStr">
        <is>
          <t>GÄVLEBORGS LÄN</t>
        </is>
      </c>
      <c r="E566" t="inlineStr">
        <is>
          <t>SÖDERHAMN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59773-2024</t>
        </is>
      </c>
      <c r="B567" s="1" t="n">
        <v>45639</v>
      </c>
      <c r="C567" s="1" t="n">
        <v>46204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11206-2023</t>
        </is>
      </c>
      <c r="B568" s="1" t="n">
        <v>44992</v>
      </c>
      <c r="C568" s="1" t="n">
        <v>46204</v>
      </c>
      <c r="D568" t="inlineStr">
        <is>
          <t>GÄVLEBORGS LÄN</t>
        </is>
      </c>
      <c r="E568" t="inlineStr">
        <is>
          <t>SÖDERHAMN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22725-2026</t>
        </is>
      </c>
      <c r="B569" s="1" t="n">
        <v>46157</v>
      </c>
      <c r="C569" s="1" t="n">
        <v>46204</v>
      </c>
      <c r="D569" t="inlineStr">
        <is>
          <t>GÄVLEBORGS LÄN</t>
        </is>
      </c>
      <c r="E569" t="inlineStr">
        <is>
          <t>SÖDERHAMN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22724-2026</t>
        </is>
      </c>
      <c r="B570" s="1" t="n">
        <v>46157</v>
      </c>
      <c r="C570" s="1" t="n">
        <v>46204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22726-2026</t>
        </is>
      </c>
      <c r="B571" s="1" t="n">
        <v>46157</v>
      </c>
      <c r="C571" s="1" t="n">
        <v>46204</v>
      </c>
      <c r="D571" t="inlineStr">
        <is>
          <t>GÄVLEBORGS LÄN</t>
        </is>
      </c>
      <c r="E571" t="inlineStr">
        <is>
          <t>SÖDERHAMN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14718-2026</t>
        </is>
      </c>
      <c r="B572" s="1" t="n">
        <v>46101</v>
      </c>
      <c r="C572" s="1" t="n">
        <v>46204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22727-2026</t>
        </is>
      </c>
      <c r="B573" s="1" t="n">
        <v>46157</v>
      </c>
      <c r="C573" s="1" t="n">
        <v>46204</v>
      </c>
      <c r="D573" t="inlineStr">
        <is>
          <t>GÄVLEBORGS LÄN</t>
        </is>
      </c>
      <c r="E573" t="inlineStr">
        <is>
          <t>SÖDERHAMN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28340-2024</t>
        </is>
      </c>
      <c r="B574" s="1" t="n">
        <v>45477</v>
      </c>
      <c r="C574" s="1" t="n">
        <v>46204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27151-2023</t>
        </is>
      </c>
      <c r="B575" s="1" t="n">
        <v>45096</v>
      </c>
      <c r="C575" s="1" t="n">
        <v>46204</v>
      </c>
      <c r="D575" t="inlineStr">
        <is>
          <t>GÄVLEBORGS LÄN</t>
        </is>
      </c>
      <c r="E575" t="inlineStr">
        <is>
          <t>SÖDERHAMN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54007-2023</t>
        </is>
      </c>
      <c r="B576" s="1" t="n">
        <v>45231</v>
      </c>
      <c r="C576" s="1" t="n">
        <v>46204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29979-2023</t>
        </is>
      </c>
      <c r="B577" s="1" t="n">
        <v>45108</v>
      </c>
      <c r="C577" s="1" t="n">
        <v>46204</v>
      </c>
      <c r="D577" t="inlineStr">
        <is>
          <t>GÄVLEBORGS LÄN</t>
        </is>
      </c>
      <c r="E577" t="inlineStr">
        <is>
          <t>SÖDERHAMN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28070-2024</t>
        </is>
      </c>
      <c r="B578" s="1" t="n">
        <v>45476</v>
      </c>
      <c r="C578" s="1" t="n">
        <v>46204</v>
      </c>
      <c r="D578" t="inlineStr">
        <is>
          <t>GÄVLEBORGS LÄN</t>
        </is>
      </c>
      <c r="E578" t="inlineStr">
        <is>
          <t>SÖDERHAMN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49786-2024</t>
        </is>
      </c>
      <c r="B579" s="1" t="n">
        <v>45597</v>
      </c>
      <c r="C579" s="1" t="n">
        <v>46204</v>
      </c>
      <c r="D579" t="inlineStr">
        <is>
          <t>GÄVLEBORGS LÄN</t>
        </is>
      </c>
      <c r="E579" t="inlineStr">
        <is>
          <t>SÖDERHAMN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19652-2024</t>
        </is>
      </c>
      <c r="B580" s="1" t="n">
        <v>45432</v>
      </c>
      <c r="C580" s="1" t="n">
        <v>46204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40577-2022</t>
        </is>
      </c>
      <c r="B581" s="1" t="n">
        <v>44823</v>
      </c>
      <c r="C581" s="1" t="n">
        <v>46204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50809-2024</t>
        </is>
      </c>
      <c r="B582" s="1" t="n">
        <v>45602</v>
      </c>
      <c r="C582" s="1" t="n">
        <v>46204</v>
      </c>
      <c r="D582" t="inlineStr">
        <is>
          <t>GÄVLEBORGS LÄN</t>
        </is>
      </c>
      <c r="E582" t="inlineStr">
        <is>
          <t>SÖDERHAMN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19536-2025</t>
        </is>
      </c>
      <c r="B583" s="1" t="n">
        <v>45770</v>
      </c>
      <c r="C583" s="1" t="n">
        <v>46204</v>
      </c>
      <c r="D583" t="inlineStr">
        <is>
          <t>GÄVLEBORGS LÄN</t>
        </is>
      </c>
      <c r="E583" t="inlineStr">
        <is>
          <t>SÖDERHAMN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29982-2023</t>
        </is>
      </c>
      <c r="B584" s="1" t="n">
        <v>45108</v>
      </c>
      <c r="C584" s="1" t="n">
        <v>46204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52519-2024</t>
        </is>
      </c>
      <c r="B585" s="1" t="n">
        <v>45609</v>
      </c>
      <c r="C585" s="1" t="n">
        <v>46204</v>
      </c>
      <c r="D585" t="inlineStr">
        <is>
          <t>GÄVLEBORGS LÄN</t>
        </is>
      </c>
      <c r="E585" t="inlineStr">
        <is>
          <t>SÖDERHAMN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49282-2024</t>
        </is>
      </c>
      <c r="B586" s="1" t="n">
        <v>45595</v>
      </c>
      <c r="C586" s="1" t="n">
        <v>46204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19782-2025</t>
        </is>
      </c>
      <c r="B587" s="1" t="n">
        <v>45771</v>
      </c>
      <c r="C587" s="1" t="n">
        <v>46204</v>
      </c>
      <c r="D587" t="inlineStr">
        <is>
          <t>GÄVLEBORGS LÄN</t>
        </is>
      </c>
      <c r="E587" t="inlineStr">
        <is>
          <t>SÖDERHAMN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19700-2023</t>
        </is>
      </c>
      <c r="B588" s="1" t="n">
        <v>45051</v>
      </c>
      <c r="C588" s="1" t="n">
        <v>46204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48313-2024</t>
        </is>
      </c>
      <c r="B589" s="1" t="n">
        <v>45590</v>
      </c>
      <c r="C589" s="1" t="n">
        <v>46204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7533-2025</t>
        </is>
      </c>
      <c r="B590" s="1" t="n">
        <v>45705</v>
      </c>
      <c r="C590" s="1" t="n">
        <v>46204</v>
      </c>
      <c r="D590" t="inlineStr">
        <is>
          <t>GÄVLEBORGS LÄN</t>
        </is>
      </c>
      <c r="E590" t="inlineStr">
        <is>
          <t>SÖDERHAMN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4497-2024</t>
        </is>
      </c>
      <c r="B591" s="1" t="n">
        <v>45327</v>
      </c>
      <c r="C591" s="1" t="n">
        <v>46204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20456-2024</t>
        </is>
      </c>
      <c r="B592" s="1" t="n">
        <v>45435</v>
      </c>
      <c r="C592" s="1" t="n">
        <v>46204</v>
      </c>
      <c r="D592" t="inlineStr">
        <is>
          <t>GÄVLEBORGS LÄN</t>
        </is>
      </c>
      <c r="E592" t="inlineStr">
        <is>
          <t>SÖDERHAMN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36204-2024</t>
        </is>
      </c>
      <c r="B593" s="1" t="n">
        <v>45534</v>
      </c>
      <c r="C593" s="1" t="n">
        <v>46204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48943-2024</t>
        </is>
      </c>
      <c r="B594" s="1" t="n">
        <v>45594</v>
      </c>
      <c r="C594" s="1" t="n">
        <v>46204</v>
      </c>
      <c r="D594" t="inlineStr">
        <is>
          <t>GÄVLEBORGS LÄN</t>
        </is>
      </c>
      <c r="E594" t="inlineStr">
        <is>
          <t>SÖDERHAMN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18909-2025</t>
        </is>
      </c>
      <c r="B595" s="1" t="n">
        <v>45764</v>
      </c>
      <c r="C595" s="1" t="n">
        <v>46204</v>
      </c>
      <c r="D595" t="inlineStr">
        <is>
          <t>GÄVLEBORGS LÄN</t>
        </is>
      </c>
      <c r="E595" t="inlineStr">
        <is>
          <t>SÖDERHAMN</t>
        </is>
      </c>
      <c r="F595" t="inlineStr">
        <is>
          <t>Kommuner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30928-2023</t>
        </is>
      </c>
      <c r="B596" s="1" t="n">
        <v>45113</v>
      </c>
      <c r="C596" s="1" t="n">
        <v>46204</v>
      </c>
      <c r="D596" t="inlineStr">
        <is>
          <t>GÄVLEBORGS LÄN</t>
        </is>
      </c>
      <c r="E596" t="inlineStr">
        <is>
          <t>SÖDERHAMN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50283-2024</t>
        </is>
      </c>
      <c r="B597" s="1" t="n">
        <v>45600</v>
      </c>
      <c r="C597" s="1" t="n">
        <v>46204</v>
      </c>
      <c r="D597" t="inlineStr">
        <is>
          <t>GÄVLEBORGS LÄN</t>
        </is>
      </c>
      <c r="E597" t="inlineStr">
        <is>
          <t>SÖDERHAMN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15881-2025</t>
        </is>
      </c>
      <c r="B598" s="1" t="n">
        <v>45749</v>
      </c>
      <c r="C598" s="1" t="n">
        <v>46204</v>
      </c>
      <c r="D598" t="inlineStr">
        <is>
          <t>GÄVLEBORGS LÄN</t>
        </is>
      </c>
      <c r="E598" t="inlineStr">
        <is>
          <t>SÖDERHAMN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21252-2025</t>
        </is>
      </c>
      <c r="B599" s="1" t="n">
        <v>45779</v>
      </c>
      <c r="C599" s="1" t="n">
        <v>46204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21327-2025</t>
        </is>
      </c>
      <c r="B600" s="1" t="n">
        <v>45782</v>
      </c>
      <c r="C600" s="1" t="n">
        <v>46204</v>
      </c>
      <c r="D600" t="inlineStr">
        <is>
          <t>GÄVLEBORGS LÄN</t>
        </is>
      </c>
      <c r="E600" t="inlineStr">
        <is>
          <t>SÖDERHAMN</t>
        </is>
      </c>
      <c r="F600" t="inlineStr">
        <is>
          <t>Kyrkan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37916-2024</t>
        </is>
      </c>
      <c r="B601" s="1" t="n">
        <v>45544</v>
      </c>
      <c r="C601" s="1" t="n">
        <v>46204</v>
      </c>
      <c r="D601" t="inlineStr">
        <is>
          <t>GÄVLEBORGS LÄN</t>
        </is>
      </c>
      <c r="E601" t="inlineStr">
        <is>
          <t>SÖDERHAMN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47676-2024</t>
        </is>
      </c>
      <c r="B602" s="1" t="n">
        <v>45588</v>
      </c>
      <c r="C602" s="1" t="n">
        <v>46204</v>
      </c>
      <c r="D602" t="inlineStr">
        <is>
          <t>GÄVLEBORGS LÄN</t>
        </is>
      </c>
      <c r="E602" t="inlineStr">
        <is>
          <t>SÖDERHAMN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36059-2023</t>
        </is>
      </c>
      <c r="B603" s="1" t="n">
        <v>45149</v>
      </c>
      <c r="C603" s="1" t="n">
        <v>46204</v>
      </c>
      <c r="D603" t="inlineStr">
        <is>
          <t>GÄVLEBORGS LÄN</t>
        </is>
      </c>
      <c r="E603" t="inlineStr">
        <is>
          <t>SÖDERHAMN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18189-2024</t>
        </is>
      </c>
      <c r="B604" s="1" t="n">
        <v>45420</v>
      </c>
      <c r="C604" s="1" t="n">
        <v>46204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23265-2025</t>
        </is>
      </c>
      <c r="B605" s="1" t="n">
        <v>45791</v>
      </c>
      <c r="C605" s="1" t="n">
        <v>46204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23307-2025</t>
        </is>
      </c>
      <c r="B606" s="1" t="n">
        <v>45791</v>
      </c>
      <c r="C606" s="1" t="n">
        <v>46204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23332-2025</t>
        </is>
      </c>
      <c r="B607" s="1" t="n">
        <v>45791</v>
      </c>
      <c r="C607" s="1" t="n">
        <v>46204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24307-2025</t>
        </is>
      </c>
      <c r="B608" s="1" t="n">
        <v>45797</v>
      </c>
      <c r="C608" s="1" t="n">
        <v>46204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20166-2022</t>
        </is>
      </c>
      <c r="B609" s="1" t="n">
        <v>44698</v>
      </c>
      <c r="C609" s="1" t="n">
        <v>46204</v>
      </c>
      <c r="D609" t="inlineStr">
        <is>
          <t>GÄVLEBORGS LÄN</t>
        </is>
      </c>
      <c r="E609" t="inlineStr">
        <is>
          <t>SÖDERHAMN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24305-2025</t>
        </is>
      </c>
      <c r="B610" s="1" t="n">
        <v>45797</v>
      </c>
      <c r="C610" s="1" t="n">
        <v>46204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34978-2024</t>
        </is>
      </c>
      <c r="B611" s="1" t="n">
        <v>45527</v>
      </c>
      <c r="C611" s="1" t="n">
        <v>46204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21789-2024</t>
        </is>
      </c>
      <c r="B612" s="1" t="n">
        <v>45442</v>
      </c>
      <c r="C612" s="1" t="n">
        <v>46204</v>
      </c>
      <c r="D612" t="inlineStr">
        <is>
          <t>GÄVLEBORGS LÄN</t>
        </is>
      </c>
      <c r="E612" t="inlineStr">
        <is>
          <t>SÖDERHAMN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24417-2025</t>
        </is>
      </c>
      <c r="B613" s="1" t="n">
        <v>45797</v>
      </c>
      <c r="C613" s="1" t="n">
        <v>46204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25900-2024</t>
        </is>
      </c>
      <c r="B614" s="1" t="n">
        <v>45467</v>
      </c>
      <c r="C614" s="1" t="n">
        <v>46204</v>
      </c>
      <c r="D614" t="inlineStr">
        <is>
          <t>GÄVLEBORGS LÄN</t>
        </is>
      </c>
      <c r="E614" t="inlineStr">
        <is>
          <t>SÖDERHAMN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31676-2022</t>
        </is>
      </c>
      <c r="B615" s="1" t="n">
        <v>44776</v>
      </c>
      <c r="C615" s="1" t="n">
        <v>46204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24610-2025</t>
        </is>
      </c>
      <c r="B616" s="1" t="n">
        <v>45798</v>
      </c>
      <c r="C616" s="1" t="n">
        <v>46204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25036-2025</t>
        </is>
      </c>
      <c r="B617" s="1" t="n">
        <v>45799</v>
      </c>
      <c r="C617" s="1" t="n">
        <v>46204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60292-2024</t>
        </is>
      </c>
      <c r="B618" s="1" t="n">
        <v>45643</v>
      </c>
      <c r="C618" s="1" t="n">
        <v>46204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19188-2024</t>
        </is>
      </c>
      <c r="B619" s="1" t="n">
        <v>45428</v>
      </c>
      <c r="C619" s="1" t="n">
        <v>46204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26266-2025</t>
        </is>
      </c>
      <c r="B620" s="1" t="n">
        <v>45805</v>
      </c>
      <c r="C620" s="1" t="n">
        <v>46204</v>
      </c>
      <c r="D620" t="inlineStr">
        <is>
          <t>GÄVLEBORGS LÄN</t>
        </is>
      </c>
      <c r="E620" t="inlineStr">
        <is>
          <t>SÖDERHAMN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26187-2025</t>
        </is>
      </c>
      <c r="B621" s="1" t="n">
        <v>45805</v>
      </c>
      <c r="C621" s="1" t="n">
        <v>46204</v>
      </c>
      <c r="D621" t="inlineStr">
        <is>
          <t>GÄVLEBORGS LÄN</t>
        </is>
      </c>
      <c r="E621" t="inlineStr">
        <is>
          <t>SÖDERHAMN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62903-2023</t>
        </is>
      </c>
      <c r="B622" s="1" t="n">
        <v>45272</v>
      </c>
      <c r="C622" s="1" t="n">
        <v>46204</v>
      </c>
      <c r="D622" t="inlineStr">
        <is>
          <t>GÄVLEBORGS LÄN</t>
        </is>
      </c>
      <c r="E622" t="inlineStr">
        <is>
          <t>SÖDERHAMN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25029-2025</t>
        </is>
      </c>
      <c r="B623" s="1" t="n">
        <v>45799</v>
      </c>
      <c r="C623" s="1" t="n">
        <v>46204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54799-2022</t>
        </is>
      </c>
      <c r="B624" s="1" t="n">
        <v>44883</v>
      </c>
      <c r="C624" s="1" t="n">
        <v>46204</v>
      </c>
      <c r="D624" t="inlineStr">
        <is>
          <t>GÄVLEBORGS LÄN</t>
        </is>
      </c>
      <c r="E624" t="inlineStr">
        <is>
          <t>SÖDERHAMN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26805-2025</t>
        </is>
      </c>
      <c r="B625" s="1" t="n">
        <v>45810</v>
      </c>
      <c r="C625" s="1" t="n">
        <v>46204</v>
      </c>
      <c r="D625" t="inlineStr">
        <is>
          <t>GÄVLEBORGS LÄN</t>
        </is>
      </c>
      <c r="E625" t="inlineStr">
        <is>
          <t>SÖDERHAMN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18466-2025</t>
        </is>
      </c>
      <c r="B626" s="1" t="n">
        <v>45762</v>
      </c>
      <c r="C626" s="1" t="n">
        <v>46204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29036-2025</t>
        </is>
      </c>
      <c r="B627" s="1" t="n">
        <v>45821</v>
      </c>
      <c r="C627" s="1" t="n">
        <v>46204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29456-2025</t>
        </is>
      </c>
      <c r="B628" s="1" t="n">
        <v>45824</v>
      </c>
      <c r="C628" s="1" t="n">
        <v>46204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29459-2025</t>
        </is>
      </c>
      <c r="B629" s="1" t="n">
        <v>45824</v>
      </c>
      <c r="C629" s="1" t="n">
        <v>46204</v>
      </c>
      <c r="D629" t="inlineStr">
        <is>
          <t>GÄVLEBORGS LÄN</t>
        </is>
      </c>
      <c r="E629" t="inlineStr">
        <is>
          <t>SÖDERHAMN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2026-07-01T01:01:25Z</dcterms:created>
  <dcterms:modified xmlns:dcterms="http://purl.org/dc/terms/" xmlns:xsi="http://www.w3.org/2001/XMLSchema-instance" xsi:type="dcterms:W3CDTF">2026-07-01T01:01:25Z</dcterms:modified>
</cp:coreProperties>
</file>