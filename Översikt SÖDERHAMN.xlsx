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45350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45350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65976-2019</t>
        </is>
      </c>
      <c r="B4" s="1" t="n">
        <v>43805</v>
      </c>
      <c r="C4" s="1" t="n">
        <v>45350</v>
      </c>
      <c r="D4" t="inlineStr">
        <is>
          <t>GÄVLEBORGS LÄN</t>
        </is>
      </c>
      <c r="E4" t="inlineStr">
        <is>
          <t>SÖDERHAMN</t>
        </is>
      </c>
      <c r="G4" t="n">
        <v>1.8</v>
      </c>
      <c r="H4" t="n">
        <v>0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Violgubbe
Gul taggsvamp
Kandelabersvamp
Koralltaggsvamp
Skarp dropptaggsvamp</t>
        </is>
      </c>
      <c r="S4">
        <f>HYPERLINK("https://klasma.github.io/Logging_2182/artfynd/A 65976-2019 artfynd.xlsx", "A 65976-2019")</f>
        <v/>
      </c>
      <c r="T4">
        <f>HYPERLINK("https://klasma.github.io/Logging_2182/kartor/A 65976-2019 karta.png", "A 65976-2019")</f>
        <v/>
      </c>
      <c r="V4">
        <f>HYPERLINK("https://klasma.github.io/Logging_2182/klagomål/A 65976-2019 FSC-klagomål.docx", "A 65976-2019")</f>
        <v/>
      </c>
      <c r="W4">
        <f>HYPERLINK("https://klasma.github.io/Logging_2182/klagomålsmail/A 65976-2019 FSC-klagomål mail.docx", "A 65976-2019")</f>
        <v/>
      </c>
      <c r="X4">
        <f>HYPERLINK("https://klasma.github.io/Logging_2182/tillsyn/A 65976-2019 tillsynsbegäran.docx", "A 65976-2019")</f>
        <v/>
      </c>
      <c r="Y4">
        <f>HYPERLINK("https://klasma.github.io/Logging_2182/tillsynsmail/A 65976-2019 tillsynsbegäran mail.docx", "A 65976-2019")</f>
        <v/>
      </c>
    </row>
    <row r="5" ht="15" customHeight="1">
      <c r="A5" t="inlineStr">
        <is>
          <t>A 22767-2023</t>
        </is>
      </c>
      <c r="B5" s="1" t="n">
        <v>45072</v>
      </c>
      <c r="C5" s="1" t="n">
        <v>45350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3.2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Ullticka
Bronshjon
Vedticka
Vågbandad barkbock
Revlummer</t>
        </is>
      </c>
      <c r="S5">
        <f>HYPERLINK("https://klasma.github.io/Logging_2182/artfynd/A 22767-2023 artfynd.xlsx", "A 22767-2023")</f>
        <v/>
      </c>
      <c r="T5">
        <f>HYPERLINK("https://klasma.github.io/Logging_2182/kartor/A 22767-2023 karta.png", "A 22767-2023")</f>
        <v/>
      </c>
      <c r="V5">
        <f>HYPERLINK("https://klasma.github.io/Logging_2182/klagomål/A 22767-2023 FSC-klagomål.docx", "A 22767-2023")</f>
        <v/>
      </c>
      <c r="W5">
        <f>HYPERLINK("https://klasma.github.io/Logging_2182/klagomålsmail/A 22767-2023 FSC-klagomål mail.docx", "A 22767-2023")</f>
        <v/>
      </c>
      <c r="X5">
        <f>HYPERLINK("https://klasma.github.io/Logging_2182/tillsyn/A 22767-2023 tillsynsbegäran.docx", "A 22767-2023")</f>
        <v/>
      </c>
      <c r="Y5">
        <f>HYPERLINK("https://klasma.github.io/Logging_2182/tillsynsmail/A 22767-2023 tillsynsbegäran mail.docx", "A 22767-2023")</f>
        <v/>
      </c>
    </row>
    <row r="6" ht="15" customHeight="1">
      <c r="A6" t="inlineStr">
        <is>
          <t>A 55426-2019</t>
        </is>
      </c>
      <c r="B6" s="1" t="n">
        <v>43756</v>
      </c>
      <c r="C6" s="1" t="n">
        <v>45350</v>
      </c>
      <c r="D6" t="inlineStr">
        <is>
          <t>GÄVLEBORGS LÄN</t>
        </is>
      </c>
      <c r="E6" t="inlineStr">
        <is>
          <t>SÖDERHAMN</t>
        </is>
      </c>
      <c r="G6" t="n">
        <v>2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Tornseglare
Busksångare
Rödvingetrast
Skrattmås</t>
        </is>
      </c>
      <c r="S6">
        <f>HYPERLINK("https://klasma.github.io/Logging_2182/artfynd/A 55426-2019 artfynd.xlsx", "A 55426-2019")</f>
        <v/>
      </c>
      <c r="T6">
        <f>HYPERLINK("https://klasma.github.io/Logging_2182/kartor/A 55426-2019 karta.png", "A 55426-2019")</f>
        <v/>
      </c>
      <c r="V6">
        <f>HYPERLINK("https://klasma.github.io/Logging_2182/klagomål/A 55426-2019 FSC-klagomål.docx", "A 55426-2019")</f>
        <v/>
      </c>
      <c r="W6">
        <f>HYPERLINK("https://klasma.github.io/Logging_2182/klagomålsmail/A 55426-2019 FSC-klagomål mail.docx", "A 55426-2019")</f>
        <v/>
      </c>
      <c r="X6">
        <f>HYPERLINK("https://klasma.github.io/Logging_2182/tillsyn/A 55426-2019 tillsynsbegäran.docx", "A 55426-2019")</f>
        <v/>
      </c>
      <c r="Y6">
        <f>HYPERLINK("https://klasma.github.io/Logging_2182/tillsynsmail/A 55426-2019 tillsynsbegäran mail.docx", "A 55426-2019")</f>
        <v/>
      </c>
      <c r="Z6">
        <f>HYPERLINK("https://klasma.github.io/Logging_2182/fåglar/A 55426-2019 prioriterade fågelarter.docx", "A 55426-2019")</f>
        <v/>
      </c>
    </row>
    <row r="7" ht="15" customHeight="1">
      <c r="A7" t="inlineStr">
        <is>
          <t>A 18274-2023</t>
        </is>
      </c>
      <c r="B7" s="1" t="n">
        <v>45041</v>
      </c>
      <c r="C7" s="1" t="n">
        <v>45350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Mindre hackspett
Rödvingetrast
Talltita
Ärtsångare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33767-2020</t>
        </is>
      </c>
      <c r="B8" s="1" t="n">
        <v>44026</v>
      </c>
      <c r="C8" s="1" t="n">
        <v>45350</v>
      </c>
      <c r="D8" t="inlineStr">
        <is>
          <t>GÄVLEBORGS LÄN</t>
        </is>
      </c>
      <c r="E8" t="inlineStr">
        <is>
          <t>SÖDERHAMN</t>
        </is>
      </c>
      <c r="G8" t="n">
        <v>5.3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Bollvitmossa
Revlummer</t>
        </is>
      </c>
      <c r="S8">
        <f>HYPERLINK("https://klasma.github.io/Logging_2182/artfynd/A 33767-2020 artfynd.xlsx", "A 33767-2020")</f>
        <v/>
      </c>
      <c r="T8">
        <f>HYPERLINK("https://klasma.github.io/Logging_2182/kartor/A 33767-2020 karta.png", "A 33767-2020")</f>
        <v/>
      </c>
      <c r="U8">
        <f>HYPERLINK("https://klasma.github.io/Logging_2182/knärot/A 33767-2020 karta knärot.png", "A 33767-2020")</f>
        <v/>
      </c>
      <c r="V8">
        <f>HYPERLINK("https://klasma.github.io/Logging_2182/klagomål/A 33767-2020 FSC-klagomål.docx", "A 33767-2020")</f>
        <v/>
      </c>
      <c r="W8">
        <f>HYPERLINK("https://klasma.github.io/Logging_2182/klagomålsmail/A 33767-2020 FSC-klagomål mail.docx", "A 33767-2020")</f>
        <v/>
      </c>
      <c r="X8">
        <f>HYPERLINK("https://klasma.github.io/Logging_2182/tillsyn/A 33767-2020 tillsynsbegäran.docx", "A 33767-2020")</f>
        <v/>
      </c>
      <c r="Y8">
        <f>HYPERLINK("https://klasma.github.io/Logging_2182/tillsynsmail/A 33767-2020 tillsynsbegäran mail.docx", "A 33767-2020")</f>
        <v/>
      </c>
    </row>
    <row r="9" ht="15" customHeight="1">
      <c r="A9" t="inlineStr">
        <is>
          <t>A 14181-2022</t>
        </is>
      </c>
      <c r="B9" s="1" t="n">
        <v>44651</v>
      </c>
      <c r="C9" s="1" t="n">
        <v>45350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4.1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Kattfotslav
Vågbandad barkbock</t>
        </is>
      </c>
      <c r="S9">
        <f>HYPERLINK("https://klasma.github.io/Logging_2182/artfynd/A 14181-2022 artfynd.xlsx", "A 14181-2022")</f>
        <v/>
      </c>
      <c r="T9">
        <f>HYPERLINK("https://klasma.github.io/Logging_2182/kartor/A 14181-2022 karta.png", "A 14181-2022")</f>
        <v/>
      </c>
      <c r="V9">
        <f>HYPERLINK("https://klasma.github.io/Logging_2182/klagomål/A 14181-2022 FSC-klagomål.docx", "A 14181-2022")</f>
        <v/>
      </c>
      <c r="W9">
        <f>HYPERLINK("https://klasma.github.io/Logging_2182/klagomålsmail/A 14181-2022 FSC-klagomål mail.docx", "A 14181-2022")</f>
        <v/>
      </c>
      <c r="X9">
        <f>HYPERLINK("https://klasma.github.io/Logging_2182/tillsyn/A 14181-2022 tillsynsbegäran.docx", "A 14181-2022")</f>
        <v/>
      </c>
      <c r="Y9">
        <f>HYPERLINK("https://klasma.github.io/Logging_2182/tillsynsmail/A 14181-2022 tillsynsbegäran mail.docx", "A 14181-2022")</f>
        <v/>
      </c>
    </row>
    <row r="10" ht="15" customHeight="1">
      <c r="A10" t="inlineStr">
        <is>
          <t>A 39885-2023</t>
        </is>
      </c>
      <c r="B10" s="1" t="n">
        <v>45168</v>
      </c>
      <c r="C10" s="1" t="n">
        <v>45350</v>
      </c>
      <c r="D10" t="inlineStr">
        <is>
          <t>GÄVLEBORGS LÄN</t>
        </is>
      </c>
      <c r="E10" t="inlineStr">
        <is>
          <t>SÖDERHAMN</t>
        </is>
      </c>
      <c r="G10" t="n">
        <v>2.9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Hapalopilus aurantiacus
Blodticka
Sotriska</t>
        </is>
      </c>
      <c r="S10">
        <f>HYPERLINK("https://klasma.github.io/Logging_2182/artfynd/A 39885-2023 artfynd.xlsx", "A 39885-2023")</f>
        <v/>
      </c>
      <c r="T10">
        <f>HYPERLINK("https://klasma.github.io/Logging_2182/kartor/A 39885-2023 karta.png", "A 39885-2023")</f>
        <v/>
      </c>
      <c r="V10">
        <f>HYPERLINK("https://klasma.github.io/Logging_2182/klagomål/A 39885-2023 FSC-klagomål.docx", "A 39885-2023")</f>
        <v/>
      </c>
      <c r="W10">
        <f>HYPERLINK("https://klasma.github.io/Logging_2182/klagomålsmail/A 39885-2023 FSC-klagomål mail.docx", "A 39885-2023")</f>
        <v/>
      </c>
      <c r="X10">
        <f>HYPERLINK("https://klasma.github.io/Logging_2182/tillsyn/A 39885-2023 tillsynsbegäran.docx", "A 39885-2023")</f>
        <v/>
      </c>
      <c r="Y10">
        <f>HYPERLINK("https://klasma.github.io/Logging_2182/tillsynsmail/A 39885-2023 tillsynsbegäran mail.docx", "A 39885-2023")</f>
        <v/>
      </c>
    </row>
    <row r="11" ht="15" customHeight="1">
      <c r="A11" t="inlineStr">
        <is>
          <t>A 50217-2023</t>
        </is>
      </c>
      <c r="B11" s="1" t="n">
        <v>45215</v>
      </c>
      <c r="C11" s="1" t="n">
        <v>45350</v>
      </c>
      <c r="D11" t="inlineStr">
        <is>
          <t>GÄVLEBORGS LÄN</t>
        </is>
      </c>
      <c r="E11" t="inlineStr">
        <is>
          <t>SÖDERHAMN</t>
        </is>
      </c>
      <c r="G11" t="n">
        <v>13.6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Dofttaggsvamp
Gropticka
Dropptaggsvamp</t>
        </is>
      </c>
      <c r="S11">
        <f>HYPERLINK("https://klasma.github.io/Logging_2182/artfynd/A 50217-2023 artfynd.xlsx", "A 50217-2023")</f>
        <v/>
      </c>
      <c r="T11">
        <f>HYPERLINK("https://klasma.github.io/Logging_2182/kartor/A 50217-2023 karta.png", "A 50217-2023")</f>
        <v/>
      </c>
      <c r="V11">
        <f>HYPERLINK("https://klasma.github.io/Logging_2182/klagomål/A 50217-2023 FSC-klagomål.docx", "A 50217-2023")</f>
        <v/>
      </c>
      <c r="W11">
        <f>HYPERLINK("https://klasma.github.io/Logging_2182/klagomålsmail/A 50217-2023 FSC-klagomål mail.docx", "A 50217-2023")</f>
        <v/>
      </c>
      <c r="X11">
        <f>HYPERLINK("https://klasma.github.io/Logging_2182/tillsyn/A 50217-2023 tillsynsbegäran.docx", "A 50217-2023")</f>
        <v/>
      </c>
      <c r="Y11">
        <f>HYPERLINK("https://klasma.github.io/Logging_2182/tillsynsmail/A 50217-2023 tillsynsbegäran mail.docx", "A 50217-2023")</f>
        <v/>
      </c>
    </row>
    <row r="12" ht="15" customHeight="1">
      <c r="A12" t="inlineStr">
        <is>
          <t>A 64630-2019</t>
        </is>
      </c>
      <c r="B12" s="1" t="n">
        <v>43798</v>
      </c>
      <c r="C12" s="1" t="n">
        <v>45350</v>
      </c>
      <c r="D12" t="inlineStr">
        <is>
          <t>GÄVLEBORGS LÄN</t>
        </is>
      </c>
      <c r="E12" t="inlineStr">
        <is>
          <t>SÖDERHAMN</t>
        </is>
      </c>
      <c r="G12" t="n">
        <v>8.300000000000001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Violgubbe
Skarp dropptaggsvamp</t>
        </is>
      </c>
      <c r="S12">
        <f>HYPERLINK("https://klasma.github.io/Logging_2182/artfynd/A 64630-2019 artfynd.xlsx", "A 64630-2019")</f>
        <v/>
      </c>
      <c r="T12">
        <f>HYPERLINK("https://klasma.github.io/Logging_2182/kartor/A 64630-2019 karta.png", "A 64630-2019")</f>
        <v/>
      </c>
      <c r="V12">
        <f>HYPERLINK("https://klasma.github.io/Logging_2182/klagomål/A 64630-2019 FSC-klagomål.docx", "A 64630-2019")</f>
        <v/>
      </c>
      <c r="W12">
        <f>HYPERLINK("https://klasma.github.io/Logging_2182/klagomålsmail/A 64630-2019 FSC-klagomål mail.docx", "A 64630-2019")</f>
        <v/>
      </c>
      <c r="X12">
        <f>HYPERLINK("https://klasma.github.io/Logging_2182/tillsyn/A 64630-2019 tillsynsbegäran.docx", "A 64630-2019")</f>
        <v/>
      </c>
      <c r="Y12">
        <f>HYPERLINK("https://klasma.github.io/Logging_2182/tillsynsmail/A 64630-2019 tillsynsbegäran mail.docx", "A 64630-2019")</f>
        <v/>
      </c>
    </row>
    <row r="13" ht="15" customHeight="1">
      <c r="A13" t="inlineStr">
        <is>
          <t>A 21488-2022</t>
        </is>
      </c>
      <c r="B13" s="1" t="n">
        <v>44706</v>
      </c>
      <c r="C13" s="1" t="n">
        <v>45350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Fläcknycklar</t>
        </is>
      </c>
      <c r="S13">
        <f>HYPERLINK("https://klasma.github.io/Logging_2182/artfynd/A 21488-2022 artfynd.xlsx", "A 21488-2022")</f>
        <v/>
      </c>
      <c r="T13">
        <f>HYPERLINK("https://klasma.github.io/Logging_2182/kartor/A 21488-2022 karta.png", "A 21488-2022")</f>
        <v/>
      </c>
      <c r="V13">
        <f>HYPERLINK("https://klasma.github.io/Logging_2182/klagomål/A 21488-2022 FSC-klagomål.docx", "A 21488-2022")</f>
        <v/>
      </c>
      <c r="W13">
        <f>HYPERLINK("https://klasma.github.io/Logging_2182/klagomålsmail/A 21488-2022 FSC-klagomål mail.docx", "A 21488-2022")</f>
        <v/>
      </c>
      <c r="X13">
        <f>HYPERLINK("https://klasma.github.io/Logging_2182/tillsyn/A 21488-2022 tillsynsbegäran.docx", "A 21488-2022")</f>
        <v/>
      </c>
      <c r="Y13">
        <f>HYPERLINK("https://klasma.github.io/Logging_2182/tillsynsmail/A 21488-2022 tillsynsbegäran mail.docx", "A 21488-2022")</f>
        <v/>
      </c>
      <c r="Z13">
        <f>HYPERLINK("https://klasma.github.io/Logging_2182/fåglar/A 21488-2022 prioriterade fågelarter.docx", "A 21488-2022")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45350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45350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45350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45350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45350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45350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45350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45350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45350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45350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45350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45350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45350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45350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45350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45350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45350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45350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45350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45350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45350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45350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45350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45350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45350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45350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45350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45350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45350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45350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45350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45350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45350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45350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45350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45350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45350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45350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45350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45350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45350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45350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45350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45350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45350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45350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45350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45350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45350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45350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45350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45350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45350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45350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45350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45350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45350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45350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45350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45350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45350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45350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45350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45350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45350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45350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45350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45350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45350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45350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45350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45350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45350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45350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45350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45350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45350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45350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45350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45350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45350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45350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45350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45350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45350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45350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45350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45350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45350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45350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45350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45350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45350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45350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45350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45350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45350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45350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45350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45350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45350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45350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45350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45350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45350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45350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45350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45350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45350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45350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45350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45350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45350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45350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45350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45350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45350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45350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45350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45350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45350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45350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45350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45350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45350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45350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45350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45350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45350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45350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45350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45350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45350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45350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45350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45350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45350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45350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45350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45350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45350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45350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45350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45350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45350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45350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45350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45350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45350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45350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45350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45350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45350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45350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45350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45350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45350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45350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45350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45350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45350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45350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45350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45350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45350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45350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45350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45350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45350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45350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45350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45350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45350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45350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45350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45350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45350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45350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45350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45350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45350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45350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45350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45350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45350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45350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45350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45350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45350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45350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45350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45350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45350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45350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45350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45350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45350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45350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45350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45350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45350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45350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45350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45350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45350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45350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45350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45350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45350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45350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45350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45350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45350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45350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45350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45350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45350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45350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45350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45350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45350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45350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45350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45350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45350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45350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45350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45350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45350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45350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45350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45350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45350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45350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45350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45350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45350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45350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45350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45350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45350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45350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45350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45350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45350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45350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45350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45350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45350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45350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45350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45350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45350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45350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45350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45350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45350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45350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45350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45350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45350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45350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45350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45350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45350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45350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45350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45350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45350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45350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45350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45350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45350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45350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45350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45350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45350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45350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45350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45350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45350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45350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45350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45350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45350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45350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45350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45350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45350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45350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45350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45350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45350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45350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45350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45350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45350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45350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45350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45350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45350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45350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45350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45350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45350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45350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45350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45350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45350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45350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45350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45350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45350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45350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45350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45350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45350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45350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45350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45350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45350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45350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45350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45350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45350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45350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45350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45350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45350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45350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45350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45350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45350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45350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45350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45350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45350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45350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45350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45350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45350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45350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45350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45350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45350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45350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45350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45350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45350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45350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45350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45350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45350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45350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45350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45350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45350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45350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45350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45350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45350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45350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45350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45350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45350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45350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45350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45350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45350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45350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45350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45350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45350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45350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45350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45350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45350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45350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45350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45350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45350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45350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45350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45350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45350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45350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45350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45350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45350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45350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45350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45350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45350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45350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45350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45350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45350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45350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45350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45350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45350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45350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45350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45350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45350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45350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45350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45350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45350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45350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45350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45350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45350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45350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45350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45350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45350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45350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45350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45350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45350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45350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45350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45350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45350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45350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45350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45350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45350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45350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45350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45350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45350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45350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45350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45350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45350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45350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45350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45350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45350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45350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45350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45350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45350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45350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45350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45350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45350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45350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45350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45350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45350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45350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45350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45350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45350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45350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45350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45350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45350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45350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45350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45350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45350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45350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45350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45350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45350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45350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45350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45350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45350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45350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45350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45350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45350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45350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45350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45350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45350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45350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45350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45350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45350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45350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45350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45350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45350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45350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45350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45350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45350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45350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45350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45350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45350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45350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45350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45350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45350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45350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45350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45350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45350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45350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45350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45350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45350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45350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45350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45350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45350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45350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45350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45350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45350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45350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45350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45350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45350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45350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45350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45350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45350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45350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45350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45350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45350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45350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45350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45350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45350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45350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45350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45350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45350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45350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45350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45350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45350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45350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45350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45350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45350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45350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45350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45350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45350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45350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45350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45350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45350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45350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45350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45350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45350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45350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45350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45350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45350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45350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45350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45350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45350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45350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45350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45350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45350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45350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45350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45350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45350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45350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45350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45350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45350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45350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45350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45350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45350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45350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45350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45350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45350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45350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45350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45350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45350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45350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45350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45350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45350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45350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45350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45350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45350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45350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45350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45350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45350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45350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45350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45350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45350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45350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45350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45350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45350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45350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6388-2024</t>
        </is>
      </c>
      <c r="B624" s="1" t="n">
        <v>45338</v>
      </c>
      <c r="C624" s="1" t="n">
        <v>45350</v>
      </c>
      <c r="D624" t="inlineStr">
        <is>
          <t>GÄVLEBORGS LÄN</t>
        </is>
      </c>
      <c r="E624" t="inlineStr">
        <is>
          <t>SÖDERHAMN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6378-2024</t>
        </is>
      </c>
      <c r="B625" s="1" t="n">
        <v>45338</v>
      </c>
      <c r="C625" s="1" t="n">
        <v>45350</v>
      </c>
      <c r="D625" t="inlineStr">
        <is>
          <t>GÄVLEBORGS LÄN</t>
        </is>
      </c>
      <c r="E625" t="inlineStr">
        <is>
          <t>SÖDERHAMN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6389-2024</t>
        </is>
      </c>
      <c r="B626" s="1" t="n">
        <v>45338</v>
      </c>
      <c r="C626" s="1" t="n">
        <v>45350</v>
      </c>
      <c r="D626" t="inlineStr">
        <is>
          <t>GÄVLEBORGS LÄN</t>
        </is>
      </c>
      <c r="E626" t="inlineStr">
        <is>
          <t>SÖDERHAMN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6851-2024</t>
        </is>
      </c>
      <c r="B627" s="1" t="n">
        <v>45342</v>
      </c>
      <c r="C627" s="1" t="n">
        <v>45350</v>
      </c>
      <c r="D627" t="inlineStr">
        <is>
          <t>GÄVLEBORGS LÄN</t>
        </is>
      </c>
      <c r="E627" t="inlineStr">
        <is>
          <t>SÖDERHAMN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6792-2024</t>
        </is>
      </c>
      <c r="B628" s="1" t="n">
        <v>45342</v>
      </c>
      <c r="C628" s="1" t="n">
        <v>45350</v>
      </c>
      <c r="D628" t="inlineStr">
        <is>
          <t>GÄVLEBORGS LÄN</t>
        </is>
      </c>
      <c r="E628" t="inlineStr">
        <is>
          <t>SÖDERHAMN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45350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45350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45350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7360-2024</t>
        </is>
      </c>
      <c r="B632" s="1" t="n">
        <v>45345</v>
      </c>
      <c r="C632" s="1" t="n">
        <v>45350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2024-02-28T12:27:28Z</dcterms:created>
  <dcterms:modified xmlns:dcterms="http://purl.org/dc/terms/" xmlns:xsi="http://www.w3.org/2001/XMLSchema-instance" xsi:type="dcterms:W3CDTF">2024-02-28T12:27:29Z</dcterms:modified>
</cp:coreProperties>
</file>