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46229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46229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46229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t="n">
        <v>0</v>
      </c>
      <c r="V14" s="2" t="inlineStr">
        <is>
          <t>Talltita
Grönsiska
Kungsfågel
Fläcknycklar</t>
        </is>
      </c>
      <c r="W14">
        <f>HYPERLINK("https://klasma.github.io/Logging_2182/artfynd/A 17210-2026 artfynd.xlsx", "A 17210-2026")</f>
        <v/>
      </c>
      <c r="X14">
        <f>HYPERLINK("https://klasma.github.io/Logging_2182/kartor/A 17210-2026 karta.png", "A 17210-2026")</f>
        <v/>
      </c>
      <c r="Y14">
        <f>HYPERLINK("https://klasma.github.io/Logging_2182/kartor_geotiff/A 17210-2026 georefererad karta.tif", "A 17210-2026")</f>
        <v/>
      </c>
      <c r="AA14">
        <f>HYPERLINK("https://klasma.github.io/Logging_2182/klagomål/A 17210-2026 FSC-klagomål.docx", "A 17210-2026")</f>
        <v/>
      </c>
      <c r="AB14">
        <f>HYPERLINK("https://klasma.github.io/Logging_2182/klagomålsmail/A 17210-2026 FSC-klagomål mail.docx", "A 17210-2026")</f>
        <v/>
      </c>
      <c r="AC14">
        <f>HYPERLINK("https://klasma.github.io/Logging_2182/tillsyn/A 17210-2026 tillsynsbegäran.docx", "A 17210-2026")</f>
        <v/>
      </c>
      <c r="AD14">
        <f>HYPERLINK("https://klasma.github.io/Logging_2182/tillsynsmail/A 17210-2026 tillsynsbegäran mail.docx", "A 17210-2026")</f>
        <v/>
      </c>
      <c r="AE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46229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46229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46229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46229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46229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46229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46229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46229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46229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46229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46229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46229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46229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41258-2022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44826</v>
      </c>
      <c r="E30" s="1" t="n">
        <v>46229</v>
      </c>
      <c r="F30" t="inlineStr">
        <is>
          <t>GÄVLEBORGS LÄN</t>
        </is>
      </c>
      <c r="G30" t="inlineStr">
        <is>
          <t>SÖDERHAMN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Rosenticka</t>
        </is>
      </c>
      <c r="W30">
        <f>HYPERLINK("https://klasma.github.io/Logging_2182/artfynd/A 41258-2022 artfynd.xlsx", "A 41258-2022")</f>
        <v/>
      </c>
      <c r="X30">
        <f>HYPERLINK("https://klasma.github.io/Logging_2182/kartor/A 41258-2022 karta.png", "A 41258-2022")</f>
        <v/>
      </c>
      <c r="Y30">
        <f>HYPERLINK("https://klasma.github.io/Logging_2182/kartor_geotiff/A 41258-2022 georefererad karta.tif", "A 41258-2022")</f>
        <v/>
      </c>
      <c r="AA30">
        <f>HYPERLINK("https://klasma.github.io/Logging_2182/klagomål/A 41258-2022 FSC-klagomål.docx", "A 41258-2022")</f>
        <v/>
      </c>
      <c r="AB30">
        <f>HYPERLINK("https://klasma.github.io/Logging_2182/klagomålsmail/A 41258-2022 FSC-klagomål mail.docx", "A 41258-2022")</f>
        <v/>
      </c>
      <c r="AC30">
        <f>HYPERLINK("https://klasma.github.io/Logging_2182/tillsyn/A 41258-2022 tillsynsbegäran.docx", "A 41258-2022")</f>
        <v/>
      </c>
      <c r="AD30">
        <f>HYPERLINK("https://klasma.github.io/Logging_2182/tillsynsmail/A 41258-2022 tillsynsbegäran mail.docx", "A 41258-2022")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46229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46229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46229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46229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46229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46229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46229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46229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46229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HYPERLINK("https://klasma.github.io/Logging_2182/artfynd/A 60322-2025 artfynd.xlsx", "A 60322-2025")</f>
        <v/>
      </c>
      <c r="X39">
        <f>HYPERLINK("https://klasma.github.io/Logging_2182/kartor/A 60322-2025 karta.png", "A 60322-2025")</f>
        <v/>
      </c>
      <c r="Y39">
        <f>HYPERLINK("https://klasma.github.io/Logging_2182/kartor_geotiff/A 60322-2025 georefererad karta.tif", "A 60322-2025")</f>
        <v/>
      </c>
      <c r="AA39">
        <f>HYPERLINK("https://klasma.github.io/Logging_2182/klagomål/A 60322-2025 FSC-klagomål.docx", "A 60322-2025")</f>
        <v/>
      </c>
      <c r="AB39">
        <f>HYPERLINK("https://klasma.github.io/Logging_2182/klagomålsmail/A 60322-2025 FSC-klagomål mail.docx", "A 60322-2025")</f>
        <v/>
      </c>
      <c r="AC39">
        <f>HYPERLINK("https://klasma.github.io/Logging_2182/tillsyn/A 60322-2025 tillsynsbegäran.docx", "A 60322-2025")</f>
        <v/>
      </c>
      <c r="AD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46229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58261-2024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46229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58261-2024 artfynd.xlsx", "A 58261-2024")</f>
        <v/>
      </c>
      <c r="X41">
        <f>HYPERLINK("https://klasma.github.io/Logging_2182/kartor/A 58261-2024 karta.png", "A 58261-2024")</f>
        <v/>
      </c>
      <c r="Y41">
        <f>HYPERLINK("https://klasma.github.io/Logging_2182/kartor_geotiff/A 58261-2024 georefererad karta.tif", "A 58261-2024")</f>
        <v/>
      </c>
      <c r="AA41">
        <f>HYPERLINK("https://klasma.github.io/Logging_2182/klagomål/A 58261-2024 FSC-klagomål.docx", "A 58261-2024")</f>
        <v/>
      </c>
      <c r="AB41">
        <f>HYPERLINK("https://klasma.github.io/Logging_2182/klagomålsmail/A 58261-2024 FSC-klagomål mail.docx", "A 58261-2024")</f>
        <v/>
      </c>
      <c r="AC41">
        <f>HYPERLINK("https://klasma.github.io/Logging_2182/tillsyn/A 58261-2024 tillsynsbegäran.docx", "A 58261-2024")</f>
        <v/>
      </c>
      <c r="AD41">
        <f>HYPERLINK("https://klasma.github.io/Logging_2182/tillsynsmail/A 58261-2024 tillsynsbegäran mail.docx", "A 58261-2024")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46229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46229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46229</v>
      </c>
      <c r="F44" t="inlineStr">
        <is>
          <t>GÄVLEBORGS LÄN</t>
        </is>
      </c>
      <c r="G44" t="inlineStr">
        <is>
          <t>SÖDERHAMN</t>
        </is>
      </c>
      <c r="I44" t="n">
        <v>8.800000000000001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aspticka</t>
        </is>
      </c>
      <c r="W44">
        <f>HYPERLINK("https://klasma.github.io/Logging_2182/artfynd/A 5946-2026 artfynd.xlsx", "A 5946-2026")</f>
        <v/>
      </c>
      <c r="X44">
        <f>HYPERLINK("https://klasma.github.io/Logging_2182/kartor/A 5946-2026 karta.png", "A 5946-2026")</f>
        <v/>
      </c>
      <c r="Y44">
        <f>HYPERLINK("https://klasma.github.io/Logging_2182/kartor_geotiff/A 5946-2026 georefererad karta.tif", "A 5946-2026")</f>
        <v/>
      </c>
      <c r="AA44">
        <f>HYPERLINK("https://klasma.github.io/Logging_2182/klagomål/A 5946-2026 FSC-klagomål.docx", "A 5946-2026")</f>
        <v/>
      </c>
      <c r="AB44">
        <f>HYPERLINK("https://klasma.github.io/Logging_2182/klagomålsmail/A 5946-2026 FSC-klagomål mail.docx", "A 5946-2026")</f>
        <v/>
      </c>
      <c r="AC44">
        <f>HYPERLINK("https://klasma.github.io/Logging_2182/tillsyn/A 5946-2026 tillsynsbegäran.docx", "A 5946-2026")</f>
        <v/>
      </c>
      <c r="AD44">
        <f>HYPERLINK("https://klasma.github.io/Logging_2182/tillsynsmail/A 5946-2026 tillsynsbegäran mail.docx", "A 5946-2026")</f>
        <v/>
      </c>
    </row>
    <row r="45" ht="15" customHeight="1">
      <c r="A45" t="inlineStr">
        <is>
          <t>A 9284-2026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46229</v>
      </c>
      <c r="F45" t="inlineStr">
        <is>
          <t>GÄVLEBORGS LÄN</t>
        </is>
      </c>
      <c r="G45" t="inlineStr">
        <is>
          <t>SÖDERHAMN</t>
        </is>
      </c>
      <c r="I45" t="n">
        <v>0.2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HYPERLINK("https://klasma.github.io/Logging_2182/artfynd/A 9284-2026 artfynd.xlsx", "A 9284-2026")</f>
        <v/>
      </c>
      <c r="X45">
        <f>HYPERLINK("https://klasma.github.io/Logging_2182/kartor/A 9284-2026 karta.png", "A 9284-2026")</f>
        <v/>
      </c>
      <c r="Y45">
        <f>HYPERLINK("https://klasma.github.io/Logging_2182/kartor_geotiff/A 9284-2026 georefererad karta.tif", "A 9284-2026")</f>
        <v/>
      </c>
      <c r="Z45">
        <f>HYPERLINK("https://klasma.github.io/Logging_2182/knärot/A 9284-2026 karta knärot.png", "A 9284-2026")</f>
        <v/>
      </c>
      <c r="AA45">
        <f>HYPERLINK("https://klasma.github.io/Logging_2182/klagomål/A 9284-2026 FSC-klagomål.docx", "A 9284-2026")</f>
        <v/>
      </c>
      <c r="AB45">
        <f>HYPERLINK("https://klasma.github.io/Logging_2182/klagomålsmail/A 9284-2026 FSC-klagomål mail.docx", "A 9284-2026")</f>
        <v/>
      </c>
      <c r="AC45">
        <f>HYPERLINK("https://klasma.github.io/Logging_2182/tillsyn/A 9284-2026 tillsynsbegäran.docx", "A 9284-2026")</f>
        <v/>
      </c>
      <c r="AD45">
        <f>HYPERLINK("https://klasma.github.io/Logging_2182/tillsynsmail/A 9284-2026 tillsynsbegäran mail.docx", "A 9284-2026")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46229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46229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46229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17412-2023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46229</v>
      </c>
      <c r="F49" t="inlineStr">
        <is>
          <t>GÄVLEBORGS LÄN</t>
        </is>
      </c>
      <c r="G49" t="inlineStr">
        <is>
          <t>SÖDERHAMN</t>
        </is>
      </c>
      <c r="I49" t="n">
        <v>4.8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Älg</t>
        </is>
      </c>
      <c r="W49">
        <f>HYPERLINK("https://klasma.github.io/Logging_2182/artfynd/A 17412-2023 artfynd.xlsx", "A 17412-2023")</f>
        <v/>
      </c>
      <c r="X49">
        <f>HYPERLINK("https://klasma.github.io/Logging_2182/kartor/A 17412-2023 karta.png", "A 17412-2023")</f>
        <v/>
      </c>
      <c r="Y49">
        <f>HYPERLINK("https://klasma.github.io/Logging_2182/kartor_geotiff/A 17412-2023 georefererad karta.tif", "A 17412-2023")</f>
        <v/>
      </c>
      <c r="AA49">
        <f>HYPERLINK("https://klasma.github.io/Logging_2182/klagomål/A 17412-2023 FSC-klagomål.docx", "A 17412-2023")</f>
        <v/>
      </c>
      <c r="AB49">
        <f>HYPERLINK("https://klasma.github.io/Logging_2182/klagomålsmail/A 17412-2023 FSC-klagomål mail.docx", "A 17412-2023")</f>
        <v/>
      </c>
      <c r="AC49">
        <f>HYPERLINK("https://klasma.github.io/Logging_2182/tillsyn/A 17412-2023 tillsynsbegäran.docx", "A 17412-2023")</f>
        <v/>
      </c>
      <c r="AD49">
        <f>HYPERLINK("https://klasma.github.io/Logging_2182/tillsynsmail/A 17412-2023 tillsynsbegäran mail.docx", "A 17412-2023")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46229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HYPERLINK("https://klasma.github.io/Logging_2182/artfynd/A 29834-2025 artfynd.xlsx", "A 29834-2025")</f>
        <v/>
      </c>
      <c r="X50">
        <f>HYPERLINK("https://klasma.github.io/Logging_2182/kartor/A 29834-2025 karta.png", "A 29834-2025")</f>
        <v/>
      </c>
      <c r="Y50">
        <f>HYPERLINK("https://klasma.github.io/Logging_2182/kartor_geotiff/A 29834-2025 georefererad karta.tif", "A 29834-2025")</f>
        <v/>
      </c>
      <c r="AA50">
        <f>HYPERLINK("https://klasma.github.io/Logging_2182/klagomål/A 29834-2025 FSC-klagomål.docx", "A 29834-2025")</f>
        <v/>
      </c>
      <c r="AB50">
        <f>HYPERLINK("https://klasma.github.io/Logging_2182/klagomålsmail/A 29834-2025 FSC-klagomål mail.docx", "A 29834-2025")</f>
        <v/>
      </c>
      <c r="AC50">
        <f>HYPERLINK("https://klasma.github.io/Logging_2182/tillsyn/A 29834-2025 tillsynsbegäran.docx", "A 29834-2025")</f>
        <v/>
      </c>
      <c r="AD50">
        <f>HYPERLINK("https://klasma.github.io/Logging_2182/tillsynsmail/A 29834-2025 tillsynsbegäran mail.docx", "A 29834-2025")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46229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46229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46229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46229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46229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46229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46229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46229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46229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46229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46229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46229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46229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46229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46229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46229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46229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46229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46229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46229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46229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46229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46229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46229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46229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46229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46229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46229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46229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46229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39913-2021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46229</v>
      </c>
      <c r="F81" t="inlineStr">
        <is>
          <t>GÄVLEBORGS LÄN</t>
        </is>
      </c>
      <c r="G81" t="inlineStr">
        <is>
          <t>SÖDERHAMN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46229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46229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62339-2023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46229</v>
      </c>
      <c r="F84" t="inlineStr">
        <is>
          <t>GÄVLEBORGS LÄN</t>
        </is>
      </c>
      <c r="G84" t="inlineStr">
        <is>
          <t>SÖDERHAMN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46229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46229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46229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46229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46229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46229</v>
      </c>
      <c r="F90" t="inlineStr">
        <is>
          <t>GÄVLEBORGS LÄN</t>
        </is>
      </c>
      <c r="G90" t="inlineStr">
        <is>
          <t>SÖDERHAMN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46229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46229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46229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46229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46229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46229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46229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44992</v>
      </c>
      <c r="E98" s="1" t="n">
        <v>46229</v>
      </c>
      <c r="F98" t="inlineStr">
        <is>
          <t>GÄVLEBORGS LÄN</t>
        </is>
      </c>
      <c r="G98" t="inlineStr">
        <is>
          <t>SÖDERHAMN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45652</v>
      </c>
      <c r="E99" s="1" t="n">
        <v>46229</v>
      </c>
      <c r="F99" t="inlineStr">
        <is>
          <t>GÄVLEBORGS LÄN</t>
        </is>
      </c>
      <c r="G99" t="inlineStr">
        <is>
          <t>SÖDERHAMN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46229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46229</v>
      </c>
      <c r="F101" t="inlineStr">
        <is>
          <t>GÄVLEBORGS LÄN</t>
        </is>
      </c>
      <c r="G101" t="inlineStr">
        <is>
          <t>SÖDERHAMN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46229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46229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46229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46229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46229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46229</v>
      </c>
      <c r="F107" t="inlineStr">
        <is>
          <t>GÄVLEBORGS LÄN</t>
        </is>
      </c>
      <c r="G107" t="inlineStr">
        <is>
          <t>SÖDERHAMN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46229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46229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44665</v>
      </c>
      <c r="E110" s="1" t="n">
        <v>46229</v>
      </c>
      <c r="F110" t="inlineStr">
        <is>
          <t>GÄVLEBORGS LÄN</t>
        </is>
      </c>
      <c r="G110" t="inlineStr">
        <is>
          <t>SÖDERHAMN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46229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45212</v>
      </c>
      <c r="E112" s="1" t="n">
        <v>46229</v>
      </c>
      <c r="F112" t="inlineStr">
        <is>
          <t>GÄVLEBORGS LÄN</t>
        </is>
      </c>
      <c r="G112" t="inlineStr">
        <is>
          <t>SÖDERHAMN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46229</v>
      </c>
      <c r="F113" t="inlineStr">
        <is>
          <t>GÄVLEBORGS LÄN</t>
        </is>
      </c>
      <c r="G113" t="inlineStr">
        <is>
          <t>SÖDERHAMN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44795</v>
      </c>
      <c r="E114" s="1" t="n">
        <v>46229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46229</v>
      </c>
      <c r="F115" t="inlineStr">
        <is>
          <t>GÄVLEBORGS LÄN</t>
        </is>
      </c>
      <c r="G115" t="inlineStr">
        <is>
          <t>SÖDERHAMN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46229</v>
      </c>
      <c r="F116" t="inlineStr">
        <is>
          <t>GÄVLEBORGS LÄN</t>
        </is>
      </c>
      <c r="G116" t="inlineStr">
        <is>
          <t>SÖDERHAMN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45632</v>
      </c>
      <c r="E117" s="1" t="n">
        <v>46229</v>
      </c>
      <c r="F117" t="inlineStr">
        <is>
          <t>GÄVLEBORGS LÄN</t>
        </is>
      </c>
      <c r="G117" t="inlineStr">
        <is>
          <t>SÖDERHAMN</t>
        </is>
      </c>
      <c r="H117" t="inlineStr">
        <is>
          <t>Bergvik skog väst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46229</v>
      </c>
      <c r="F118" t="inlineStr">
        <is>
          <t>GÄVLEBORGS LÄN</t>
        </is>
      </c>
      <c r="G118" t="inlineStr">
        <is>
          <t>SÖDERHAMN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44703-2024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45574</v>
      </c>
      <c r="E119" s="1" t="n">
        <v>46229</v>
      </c>
      <c r="F119" t="inlineStr">
        <is>
          <t>GÄVLEBORGS LÄN</t>
        </is>
      </c>
      <c r="G119" t="inlineStr">
        <is>
          <t>SÖDERHAMN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46229</v>
      </c>
      <c r="F120" t="inlineStr">
        <is>
          <t>GÄVLEBORGS LÄN</t>
        </is>
      </c>
      <c r="G120" t="inlineStr">
        <is>
          <t>SÖDERHAMN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44338-2023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45188</v>
      </c>
      <c r="E121" s="1" t="n">
        <v>46229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44341-2023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45188</v>
      </c>
      <c r="E122" s="1" t="n">
        <v>46229</v>
      </c>
      <c r="F122" t="inlineStr">
        <is>
          <t>GÄVLEBORGS LÄN</t>
        </is>
      </c>
      <c r="G122" t="inlineStr">
        <is>
          <t>SÖDERHAMN</t>
        </is>
      </c>
      <c r="H122" t="inlineStr">
        <is>
          <t>Kommuner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45673</v>
      </c>
      <c r="E123" s="1" t="n">
        <v>46229</v>
      </c>
      <c r="F123" t="inlineStr">
        <is>
          <t>GÄVLEBORGS LÄN</t>
        </is>
      </c>
      <c r="G123" t="inlineStr">
        <is>
          <t>SÖDERHAMN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46229</v>
      </c>
      <c r="F124" t="inlineStr">
        <is>
          <t>GÄVLEBORGS LÄN</t>
        </is>
      </c>
      <c r="G124" t="inlineStr">
        <is>
          <t>SÖDERHAMN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46229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46229</v>
      </c>
      <c r="F126" t="inlineStr">
        <is>
          <t>GÄVLEBORGS LÄN</t>
        </is>
      </c>
      <c r="G126" t="inlineStr">
        <is>
          <t>SÖDERHAMN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45331</v>
      </c>
      <c r="E127" s="1" t="n">
        <v>46229</v>
      </c>
      <c r="F127" t="inlineStr">
        <is>
          <t>GÄVLEBORGS LÄN</t>
        </is>
      </c>
      <c r="G127" t="inlineStr">
        <is>
          <t>SÖDERHAMN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46229</v>
      </c>
      <c r="F128" t="inlineStr">
        <is>
          <t>GÄVLEBORGS LÄN</t>
        </is>
      </c>
      <c r="G128" t="inlineStr">
        <is>
          <t>SÖDERHAMN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45230</v>
      </c>
      <c r="E129" s="1" t="n">
        <v>46229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46229</v>
      </c>
      <c r="F130" t="inlineStr">
        <is>
          <t>GÄVLEBORGS LÄN</t>
        </is>
      </c>
      <c r="G130" t="inlineStr">
        <is>
          <t>SÖDERHAMN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46229</v>
      </c>
      <c r="F131" t="inlineStr">
        <is>
          <t>GÄVLEBORGS LÄN</t>
        </is>
      </c>
      <c r="G131" t="inlineStr">
        <is>
          <t>SÖDERHAMN</t>
        </is>
      </c>
      <c r="H131" t="inlineStr">
        <is>
          <t>Kommuner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46229</v>
      </c>
      <c r="F132" t="inlineStr">
        <is>
          <t>GÄVLEBORGS LÄN</t>
        </is>
      </c>
      <c r="G132" t="inlineStr">
        <is>
          <t>SÖDERHAMN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46229</v>
      </c>
      <c r="F133" t="inlineStr">
        <is>
          <t>GÄVLEBORGS LÄN</t>
        </is>
      </c>
      <c r="G133" t="inlineStr">
        <is>
          <t>SÖDERHAMN</t>
        </is>
      </c>
      <c r="H133" t="inlineStr">
        <is>
          <t>Bergvik skog väst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38355-2022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44812</v>
      </c>
      <c r="E134" s="1" t="n">
        <v>46229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46229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46229</v>
      </c>
      <c r="F136" t="inlineStr">
        <is>
          <t>GÄVLEBORGS LÄN</t>
        </is>
      </c>
      <c r="G136" t="inlineStr">
        <is>
          <t>SÖDERHAMN</t>
        </is>
      </c>
      <c r="H136" t="inlineStr">
        <is>
          <t>Kommuner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45084</v>
      </c>
      <c r="E137" s="1" t="n">
        <v>46229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45879</v>
      </c>
      <c r="E138" s="1" t="n">
        <v>46229</v>
      </c>
      <c r="F138" t="inlineStr">
        <is>
          <t>GÄVLEBORGS LÄN</t>
        </is>
      </c>
      <c r="G138" t="inlineStr">
        <is>
          <t>SÖDERHAMN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45879</v>
      </c>
      <c r="E139" s="1" t="n">
        <v>46229</v>
      </c>
      <c r="F139" t="inlineStr">
        <is>
          <t>GÄVLEBORGS LÄN</t>
        </is>
      </c>
      <c r="G139" t="inlineStr">
        <is>
          <t>SÖDERHAMN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46229</v>
      </c>
      <c r="F140" t="inlineStr">
        <is>
          <t>GÄVLEBORGS LÄN</t>
        </is>
      </c>
      <c r="G140" t="inlineStr">
        <is>
          <t>SÖDERHAMN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46135</v>
      </c>
      <c r="E141" s="1" t="n">
        <v>46229</v>
      </c>
      <c r="F141" t="inlineStr">
        <is>
          <t>GÄVLEBORGS LÄN</t>
        </is>
      </c>
      <c r="G141" t="inlineStr">
        <is>
          <t>SÖDERHAMN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46229</v>
      </c>
      <c r="F142" t="inlineStr">
        <is>
          <t>GÄVLEBORGS LÄN</t>
        </is>
      </c>
      <c r="G142" t="inlineStr">
        <is>
          <t>SÖDERHAMN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71645-2021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46229</v>
      </c>
      <c r="F143" t="inlineStr">
        <is>
          <t>GÄVLEBORGS LÄN</t>
        </is>
      </c>
      <c r="G143" t="inlineStr">
        <is>
          <t>SÖDERHAMN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46229</v>
      </c>
      <c r="F144" t="inlineStr">
        <is>
          <t>GÄVLEBORGS LÄN</t>
        </is>
      </c>
      <c r="G144" t="inlineStr">
        <is>
          <t>SÖDERHAMN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41221-2022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44826</v>
      </c>
      <c r="E145" s="1" t="n">
        <v>46229</v>
      </c>
      <c r="F145" t="inlineStr">
        <is>
          <t>GÄVLEBORGS LÄN</t>
        </is>
      </c>
      <c r="G145" t="inlineStr">
        <is>
          <t>SÖDERHAMN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46229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46229</v>
      </c>
      <c r="F147" t="inlineStr">
        <is>
          <t>GÄVLEBORGS LÄN</t>
        </is>
      </c>
      <c r="G147" t="inlineStr">
        <is>
          <t>SÖDERHAMN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46229</v>
      </c>
      <c r="F148" t="inlineStr">
        <is>
          <t>GÄVLEBORGS LÄN</t>
        </is>
      </c>
      <c r="G148" t="inlineStr">
        <is>
          <t>SÖDERHAMN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46229</v>
      </c>
      <c r="F149" t="inlineStr">
        <is>
          <t>GÄVLEBORGS LÄN</t>
        </is>
      </c>
      <c r="G149" t="inlineStr">
        <is>
          <t>SÖDERHAMN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46229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46087</v>
      </c>
      <c r="E151" s="1" t="n">
        <v>46229</v>
      </c>
      <c r="F151" t="inlineStr">
        <is>
          <t>GÄVLEBORGS LÄN</t>
        </is>
      </c>
      <c r="G151" t="inlineStr">
        <is>
          <t>SÖDERHAMN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46229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46058</v>
      </c>
      <c r="E153" s="1" t="n">
        <v>46229</v>
      </c>
      <c r="F153" t="inlineStr">
        <is>
          <t>GÄVLEBORGS LÄN</t>
        </is>
      </c>
      <c r="G153" t="inlineStr">
        <is>
          <t>SÖDERHAMN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46229</v>
      </c>
      <c r="F154" t="inlineStr">
        <is>
          <t>GÄVLEBORGS LÄN</t>
        </is>
      </c>
      <c r="G154" t="inlineStr">
        <is>
          <t>SÖDERHAMN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46229</v>
      </c>
      <c r="F155" t="inlineStr">
        <is>
          <t>GÄVLEBORGS LÄN</t>
        </is>
      </c>
      <c r="G155" t="inlineStr">
        <is>
          <t>SÖDERHAMN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46229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46229</v>
      </c>
      <c r="F157" t="inlineStr">
        <is>
          <t>GÄVLEBORGS LÄN</t>
        </is>
      </c>
      <c r="G157" t="inlineStr">
        <is>
          <t>SÖDERHAMN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46229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46229</v>
      </c>
      <c r="F159" t="inlineStr">
        <is>
          <t>GÄVLEBORGS LÄN</t>
        </is>
      </c>
      <c r="G159" t="inlineStr">
        <is>
          <t>SÖDERHAMN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46229</v>
      </c>
      <c r="F160" t="inlineStr">
        <is>
          <t>GÄVLEBORGS LÄN</t>
        </is>
      </c>
      <c r="G160" t="inlineStr">
        <is>
          <t>SÖDERHAMN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46229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44757</v>
      </c>
      <c r="E162" s="1" t="n">
        <v>46229</v>
      </c>
      <c r="F162" t="inlineStr">
        <is>
          <t>GÄVLEBORGS LÄN</t>
        </is>
      </c>
      <c r="G162" t="inlineStr">
        <is>
          <t>SÖDERHAMN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46229</v>
      </c>
      <c r="F163" t="inlineStr">
        <is>
          <t>GÄVLEBORGS LÄN</t>
        </is>
      </c>
      <c r="G163" t="inlineStr">
        <is>
          <t>SÖDERHAMN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46229</v>
      </c>
      <c r="F164" t="inlineStr">
        <is>
          <t>GÄVLEBORGS LÄN</t>
        </is>
      </c>
      <c r="G164" t="inlineStr">
        <is>
          <t>SÖDERHAMN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6792-2024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45342</v>
      </c>
      <c r="E165" s="1" t="n">
        <v>46229</v>
      </c>
      <c r="F165" t="inlineStr">
        <is>
          <t>GÄVLEBORGS LÄN</t>
        </is>
      </c>
      <c r="G165" t="inlineStr">
        <is>
          <t>SÖDERHAMN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46229</v>
      </c>
      <c r="F166" t="inlineStr">
        <is>
          <t>GÄVLEBORGS LÄN</t>
        </is>
      </c>
      <c r="G166" t="inlineStr">
        <is>
          <t>SÖDERHAMN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45899</v>
      </c>
      <c r="E167" s="1" t="n">
        <v>46229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46229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46229</v>
      </c>
      <c r="F169" t="inlineStr">
        <is>
          <t>GÄVLEBORGS LÄN</t>
        </is>
      </c>
      <c r="G169" t="inlineStr">
        <is>
          <t>SÖDERHAMN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44856</v>
      </c>
      <c r="E170" s="1" t="n">
        <v>46229</v>
      </c>
      <c r="F170" t="inlineStr">
        <is>
          <t>GÄVLEBORGS LÄN</t>
        </is>
      </c>
      <c r="G170" t="inlineStr">
        <is>
          <t>SÖDERHAMN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45762</v>
      </c>
      <c r="E171" s="1" t="n">
        <v>46229</v>
      </c>
      <c r="F171" t="inlineStr">
        <is>
          <t>GÄVLEBORGS LÄN</t>
        </is>
      </c>
      <c r="G171" t="inlineStr">
        <is>
          <t>SÖDERHAMN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46229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46041</v>
      </c>
      <c r="E173" s="1" t="n">
        <v>46229</v>
      </c>
      <c r="F173" t="inlineStr">
        <is>
          <t>GÄVLEBORGS LÄN</t>
        </is>
      </c>
      <c r="G173" t="inlineStr">
        <is>
          <t>SÖDERHAMN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46229</v>
      </c>
      <c r="F174" t="inlineStr">
        <is>
          <t>GÄVLEBORGS LÄN</t>
        </is>
      </c>
      <c r="G174" t="inlineStr">
        <is>
          <t>SÖDERHAMN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45698</v>
      </c>
      <c r="E175" s="1" t="n">
        <v>46229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46229</v>
      </c>
      <c r="F176" t="inlineStr">
        <is>
          <t>GÄVLEBORGS LÄN</t>
        </is>
      </c>
      <c r="G176" t="inlineStr">
        <is>
          <t>SÖDERHAMN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46229</v>
      </c>
      <c r="F177" t="inlineStr">
        <is>
          <t>GÄVLEBORGS LÄN</t>
        </is>
      </c>
      <c r="G177" t="inlineStr">
        <is>
          <t>SÖDERHAMN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46041</v>
      </c>
      <c r="E178" s="1" t="n">
        <v>46229</v>
      </c>
      <c r="F178" t="inlineStr">
        <is>
          <t>GÄVLEBORGS LÄN</t>
        </is>
      </c>
      <c r="G178" t="inlineStr">
        <is>
          <t>SÖDERHAMN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46229</v>
      </c>
      <c r="F179" t="inlineStr">
        <is>
          <t>GÄVLEBORGS LÄN</t>
        </is>
      </c>
      <c r="G179" t="inlineStr">
        <is>
          <t>SÖDERHAMN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46229</v>
      </c>
      <c r="F180" t="inlineStr">
        <is>
          <t>GÄVLEBORGS LÄN</t>
        </is>
      </c>
      <c r="G180" t="inlineStr">
        <is>
          <t>SÖDERHAMN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46229</v>
      </c>
      <c r="F181" t="inlineStr">
        <is>
          <t>GÄVLEBORGS LÄN</t>
        </is>
      </c>
      <c r="G181" t="inlineStr">
        <is>
          <t>SÖDERHAMN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46229</v>
      </c>
      <c r="F182" t="inlineStr">
        <is>
          <t>GÄVLEBORGS LÄN</t>
        </is>
      </c>
      <c r="G182" t="inlineStr">
        <is>
          <t>SÖDERHAMN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46229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24933-2024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45461</v>
      </c>
      <c r="E184" s="1" t="n">
        <v>46229</v>
      </c>
      <c r="F184" t="inlineStr">
        <is>
          <t>GÄVLEBORGS LÄN</t>
        </is>
      </c>
      <c r="G184" t="inlineStr">
        <is>
          <t>SÖDERHAMN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46229</v>
      </c>
      <c r="F185" t="inlineStr">
        <is>
          <t>GÄVLEBORGS LÄN</t>
        </is>
      </c>
      <c r="G185" t="inlineStr">
        <is>
          <t>SÖDERHAMN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46229</v>
      </c>
      <c r="F186" t="inlineStr">
        <is>
          <t>GÄVLEBORGS LÄN</t>
        </is>
      </c>
      <c r="G186" t="inlineStr">
        <is>
          <t>SÖDERHAMN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46229</v>
      </c>
      <c r="F187" t="inlineStr">
        <is>
          <t>GÄVLEBORGS LÄN</t>
        </is>
      </c>
      <c r="G187" t="inlineStr">
        <is>
          <t>SÖDERHAMN</t>
        </is>
      </c>
      <c r="H187" t="inlineStr">
        <is>
          <t>Bergvik skog väst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46229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46229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45296</v>
      </c>
      <c r="E190" s="1" t="n">
        <v>46229</v>
      </c>
      <c r="F190" t="inlineStr">
        <is>
          <t>GÄVLEBORGS LÄN</t>
        </is>
      </c>
      <c r="G190" t="inlineStr">
        <is>
          <t>SÖDERHAMN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46229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46229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46229</v>
      </c>
      <c r="F193" t="inlineStr">
        <is>
          <t>GÄVLEBORGS LÄN</t>
        </is>
      </c>
      <c r="G193" t="inlineStr">
        <is>
          <t>SÖDERHAMN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46229</v>
      </c>
      <c r="F194" t="inlineStr">
        <is>
          <t>GÄVLEBORGS LÄN</t>
        </is>
      </c>
      <c r="G194" t="inlineStr">
        <is>
          <t>SÖDERHAMN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46229</v>
      </c>
      <c r="F195" t="inlineStr">
        <is>
          <t>GÄVLEBORGS LÄN</t>
        </is>
      </c>
      <c r="G195" t="inlineStr">
        <is>
          <t>SÖDERHAMN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44662</v>
      </c>
      <c r="E196" s="1" t="n">
        <v>46229</v>
      </c>
      <c r="F196" t="inlineStr">
        <is>
          <t>GÄVLEBORGS LÄN</t>
        </is>
      </c>
      <c r="G196" t="inlineStr">
        <is>
          <t>SÖDERHAMN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46229</v>
      </c>
      <c r="F197" t="inlineStr">
        <is>
          <t>GÄVLEBORGS LÄN</t>
        </is>
      </c>
      <c r="G197" t="inlineStr">
        <is>
          <t>SÖDERHAMN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45558</v>
      </c>
      <c r="E198" s="1" t="n">
        <v>46229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45183</v>
      </c>
      <c r="E199" s="1" t="n">
        <v>46229</v>
      </c>
      <c r="F199" t="inlineStr">
        <is>
          <t>GÄVLEBORGS LÄN</t>
        </is>
      </c>
      <c r="G199" t="inlineStr">
        <is>
          <t>SÖDERHAMN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46229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46229</v>
      </c>
      <c r="F201" t="inlineStr">
        <is>
          <t>GÄVLEBORGS LÄN</t>
        </is>
      </c>
      <c r="G201" t="inlineStr">
        <is>
          <t>SÖDERHAMN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46229</v>
      </c>
      <c r="F202" t="inlineStr">
        <is>
          <t>GÄVLEBORGS LÄN</t>
        </is>
      </c>
      <c r="G202" t="inlineStr">
        <is>
          <t>SÖDERHAMN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46229</v>
      </c>
      <c r="F203" t="inlineStr">
        <is>
          <t>GÄVLEBORGS LÄN</t>
        </is>
      </c>
      <c r="G203" t="inlineStr">
        <is>
          <t>SÖDERHAMN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46229</v>
      </c>
      <c r="F204" t="inlineStr">
        <is>
          <t>GÄVLEBORGS LÄN</t>
        </is>
      </c>
      <c r="G204" t="inlineStr">
        <is>
          <t>SÖDERHAMN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46229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46229</v>
      </c>
      <c r="F206" t="inlineStr">
        <is>
          <t>GÄVLEBORGS LÄN</t>
        </is>
      </c>
      <c r="G206" t="inlineStr">
        <is>
          <t>SÖDERHAMN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46024</v>
      </c>
      <c r="E207" s="1" t="n">
        <v>46229</v>
      </c>
      <c r="F207" t="inlineStr">
        <is>
          <t>GÄVLEBORGS LÄN</t>
        </is>
      </c>
      <c r="G207" t="inlineStr">
        <is>
          <t>SÖDERHAMN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46229</v>
      </c>
      <c r="F208" t="inlineStr">
        <is>
          <t>GÄVLEBORGS LÄN</t>
        </is>
      </c>
      <c r="G208" t="inlineStr">
        <is>
          <t>SÖDERHAMN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46097</v>
      </c>
      <c r="E209" s="1" t="n">
        <v>46229</v>
      </c>
      <c r="F209" t="inlineStr">
        <is>
          <t>GÄVLEBORGS LÄN</t>
        </is>
      </c>
      <c r="G209" t="inlineStr">
        <is>
          <t>SÖDERHAMN</t>
        </is>
      </c>
      <c r="I209" t="n">
        <v>14.2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46229</v>
      </c>
      <c r="F210" t="inlineStr">
        <is>
          <t>GÄVLEBORGS LÄN</t>
        </is>
      </c>
      <c r="G210" t="inlineStr">
        <is>
          <t>SÖDERHAMN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46229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46229</v>
      </c>
      <c r="F212" t="inlineStr">
        <is>
          <t>GÄVLEBORGS LÄN</t>
        </is>
      </c>
      <c r="G212" t="inlineStr">
        <is>
          <t>SÖDERHAMN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46229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46229</v>
      </c>
      <c r="F214" t="inlineStr">
        <is>
          <t>GÄVLEBORGS LÄN</t>
        </is>
      </c>
      <c r="G214" t="inlineStr">
        <is>
          <t>SÖDERHAMN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46229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46229</v>
      </c>
      <c r="F216" t="inlineStr">
        <is>
          <t>GÄVLEBORGS LÄN</t>
        </is>
      </c>
      <c r="G216" t="inlineStr">
        <is>
          <t>SÖDERHAMN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46229</v>
      </c>
      <c r="F217" t="inlineStr">
        <is>
          <t>GÄVLEBORGS LÄN</t>
        </is>
      </c>
      <c r="G217" t="inlineStr">
        <is>
          <t>SÖDERHAMN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46229</v>
      </c>
      <c r="F218" t="inlineStr">
        <is>
          <t>GÄVLEBORGS LÄN</t>
        </is>
      </c>
      <c r="G218" t="inlineStr">
        <is>
          <t>SÖDERHAMN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49532-2025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46229</v>
      </c>
      <c r="F219" t="inlineStr">
        <is>
          <t>GÄVLEBORGS LÄN</t>
        </is>
      </c>
      <c r="G219" t="inlineStr">
        <is>
          <t>SÖDERHAMN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46229</v>
      </c>
      <c r="F220" t="inlineStr">
        <is>
          <t>GÄVLEBORGS LÄN</t>
        </is>
      </c>
      <c r="G220" t="inlineStr">
        <is>
          <t>SÖDERHAMN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43723-2022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44837</v>
      </c>
      <c r="E221" s="1" t="n">
        <v>46229</v>
      </c>
      <c r="F221" t="inlineStr">
        <is>
          <t>GÄVLEBORGS LÄN</t>
        </is>
      </c>
      <c r="G221" t="inlineStr">
        <is>
          <t>SÖDERHAMN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46229</v>
      </c>
      <c r="F222" t="inlineStr">
        <is>
          <t>GÄVLEBORGS LÄN</t>
        </is>
      </c>
      <c r="G222" t="inlineStr">
        <is>
          <t>SÖDERHAMN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46229</v>
      </c>
      <c r="F223" t="inlineStr">
        <is>
          <t>GÄVLEBORGS LÄN</t>
        </is>
      </c>
      <c r="G223" t="inlineStr">
        <is>
          <t>SÖDERHAMN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46229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46229</v>
      </c>
      <c r="F225" t="inlineStr">
        <is>
          <t>GÄVLEBORGS LÄN</t>
        </is>
      </c>
      <c r="G225" t="inlineStr">
        <is>
          <t>SÖDERHAMN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50007-2025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46229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46229</v>
      </c>
      <c r="F227" t="inlineStr">
        <is>
          <t>GÄVLEBORGS LÄN</t>
        </is>
      </c>
      <c r="G227" t="inlineStr">
        <is>
          <t>SÖDERHAMN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46229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46229</v>
      </c>
      <c r="F229" t="inlineStr">
        <is>
          <t>GÄVLEBORGS LÄN</t>
        </is>
      </c>
      <c r="G229" t="inlineStr">
        <is>
          <t>SÖDERHAMN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46229</v>
      </c>
      <c r="F230" t="inlineStr">
        <is>
          <t>GÄVLEBORGS LÄN</t>
        </is>
      </c>
      <c r="G230" t="inlineStr">
        <is>
          <t>SÖDERHAMN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46229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46229</v>
      </c>
      <c r="F232" t="inlineStr">
        <is>
          <t>GÄVLEBORGS LÄN</t>
        </is>
      </c>
      <c r="G232" t="inlineStr">
        <is>
          <t>SÖDERHAMN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46229</v>
      </c>
      <c r="F233" t="inlineStr">
        <is>
          <t>GÄVLEBORGS LÄN</t>
        </is>
      </c>
      <c r="G233" t="inlineStr">
        <is>
          <t>SÖDERHAMN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45545</v>
      </c>
      <c r="E234" s="1" t="n">
        <v>46229</v>
      </c>
      <c r="F234" t="inlineStr">
        <is>
          <t>GÄVLEBORGS LÄN</t>
        </is>
      </c>
      <c r="G234" t="inlineStr">
        <is>
          <t>SÖDERHAMN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45510</v>
      </c>
      <c r="E235" s="1" t="n">
        <v>46229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46229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46146</v>
      </c>
      <c r="E237" s="1" t="n">
        <v>46229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55765-2025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45972</v>
      </c>
      <c r="E238" s="1" t="n">
        <v>46229</v>
      </c>
      <c r="F238" t="inlineStr">
        <is>
          <t>GÄVLEBORGS LÄN</t>
        </is>
      </c>
      <c r="G238" t="inlineStr">
        <is>
          <t>SÖDERHAMN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46024</v>
      </c>
      <c r="E239" s="1" t="n">
        <v>46229</v>
      </c>
      <c r="F239" t="inlineStr">
        <is>
          <t>GÄVLEBORGS LÄN</t>
        </is>
      </c>
      <c r="G239" t="inlineStr">
        <is>
          <t>SÖDERHAMN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46229</v>
      </c>
      <c r="F240" t="inlineStr">
        <is>
          <t>GÄVLEBORGS LÄN</t>
        </is>
      </c>
      <c r="G240" t="inlineStr">
        <is>
          <t>SÖDERHAMN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45954</v>
      </c>
      <c r="E241" s="1" t="n">
        <v>46229</v>
      </c>
      <c r="F241" t="inlineStr">
        <is>
          <t>GÄVLEBORGS LÄN</t>
        </is>
      </c>
      <c r="G241" t="inlineStr">
        <is>
          <t>SÖDERHAMN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45548</v>
      </c>
      <c r="E242" s="1" t="n">
        <v>46229</v>
      </c>
      <c r="F242" t="inlineStr">
        <is>
          <t>GÄVLEBORGS LÄN</t>
        </is>
      </c>
      <c r="G242" t="inlineStr">
        <is>
          <t>SÖDERHAMN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46229</v>
      </c>
      <c r="F243" t="inlineStr">
        <is>
          <t>GÄVLEBORGS LÄN</t>
        </is>
      </c>
      <c r="G243" t="inlineStr">
        <is>
          <t>SÖDERHAMN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46229</v>
      </c>
      <c r="F244" t="inlineStr">
        <is>
          <t>GÄVLEBORGS LÄN</t>
        </is>
      </c>
      <c r="G244" t="inlineStr">
        <is>
          <t>SÖDERHAMN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46147</v>
      </c>
      <c r="E245" s="1" t="n">
        <v>46229</v>
      </c>
      <c r="F245" t="inlineStr">
        <is>
          <t>GÄVLEBORGS LÄN</t>
        </is>
      </c>
      <c r="G245" t="inlineStr">
        <is>
          <t>SÖDERHAMN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46229</v>
      </c>
      <c r="F246" t="inlineStr">
        <is>
          <t>GÄVLEBORGS LÄN</t>
        </is>
      </c>
      <c r="G246" t="inlineStr">
        <is>
          <t>SÖDERHAMN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46229</v>
      </c>
      <c r="F247" t="inlineStr">
        <is>
          <t>GÄVLEBORGS LÄN</t>
        </is>
      </c>
      <c r="G247" t="inlineStr">
        <is>
          <t>SÖDERHAMN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46146</v>
      </c>
      <c r="E248" s="1" t="n">
        <v>46229</v>
      </c>
      <c r="F248" t="inlineStr">
        <is>
          <t>GÄVLEBORGS LÄN</t>
        </is>
      </c>
      <c r="G248" t="inlineStr">
        <is>
          <t>SÖDERHAMN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46229</v>
      </c>
      <c r="F249" t="inlineStr">
        <is>
          <t>GÄVLEBORGS LÄN</t>
        </is>
      </c>
      <c r="G249" t="inlineStr">
        <is>
          <t>SÖDERHAMN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53628-2025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46229</v>
      </c>
      <c r="F250" t="inlineStr">
        <is>
          <t>GÄVLEBORGS LÄN</t>
        </is>
      </c>
      <c r="G250" t="inlineStr">
        <is>
          <t>SÖDERHAMN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46229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45426</v>
      </c>
      <c r="E252" s="1" t="n">
        <v>46229</v>
      </c>
      <c r="F252" t="inlineStr">
        <is>
          <t>GÄVLEBORGS LÄN</t>
        </is>
      </c>
      <c r="G252" t="inlineStr">
        <is>
          <t>SÖDERHAMN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46229</v>
      </c>
      <c r="F253" t="inlineStr">
        <is>
          <t>GÄVLEBORGS LÄN</t>
        </is>
      </c>
      <c r="G253" t="inlineStr">
        <is>
          <t>SÖDERHAMN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46229</v>
      </c>
      <c r="F254" t="inlineStr">
        <is>
          <t>GÄVLEBORGS LÄN</t>
        </is>
      </c>
      <c r="G254" t="inlineStr">
        <is>
          <t>SÖDERHAMN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46229</v>
      </c>
      <c r="F255" t="inlineStr">
        <is>
          <t>GÄVLEBORGS LÄN</t>
        </is>
      </c>
      <c r="G255" t="inlineStr">
        <is>
          <t>SÖDERHAMN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46229</v>
      </c>
      <c r="F256" t="inlineStr">
        <is>
          <t>GÄVLEBORGS LÄN</t>
        </is>
      </c>
      <c r="G256" t="inlineStr">
        <is>
          <t>SÖDERHAMN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46149</v>
      </c>
      <c r="E257" s="1" t="n">
        <v>46229</v>
      </c>
      <c r="F257" t="inlineStr">
        <is>
          <t>GÄVLEBORGS LÄN</t>
        </is>
      </c>
      <c r="G257" t="inlineStr">
        <is>
          <t>SÖDERHAMN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46229</v>
      </c>
      <c r="F258" t="inlineStr">
        <is>
          <t>GÄVLEBORGS LÄN</t>
        </is>
      </c>
      <c r="G258" t="inlineStr">
        <is>
          <t>SÖDERHAMN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46229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45967</v>
      </c>
      <c r="E260" s="1" t="n">
        <v>46229</v>
      </c>
      <c r="F260" t="inlineStr">
        <is>
          <t>GÄVLEBORGS LÄN</t>
        </is>
      </c>
      <c r="G260" t="inlineStr">
        <is>
          <t>SÖDERHAMN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46229</v>
      </c>
      <c r="F261" t="inlineStr">
        <is>
          <t>GÄVLEBORGS LÄN</t>
        </is>
      </c>
      <c r="G261" t="inlineStr">
        <is>
          <t>SÖDERHAMN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46229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46229</v>
      </c>
      <c r="F263" t="inlineStr">
        <is>
          <t>GÄVLEBORGS LÄN</t>
        </is>
      </c>
      <c r="G263" t="inlineStr">
        <is>
          <t>SÖDERHAMN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46229</v>
      </c>
      <c r="F264" t="inlineStr">
        <is>
          <t>GÄVLEBORGS LÄN</t>
        </is>
      </c>
      <c r="G264" t="inlineStr">
        <is>
          <t>SÖDERHAMN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46229</v>
      </c>
      <c r="F265" t="inlineStr">
        <is>
          <t>GÄVLEBORGS LÄN</t>
        </is>
      </c>
      <c r="G265" t="inlineStr">
        <is>
          <t>SÖDERHAMN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46229</v>
      </c>
      <c r="F266" t="inlineStr">
        <is>
          <t>GÄVLEBORGS LÄN</t>
        </is>
      </c>
      <c r="G266" t="inlineStr">
        <is>
          <t>SÖDERHAMN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45761</v>
      </c>
      <c r="E267" s="1" t="n">
        <v>46229</v>
      </c>
      <c r="F267" t="inlineStr">
        <is>
          <t>GÄVLEBORGS LÄN</t>
        </is>
      </c>
      <c r="G267" t="inlineStr">
        <is>
          <t>SÖDERHAMN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46229</v>
      </c>
      <c r="F268" t="inlineStr">
        <is>
          <t>GÄVLEBORGS LÄN</t>
        </is>
      </c>
      <c r="G268" t="inlineStr">
        <is>
          <t>SÖDERHAMN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45972</v>
      </c>
      <c r="E269" s="1" t="n">
        <v>46229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55730-2025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45972</v>
      </c>
      <c r="E270" s="1" t="n">
        <v>46229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46229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45748</v>
      </c>
      <c r="E272" s="1" t="n">
        <v>46229</v>
      </c>
      <c r="F272" t="inlineStr">
        <is>
          <t>GÄVLEBORGS LÄN</t>
        </is>
      </c>
      <c r="G272" t="inlineStr">
        <is>
          <t>SÖDERHAMN</t>
        </is>
      </c>
      <c r="H272" t="inlineStr">
        <is>
          <t>Kommuner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46229</v>
      </c>
      <c r="F273" t="inlineStr">
        <is>
          <t>GÄVLEBORGS LÄN</t>
        </is>
      </c>
      <c r="G273" t="inlineStr">
        <is>
          <t>SÖDERHAMN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46229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46229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34752-2024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45526</v>
      </c>
      <c r="E276" s="1" t="n">
        <v>46229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46229</v>
      </c>
      <c r="F277" t="inlineStr">
        <is>
          <t>GÄVLEBORGS LÄN</t>
        </is>
      </c>
      <c r="G277" t="inlineStr">
        <is>
          <t>SÖDERHAMN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46229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46229</v>
      </c>
      <c r="F279" t="inlineStr">
        <is>
          <t>GÄVLEBORGS LÄN</t>
        </is>
      </c>
      <c r="G279" t="inlineStr">
        <is>
          <t>SÖDERHAMN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46229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44938</v>
      </c>
      <c r="E281" s="1" t="n">
        <v>46229</v>
      </c>
      <c r="F281" t="inlineStr">
        <is>
          <t>GÄVLEBORGS LÄN</t>
        </is>
      </c>
      <c r="G281" t="inlineStr">
        <is>
          <t>SÖDERHAMN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46229</v>
      </c>
      <c r="F282" t="inlineStr">
        <is>
          <t>GÄVLEBORGS LÄN</t>
        </is>
      </c>
      <c r="G282" t="inlineStr">
        <is>
          <t>SÖDERHAMN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46229</v>
      </c>
      <c r="F283" t="inlineStr">
        <is>
          <t>GÄVLEBORGS LÄN</t>
        </is>
      </c>
      <c r="G283" t="inlineStr">
        <is>
          <t>SÖDERHAMN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53918-2025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45961</v>
      </c>
      <c r="E284" s="1" t="n">
        <v>46229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46229</v>
      </c>
      <c r="F285" t="inlineStr">
        <is>
          <t>GÄVLEBORGS LÄN</t>
        </is>
      </c>
      <c r="G285" t="inlineStr">
        <is>
          <t>SÖDERHAMN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46229</v>
      </c>
      <c r="F286" t="inlineStr">
        <is>
          <t>GÄVLEBORGS LÄN</t>
        </is>
      </c>
      <c r="G286" t="inlineStr">
        <is>
          <t>SÖDERHAMN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46229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46229</v>
      </c>
      <c r="F288" t="inlineStr">
        <is>
          <t>GÄVLEBORGS LÄN</t>
        </is>
      </c>
      <c r="G288" t="inlineStr">
        <is>
          <t>SÖDERHAMN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46229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46229</v>
      </c>
      <c r="F290" t="inlineStr">
        <is>
          <t>GÄVLEBORGS LÄN</t>
        </is>
      </c>
      <c r="G290" t="inlineStr">
        <is>
          <t>SÖDERHAMN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46229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46229</v>
      </c>
      <c r="F292" t="inlineStr">
        <is>
          <t>GÄVLEBORGS LÄN</t>
        </is>
      </c>
      <c r="G292" t="inlineStr">
        <is>
          <t>SÖDERHAMN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50281-2024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46229</v>
      </c>
      <c r="F293" t="inlineStr">
        <is>
          <t>GÄVLEBORGS LÄN</t>
        </is>
      </c>
      <c r="G293" t="inlineStr">
        <is>
          <t>SÖDERHAMN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46229</v>
      </c>
      <c r="F294" t="inlineStr">
        <is>
          <t>GÄVLEBORGS LÄN</t>
        </is>
      </c>
      <c r="G294" t="inlineStr">
        <is>
          <t>SÖDERHAMN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46229</v>
      </c>
      <c r="F295" t="inlineStr">
        <is>
          <t>GÄVLEBORGS LÄN</t>
        </is>
      </c>
      <c r="G295" t="inlineStr">
        <is>
          <t>SÖDERHAMN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46229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58502-2025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46229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46229</v>
      </c>
      <c r="F298" t="inlineStr">
        <is>
          <t>GÄVLEBORGS LÄN</t>
        </is>
      </c>
      <c r="G298" t="inlineStr">
        <is>
          <t>SÖDERHAMN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40745-2023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45170</v>
      </c>
      <c r="E299" s="1" t="n">
        <v>46229</v>
      </c>
      <c r="F299" t="inlineStr">
        <is>
          <t>GÄVLEBORGS LÄN</t>
        </is>
      </c>
      <c r="G299" t="inlineStr">
        <is>
          <t>SÖDERHAMN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45394</v>
      </c>
      <c r="E300" s="1" t="n">
        <v>46229</v>
      </c>
      <c r="F300" t="inlineStr">
        <is>
          <t>GÄVLEBORGS LÄN</t>
        </is>
      </c>
      <c r="G300" t="inlineStr">
        <is>
          <t>SÖDERHAMN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45327</v>
      </c>
      <c r="E301" s="1" t="n">
        <v>46229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46229</v>
      </c>
      <c r="F302" t="inlineStr">
        <is>
          <t>GÄVLEBORGS LÄN</t>
        </is>
      </c>
      <c r="G302" t="inlineStr">
        <is>
          <t>SÖDERHAMN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46229</v>
      </c>
      <c r="F303" t="inlineStr">
        <is>
          <t>GÄVLEBORGS LÄN</t>
        </is>
      </c>
      <c r="G303" t="inlineStr">
        <is>
          <t>SÖDERHAMN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46229</v>
      </c>
      <c r="F304" t="inlineStr">
        <is>
          <t>GÄVLEBORGS LÄN</t>
        </is>
      </c>
      <c r="G304" t="inlineStr">
        <is>
          <t>SÖDERHAMN</t>
        </is>
      </c>
      <c r="H304" t="inlineStr">
        <is>
          <t>Kommuner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46229</v>
      </c>
      <c r="F305" t="inlineStr">
        <is>
          <t>GÄVLEBORGS LÄN</t>
        </is>
      </c>
      <c r="G305" t="inlineStr">
        <is>
          <t>SÖDERHAMN</t>
        </is>
      </c>
      <c r="H305" t="inlineStr">
        <is>
          <t>Bergvik skog väst AB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46229</v>
      </c>
      <c r="F306" t="inlineStr">
        <is>
          <t>GÄVLEBORGS LÄN</t>
        </is>
      </c>
      <c r="G306" t="inlineStr">
        <is>
          <t>SÖDERHAMN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46229</v>
      </c>
      <c r="F307" t="inlineStr">
        <is>
          <t>GÄVLEBORGS LÄN</t>
        </is>
      </c>
      <c r="G307" t="inlineStr">
        <is>
          <t>SÖDERHAMN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46229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46229</v>
      </c>
      <c r="F309" t="inlineStr">
        <is>
          <t>GÄVLEBORGS LÄN</t>
        </is>
      </c>
      <c r="G309" t="inlineStr">
        <is>
          <t>SÖDERHAMN</t>
        </is>
      </c>
      <c r="I309" t="n">
        <v>14.1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46229</v>
      </c>
      <c r="F310" t="inlineStr">
        <is>
          <t>GÄVLEBORGS LÄN</t>
        </is>
      </c>
      <c r="G310" t="inlineStr">
        <is>
          <t>SÖDERHAMN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46229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46229</v>
      </c>
      <c r="F312" t="inlineStr">
        <is>
          <t>GÄVLEBORGS LÄN</t>
        </is>
      </c>
      <c r="G312" t="inlineStr">
        <is>
          <t>SÖDERHAMN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46229</v>
      </c>
      <c r="F313" t="inlineStr">
        <is>
          <t>GÄVLEBORGS LÄN</t>
        </is>
      </c>
      <c r="G313" t="inlineStr">
        <is>
          <t>SÖDERHAMN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45461</v>
      </c>
      <c r="E314" s="1" t="n">
        <v>46229</v>
      </c>
      <c r="F314" t="inlineStr">
        <is>
          <t>GÄVLEBORGS LÄN</t>
        </is>
      </c>
      <c r="G314" t="inlineStr">
        <is>
          <t>SÖDERHAMN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46229</v>
      </c>
      <c r="F315" t="inlineStr">
        <is>
          <t>GÄVLEBORGS LÄN</t>
        </is>
      </c>
      <c r="G315" t="inlineStr">
        <is>
          <t>SÖDERHAMN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61416-2025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46001</v>
      </c>
      <c r="E316" s="1" t="n">
        <v>46229</v>
      </c>
      <c r="F316" t="inlineStr">
        <is>
          <t>GÄVLEBORGS LÄN</t>
        </is>
      </c>
      <c r="G316" t="inlineStr">
        <is>
          <t>SÖDERHAMN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46229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46229</v>
      </c>
      <c r="F318" t="inlineStr">
        <is>
          <t>GÄVLEBORGS LÄN</t>
        </is>
      </c>
      <c r="G318" t="inlineStr">
        <is>
          <t>SÖDERHAMN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46229</v>
      </c>
      <c r="F319" t="inlineStr">
        <is>
          <t>GÄVLEBORGS LÄN</t>
        </is>
      </c>
      <c r="G319" t="inlineStr">
        <is>
          <t>SÖDERHAMN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46229</v>
      </c>
      <c r="F320" t="inlineStr">
        <is>
          <t>GÄVLEBORGS LÄN</t>
        </is>
      </c>
      <c r="G320" t="inlineStr">
        <is>
          <t>SÖDERHAMN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46229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44651</v>
      </c>
      <c r="E322" s="1" t="n">
        <v>46229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46229</v>
      </c>
      <c r="F323" t="inlineStr">
        <is>
          <t>GÄVLEBORGS LÄN</t>
        </is>
      </c>
      <c r="G323" t="inlineStr">
        <is>
          <t>SÖDERHAMN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45028</v>
      </c>
      <c r="E324" s="1" t="n">
        <v>46229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46229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44508</v>
      </c>
      <c r="E326" s="1" t="n">
        <v>46229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39916-2021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44417</v>
      </c>
      <c r="E327" s="1" t="n">
        <v>46229</v>
      </c>
      <c r="F327" t="inlineStr">
        <is>
          <t>GÄVLEBORGS LÄN</t>
        </is>
      </c>
      <c r="G327" t="inlineStr">
        <is>
          <t>SÖDERHAMN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46229</v>
      </c>
      <c r="F328" t="inlineStr">
        <is>
          <t>GÄVLEBORGS LÄN</t>
        </is>
      </c>
      <c r="G328" t="inlineStr">
        <is>
          <t>SÖDERHAMN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44649</v>
      </c>
      <c r="E329" s="1" t="n">
        <v>46229</v>
      </c>
      <c r="F329" t="inlineStr">
        <is>
          <t>GÄVLEBORGS LÄN</t>
        </is>
      </c>
      <c r="G329" t="inlineStr">
        <is>
          <t>SÖDERHAMN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46008</v>
      </c>
      <c r="E330" s="1" t="n">
        <v>46229</v>
      </c>
      <c r="F330" t="inlineStr">
        <is>
          <t>GÄVLEBORGS LÄN</t>
        </is>
      </c>
      <c r="G330" t="inlineStr">
        <is>
          <t>SÖDERHAMN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46229</v>
      </c>
      <c r="F331" t="inlineStr">
        <is>
          <t>GÄVLEBORGS LÄN</t>
        </is>
      </c>
      <c r="G331" t="inlineStr">
        <is>
          <t>SÖDERHAMN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46229</v>
      </c>
      <c r="F332" t="inlineStr">
        <is>
          <t>GÄVLEBORGS LÄN</t>
        </is>
      </c>
      <c r="G332" t="inlineStr">
        <is>
          <t>SÖDERHAMN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46229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56933-2024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45628</v>
      </c>
      <c r="E334" s="1" t="n">
        <v>46229</v>
      </c>
      <c r="F334" t="inlineStr">
        <is>
          <t>GÄVLEBORGS LÄN</t>
        </is>
      </c>
      <c r="G334" t="inlineStr">
        <is>
          <t>SÖDERHAMN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46229</v>
      </c>
      <c r="F335" t="inlineStr">
        <is>
          <t>GÄVLEBORGS LÄN</t>
        </is>
      </c>
      <c r="G335" t="inlineStr">
        <is>
          <t>SÖDERHAMN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22791-2026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46157</v>
      </c>
      <c r="E336" s="1" t="n">
        <v>46229</v>
      </c>
      <c r="F336" t="inlineStr">
        <is>
          <t>GÄVLEBORGS LÄN</t>
        </is>
      </c>
      <c r="G336" t="inlineStr">
        <is>
          <t>SÖDERHAMN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46157</v>
      </c>
      <c r="E337" s="1" t="n">
        <v>46229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46157</v>
      </c>
      <c r="E338" s="1" t="n">
        <v>46229</v>
      </c>
      <c r="F338" t="inlineStr">
        <is>
          <t>GÄVLEBORGS LÄN</t>
        </is>
      </c>
      <c r="G338" t="inlineStr">
        <is>
          <t>SÖDERHAMN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46157</v>
      </c>
      <c r="E339" s="1" t="n">
        <v>46229</v>
      </c>
      <c r="F339" t="inlineStr">
        <is>
          <t>GÄVLEBORGS LÄN</t>
        </is>
      </c>
      <c r="G339" t="inlineStr">
        <is>
          <t>SÖDERHAMN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46229</v>
      </c>
      <c r="F340" t="inlineStr">
        <is>
          <t>GÄVLEBORGS LÄN</t>
        </is>
      </c>
      <c r="G340" t="inlineStr">
        <is>
          <t>SÖDERHAMN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46229</v>
      </c>
      <c r="F341" t="inlineStr">
        <is>
          <t>GÄVLEBORGS LÄN</t>
        </is>
      </c>
      <c r="G341" t="inlineStr">
        <is>
          <t>SÖDERHAMN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45602</v>
      </c>
      <c r="E342" s="1" t="n">
        <v>46229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45561</v>
      </c>
      <c r="E343" s="1" t="n">
        <v>46229</v>
      </c>
      <c r="F343" t="inlineStr">
        <is>
          <t>GÄVLEBORGS LÄN</t>
        </is>
      </c>
      <c r="G343" t="inlineStr">
        <is>
          <t>SÖDERHAMN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46157</v>
      </c>
      <c r="E344" s="1" t="n">
        <v>46229</v>
      </c>
      <c r="F344" t="inlineStr">
        <is>
          <t>GÄVLEBORGS LÄN</t>
        </is>
      </c>
      <c r="G344" t="inlineStr">
        <is>
          <t>SÖDERHAMN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46026</v>
      </c>
      <c r="E345" s="1" t="n">
        <v>46229</v>
      </c>
      <c r="F345" t="inlineStr">
        <is>
          <t>GÄVLEBORGS LÄN</t>
        </is>
      </c>
      <c r="G345" t="inlineStr">
        <is>
          <t>SÖDERHAMN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46229</v>
      </c>
      <c r="F346" t="inlineStr">
        <is>
          <t>GÄVLEBORGS LÄN</t>
        </is>
      </c>
      <c r="G346" t="inlineStr">
        <is>
          <t>SÖDERHAMN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46157</v>
      </c>
      <c r="E347" s="1" t="n">
        <v>46229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46229</v>
      </c>
      <c r="F348" t="inlineStr">
        <is>
          <t>GÄVLEBORGS LÄN</t>
        </is>
      </c>
      <c r="G348" t="inlineStr">
        <is>
          <t>SÖDERHAMN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46026</v>
      </c>
      <c r="E349" s="1" t="n">
        <v>46229</v>
      </c>
      <c r="F349" t="inlineStr">
        <is>
          <t>GÄVLEBORGS LÄN</t>
        </is>
      </c>
      <c r="G349" t="inlineStr">
        <is>
          <t>SÖDERHAMN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46229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46157</v>
      </c>
      <c r="E351" s="1" t="n">
        <v>46229</v>
      </c>
      <c r="F351" t="inlineStr">
        <is>
          <t>GÄVLEBORGS LÄN</t>
        </is>
      </c>
      <c r="G351" t="inlineStr">
        <is>
          <t>SÖDERHAMN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46026</v>
      </c>
      <c r="E352" s="1" t="n">
        <v>46229</v>
      </c>
      <c r="F352" t="inlineStr">
        <is>
          <t>GÄVLEBORGS LÄN</t>
        </is>
      </c>
      <c r="G352" t="inlineStr">
        <is>
          <t>SÖDERHAMN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46229</v>
      </c>
      <c r="F353" t="inlineStr">
        <is>
          <t>GÄVLEBORGS LÄN</t>
        </is>
      </c>
      <c r="G353" t="inlineStr">
        <is>
          <t>SÖDERHAMN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46229</v>
      </c>
      <c r="F354" t="inlineStr">
        <is>
          <t>GÄVLEBORGS LÄN</t>
        </is>
      </c>
      <c r="G354" t="inlineStr">
        <is>
          <t>SÖDERHAMN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46229</v>
      </c>
      <c r="F355" t="inlineStr">
        <is>
          <t>GÄVLEBORGS LÄN</t>
        </is>
      </c>
      <c r="G355" t="inlineStr">
        <is>
          <t>SÖDERHAMN</t>
        </is>
      </c>
      <c r="I355" t="n">
        <v>9.1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46229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45762</v>
      </c>
      <c r="E357" s="1" t="n">
        <v>46229</v>
      </c>
      <c r="F357" t="inlineStr">
        <is>
          <t>GÄVLEBORGS LÄN</t>
        </is>
      </c>
      <c r="G357" t="inlineStr">
        <is>
          <t>SÖDERHAMN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45707</v>
      </c>
      <c r="E358" s="1" t="n">
        <v>46229</v>
      </c>
      <c r="F358" t="inlineStr">
        <is>
          <t>GÄVLEBORGS LÄN</t>
        </is>
      </c>
      <c r="G358" t="inlineStr">
        <is>
          <t>SÖDERHAMN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46229</v>
      </c>
      <c r="F359" t="inlineStr">
        <is>
          <t>GÄVLEBORGS LÄN</t>
        </is>
      </c>
      <c r="G359" t="inlineStr">
        <is>
          <t>SÖDERHAMN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46229</v>
      </c>
      <c r="F360" t="inlineStr">
        <is>
          <t>GÄVLEBORGS LÄN</t>
        </is>
      </c>
      <c r="G360" t="inlineStr">
        <is>
          <t>SÖDERHAMN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46229</v>
      </c>
      <c r="F361" t="inlineStr">
        <is>
          <t>GÄVLEBORGS LÄN</t>
        </is>
      </c>
      <c r="G361" t="inlineStr">
        <is>
          <t>SÖDERHAMN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46229</v>
      </c>
      <c r="F362" t="inlineStr">
        <is>
          <t>GÄVLEBORGS LÄN</t>
        </is>
      </c>
      <c r="G362" t="inlineStr">
        <is>
          <t>SÖDERHAMN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46229</v>
      </c>
      <c r="F363" t="inlineStr">
        <is>
          <t>GÄVLEBORGS LÄN</t>
        </is>
      </c>
      <c r="G363" t="inlineStr">
        <is>
          <t>SÖDERHAMN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46229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46229</v>
      </c>
      <c r="F365" t="inlineStr">
        <is>
          <t>GÄVLEBORGS LÄN</t>
        </is>
      </c>
      <c r="G365" t="inlineStr">
        <is>
          <t>SÖDERHAMN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46229</v>
      </c>
      <c r="F366" t="inlineStr">
        <is>
          <t>GÄVLEBORGS LÄN</t>
        </is>
      </c>
      <c r="G366" t="inlineStr">
        <is>
          <t>SÖDERHAMN</t>
        </is>
      </c>
      <c r="I366" t="n">
        <v>9.699999999999999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51553-2024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45604</v>
      </c>
      <c r="E367" s="1" t="n">
        <v>46229</v>
      </c>
      <c r="F367" t="inlineStr">
        <is>
          <t>GÄVLEBORGS LÄN</t>
        </is>
      </c>
      <c r="G367" t="inlineStr">
        <is>
          <t>SÖDERHAMN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46229</v>
      </c>
      <c r="F368" t="inlineStr">
        <is>
          <t>GÄVLEBORGS LÄN</t>
        </is>
      </c>
      <c r="G368" t="inlineStr">
        <is>
          <t>SÖDERHAMN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46229</v>
      </c>
      <c r="F369" t="inlineStr">
        <is>
          <t>GÄVLEBORGS LÄN</t>
        </is>
      </c>
      <c r="G369" t="inlineStr">
        <is>
          <t>SÖDERHAMN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46229</v>
      </c>
      <c r="F370" t="inlineStr">
        <is>
          <t>GÄVLEBORGS LÄN</t>
        </is>
      </c>
      <c r="G370" t="inlineStr">
        <is>
          <t>SÖDERHAMN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46229</v>
      </c>
      <c r="F371" t="inlineStr">
        <is>
          <t>GÄVLEBORGS LÄN</t>
        </is>
      </c>
      <c r="G371" t="inlineStr">
        <is>
          <t>SÖDERHAMN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20312-2025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45775</v>
      </c>
      <c r="E372" s="1" t="n">
        <v>46229</v>
      </c>
      <c r="F372" t="inlineStr">
        <is>
          <t>GÄVLEBORGS LÄN</t>
        </is>
      </c>
      <c r="G372" t="inlineStr">
        <is>
          <t>SÖDERHAMN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46229</v>
      </c>
      <c r="F373" t="inlineStr">
        <is>
          <t>GÄVLEBORGS LÄN</t>
        </is>
      </c>
      <c r="G373" t="inlineStr">
        <is>
          <t>SÖDERHAMN</t>
        </is>
      </c>
      <c r="H373" t="inlineStr">
        <is>
          <t>Kommuner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46229</v>
      </c>
      <c r="F374" t="inlineStr">
        <is>
          <t>GÄVLEBORGS LÄN</t>
        </is>
      </c>
      <c r="G374" t="inlineStr">
        <is>
          <t>SÖDERHAMN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45467</v>
      </c>
      <c r="E375" s="1" t="n">
        <v>46229</v>
      </c>
      <c r="F375" t="inlineStr">
        <is>
          <t>GÄVLEBORGS LÄN</t>
        </is>
      </c>
      <c r="G375" t="inlineStr">
        <is>
          <t>SÖDERHAMN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16106-2023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46229</v>
      </c>
      <c r="F376" t="inlineStr">
        <is>
          <t>GÄVLEBORGS LÄN</t>
        </is>
      </c>
      <c r="G376" t="inlineStr">
        <is>
          <t>SÖDERHAMN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46229</v>
      </c>
      <c r="F377" t="inlineStr">
        <is>
          <t>GÄVLEBORGS LÄN</t>
        </is>
      </c>
      <c r="G377" t="inlineStr">
        <is>
          <t>SÖDERHAMN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46229</v>
      </c>
      <c r="F378" t="inlineStr">
        <is>
          <t>GÄVLEBORGS LÄN</t>
        </is>
      </c>
      <c r="G378" t="inlineStr">
        <is>
          <t>SÖDERHAMN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46229</v>
      </c>
      <c r="F379" t="inlineStr">
        <is>
          <t>GÄVLEBORGS LÄN</t>
        </is>
      </c>
      <c r="G379" t="inlineStr">
        <is>
          <t>SÖDERHAMN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46229</v>
      </c>
      <c r="F380" t="inlineStr">
        <is>
          <t>GÄVLEBORGS LÄN</t>
        </is>
      </c>
      <c r="G380" t="inlineStr">
        <is>
          <t>SÖDERHAMN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46229</v>
      </c>
      <c r="F381" t="inlineStr">
        <is>
          <t>GÄVLEBORGS LÄN</t>
        </is>
      </c>
      <c r="G381" t="inlineStr">
        <is>
          <t>SÖDERHAMN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46229</v>
      </c>
      <c r="F382" t="inlineStr">
        <is>
          <t>GÄVLEBORGS LÄN</t>
        </is>
      </c>
      <c r="G382" t="inlineStr">
        <is>
          <t>SÖDERHAMN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46229</v>
      </c>
      <c r="F383" t="inlineStr">
        <is>
          <t>GÄVLEBORGS LÄN</t>
        </is>
      </c>
      <c r="G383" t="inlineStr">
        <is>
          <t>SÖDERHAMN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46229</v>
      </c>
      <c r="F384" t="inlineStr">
        <is>
          <t>GÄVLEBORGS LÄN</t>
        </is>
      </c>
      <c r="G384" t="inlineStr">
        <is>
          <t>SÖDERHAMN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46229</v>
      </c>
      <c r="F385" t="inlineStr">
        <is>
          <t>GÄVLEBORGS LÄN</t>
        </is>
      </c>
      <c r="G385" t="inlineStr">
        <is>
          <t>SÖDERHAMN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46229</v>
      </c>
      <c r="F386" t="inlineStr">
        <is>
          <t>GÄVLEBORGS LÄN</t>
        </is>
      </c>
      <c r="G386" t="inlineStr">
        <is>
          <t>SÖDERHAMN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46229</v>
      </c>
      <c r="F387" t="inlineStr">
        <is>
          <t>GÄVLEBORGS LÄN</t>
        </is>
      </c>
      <c r="G387" t="inlineStr">
        <is>
          <t>SÖDERHAMN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46229</v>
      </c>
      <c r="F388" t="inlineStr">
        <is>
          <t>GÄVLEBORGS LÄN</t>
        </is>
      </c>
      <c r="G388" t="inlineStr">
        <is>
          <t>SÖDERHAMN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45056</v>
      </c>
      <c r="E389" s="1" t="n">
        <v>46229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46229</v>
      </c>
      <c r="F390" t="inlineStr">
        <is>
          <t>GÄVLEBORGS LÄN</t>
        </is>
      </c>
      <c r="G390" t="inlineStr">
        <is>
          <t>SÖDERHAMN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55240-2024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45621</v>
      </c>
      <c r="E391" s="1" t="n">
        <v>46229</v>
      </c>
      <c r="F391" t="inlineStr">
        <is>
          <t>GÄVLEBORGS LÄN</t>
        </is>
      </c>
      <c r="G391" t="inlineStr">
        <is>
          <t>SÖDERHAMN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46229</v>
      </c>
      <c r="F392" t="inlineStr">
        <is>
          <t>GÄVLEBORGS LÄN</t>
        </is>
      </c>
      <c r="G392" t="inlineStr">
        <is>
          <t>SÖDERHAMN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44963</v>
      </c>
      <c r="E393" s="1" t="n">
        <v>46229</v>
      </c>
      <c r="F393" t="inlineStr">
        <is>
          <t>GÄVLEBORGS LÄN</t>
        </is>
      </c>
      <c r="G393" t="inlineStr">
        <is>
          <t>SÖDERHAMN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45567</v>
      </c>
      <c r="E394" s="1" t="n">
        <v>46229</v>
      </c>
      <c r="F394" t="inlineStr">
        <is>
          <t>GÄVLEBORGS LÄN</t>
        </is>
      </c>
      <c r="G394" t="inlineStr">
        <is>
          <t>SÖDERHAMN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46229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45750</v>
      </c>
      <c r="E396" s="1" t="n">
        <v>46229</v>
      </c>
      <c r="F396" t="inlineStr">
        <is>
          <t>GÄVLEBORGS LÄN</t>
        </is>
      </c>
      <c r="G396" t="inlineStr">
        <is>
          <t>SÖDERHAMN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46229</v>
      </c>
      <c r="F397" t="inlineStr">
        <is>
          <t>GÄVLEBORGS LÄN</t>
        </is>
      </c>
      <c r="G397" t="inlineStr">
        <is>
          <t>SÖDERHAMN</t>
        </is>
      </c>
      <c r="H397" t="inlineStr">
        <is>
          <t>Kommuner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46055</v>
      </c>
      <c r="E398" s="1" t="n">
        <v>46229</v>
      </c>
      <c r="F398" t="inlineStr">
        <is>
          <t>GÄVLEBORGS LÄN</t>
        </is>
      </c>
      <c r="G398" t="inlineStr">
        <is>
          <t>SÖDERHAMN</t>
        </is>
      </c>
      <c r="I398" t="n">
        <v>14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44957</v>
      </c>
      <c r="E399" s="1" t="n">
        <v>46229</v>
      </c>
      <c r="F399" t="inlineStr">
        <is>
          <t>GÄVLEBORGS LÄN</t>
        </is>
      </c>
      <c r="G399" t="inlineStr">
        <is>
          <t>SÖDERHAMN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46229</v>
      </c>
      <c r="F400" t="inlineStr">
        <is>
          <t>GÄVLEBORGS LÄN</t>
        </is>
      </c>
      <c r="G400" t="inlineStr">
        <is>
          <t>SÖDERHAMN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46229</v>
      </c>
      <c r="F401" t="inlineStr">
        <is>
          <t>GÄVLEBORGS LÄN</t>
        </is>
      </c>
      <c r="G401" t="inlineStr">
        <is>
          <t>SÖDERHAMN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46229</v>
      </c>
      <c r="F402" t="inlineStr">
        <is>
          <t>GÄVLEBORGS LÄN</t>
        </is>
      </c>
      <c r="G402" t="inlineStr">
        <is>
          <t>SÖDERHAMN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46229</v>
      </c>
      <c r="F403" t="inlineStr">
        <is>
          <t>GÄVLEBORGS LÄN</t>
        </is>
      </c>
      <c r="G403" t="inlineStr">
        <is>
          <t>SÖDERHAMN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23467-2026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46229</v>
      </c>
      <c r="F404" t="inlineStr">
        <is>
          <t>GÄVLEBORGS LÄN</t>
        </is>
      </c>
      <c r="G404" t="inlineStr">
        <is>
          <t>SÖDERHAMN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46229</v>
      </c>
      <c r="F405" t="inlineStr">
        <is>
          <t>GÄVLEBORGS LÄN</t>
        </is>
      </c>
      <c r="G405" t="inlineStr">
        <is>
          <t>SÖDERHAMN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46229</v>
      </c>
      <c r="F406" t="inlineStr">
        <is>
          <t>GÄVLEBORGS LÄN</t>
        </is>
      </c>
      <c r="G406" t="inlineStr">
        <is>
          <t>SÖDERHAMN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46229</v>
      </c>
      <c r="F407" t="inlineStr">
        <is>
          <t>GÄVLEBORGS LÄN</t>
        </is>
      </c>
      <c r="G407" t="inlineStr">
        <is>
          <t>SÖDERHAMN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46229</v>
      </c>
      <c r="F408" t="inlineStr">
        <is>
          <t>GÄVLEBORGS LÄN</t>
        </is>
      </c>
      <c r="G408" t="inlineStr">
        <is>
          <t>SÖDERHAMN</t>
        </is>
      </c>
      <c r="H408" t="inlineStr">
        <is>
          <t>Övriga statliga verk och myndigheter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46229</v>
      </c>
      <c r="F409" t="inlineStr">
        <is>
          <t>GÄVLEBORGS LÄN</t>
        </is>
      </c>
      <c r="G409" t="inlineStr">
        <is>
          <t>SÖDERHAMN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46229</v>
      </c>
      <c r="F410" t="inlineStr">
        <is>
          <t>GÄVLEBORGS LÄN</t>
        </is>
      </c>
      <c r="G410" t="inlineStr">
        <is>
          <t>SÖDERHAMN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46207</v>
      </c>
      <c r="E411" s="1" t="n">
        <v>46229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46164</v>
      </c>
      <c r="E412" s="1" t="n">
        <v>46229</v>
      </c>
      <c r="F412" t="inlineStr">
        <is>
          <t>GÄVLEBORGS LÄN</t>
        </is>
      </c>
      <c r="G412" t="inlineStr">
        <is>
          <t>SÖDERHAMN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46229</v>
      </c>
      <c r="F413" t="inlineStr">
        <is>
          <t>GÄVLEBORGS LÄN</t>
        </is>
      </c>
      <c r="G413" t="inlineStr">
        <is>
          <t>SÖDERHAMN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46229</v>
      </c>
      <c r="F414" t="inlineStr">
        <is>
          <t>GÄVLEBORGS LÄN</t>
        </is>
      </c>
      <c r="G414" t="inlineStr">
        <is>
          <t>SÖDERHAMN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46229</v>
      </c>
      <c r="F415" t="inlineStr">
        <is>
          <t>GÄVLEBORGS LÄN</t>
        </is>
      </c>
      <c r="G415" t="inlineStr">
        <is>
          <t>SÖDERHAMN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46229</v>
      </c>
      <c r="F416" t="inlineStr">
        <is>
          <t>GÄVLEBORGS LÄN</t>
        </is>
      </c>
      <c r="G416" t="inlineStr">
        <is>
          <t>SÖDERHAMN</t>
        </is>
      </c>
      <c r="I416" t="n">
        <v>11.8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46229</v>
      </c>
      <c r="F417" t="inlineStr">
        <is>
          <t>GÄVLEBORGS LÄN</t>
        </is>
      </c>
      <c r="G417" t="inlineStr">
        <is>
          <t>SÖDERHAMN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57753-2023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46229</v>
      </c>
      <c r="F418" t="inlineStr">
        <is>
          <t>GÄVLEBORGS LÄN</t>
        </is>
      </c>
      <c r="G418" t="inlineStr">
        <is>
          <t>SÖDERHAMN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46229</v>
      </c>
      <c r="F419" t="inlineStr">
        <is>
          <t>GÄVLEBORGS LÄN</t>
        </is>
      </c>
      <c r="G419" t="inlineStr">
        <is>
          <t>SÖDERHAMN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46229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46229</v>
      </c>
      <c r="F421" t="inlineStr">
        <is>
          <t>GÄVLEBORGS LÄN</t>
        </is>
      </c>
      <c r="G421" t="inlineStr">
        <is>
          <t>SÖDERHAMN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46229</v>
      </c>
      <c r="F422" t="inlineStr">
        <is>
          <t>GÄVLEBORGS LÄN</t>
        </is>
      </c>
      <c r="G422" t="inlineStr">
        <is>
          <t>SÖDERHAMN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72644-2021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44546</v>
      </c>
      <c r="E423" s="1" t="n">
        <v>46229</v>
      </c>
      <c r="F423" t="inlineStr">
        <is>
          <t>GÄVLEBORGS LÄN</t>
        </is>
      </c>
      <c r="G423" t="inlineStr">
        <is>
          <t>SÖDERHAMN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58141-2024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45632</v>
      </c>
      <c r="E424" s="1" t="n">
        <v>46229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46229</v>
      </c>
      <c r="F425" t="inlineStr">
        <is>
          <t>GÄVLEBORGS LÄN</t>
        </is>
      </c>
      <c r="G425" t="inlineStr">
        <is>
          <t>SÖDERHAMN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46229</v>
      </c>
      <c r="F426" t="inlineStr">
        <is>
          <t>GÄVLEBORGS LÄN</t>
        </is>
      </c>
      <c r="G426" t="inlineStr">
        <is>
          <t>SÖDERHAMN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46229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46229</v>
      </c>
      <c r="F428" t="inlineStr">
        <is>
          <t>GÄVLEBORGS LÄN</t>
        </is>
      </c>
      <c r="G428" t="inlineStr">
        <is>
          <t>SÖDERHAMN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46229</v>
      </c>
      <c r="F429" t="inlineStr">
        <is>
          <t>GÄVLEBORGS LÄN</t>
        </is>
      </c>
      <c r="G429" t="inlineStr">
        <is>
          <t>SÖDERHAMN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46229</v>
      </c>
      <c r="F430" t="inlineStr">
        <is>
          <t>GÄVLEBORGS LÄN</t>
        </is>
      </c>
      <c r="G430" t="inlineStr">
        <is>
          <t>SÖDERHAMN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46229</v>
      </c>
      <c r="F431" t="inlineStr">
        <is>
          <t>GÄVLEBORGS LÄN</t>
        </is>
      </c>
      <c r="G431" t="inlineStr">
        <is>
          <t>SÖDERHAMN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45113</v>
      </c>
      <c r="E432" s="1" t="n">
        <v>46229</v>
      </c>
      <c r="F432" t="inlineStr">
        <is>
          <t>GÄVLEBORGS LÄN</t>
        </is>
      </c>
      <c r="G432" t="inlineStr">
        <is>
          <t>SÖDERHAMN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46229</v>
      </c>
      <c r="F433" t="inlineStr">
        <is>
          <t>GÄVLEBORGS LÄN</t>
        </is>
      </c>
      <c r="G433" t="inlineStr">
        <is>
          <t>SÖDERHAMN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30668-2026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46211</v>
      </c>
      <c r="E434" s="1" t="n">
        <v>46229</v>
      </c>
      <c r="F434" t="inlineStr">
        <is>
          <t>GÄVLEBORGS LÄN</t>
        </is>
      </c>
      <c r="G434" t="inlineStr">
        <is>
          <t>SÖDERHAMN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45936</v>
      </c>
      <c r="E435" s="1" t="n">
        <v>46229</v>
      </c>
      <c r="F435" t="inlineStr">
        <is>
          <t>GÄVLEBORGS LÄN</t>
        </is>
      </c>
      <c r="G435" t="inlineStr">
        <is>
          <t>SÖDERHAMN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46229</v>
      </c>
      <c r="F436" t="inlineStr">
        <is>
          <t>GÄVLEBORGS LÄN</t>
        </is>
      </c>
      <c r="G436" t="inlineStr">
        <is>
          <t>SÖDERHAMN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46229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48797-2024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46229</v>
      </c>
      <c r="F438" t="inlineStr">
        <is>
          <t>GÄVLEBORGS LÄN</t>
        </is>
      </c>
      <c r="G438" t="inlineStr">
        <is>
          <t>SÖDERHAMN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46077</v>
      </c>
      <c r="E439" s="1" t="n">
        <v>46229</v>
      </c>
      <c r="F439" t="inlineStr">
        <is>
          <t>GÄVLEBORGS LÄN</t>
        </is>
      </c>
      <c r="G439" t="inlineStr">
        <is>
          <t>SÖDERHAMN</t>
        </is>
      </c>
      <c r="H439" t="inlineStr">
        <is>
          <t>Kyrkan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46229</v>
      </c>
      <c r="F440" t="inlineStr">
        <is>
          <t>GÄVLEBORGS LÄN</t>
        </is>
      </c>
      <c r="G440" t="inlineStr">
        <is>
          <t>SÖDERHAMN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46229</v>
      </c>
      <c r="F441" t="inlineStr">
        <is>
          <t>GÄVLEBORGS LÄN</t>
        </is>
      </c>
      <c r="G441" t="inlineStr">
        <is>
          <t>SÖDERHAMN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46229</v>
      </c>
      <c r="F442" t="inlineStr">
        <is>
          <t>GÄVLEBORGS LÄN</t>
        </is>
      </c>
      <c r="G442" t="inlineStr">
        <is>
          <t>SÖDERHAMN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46229</v>
      </c>
      <c r="F443" t="inlineStr">
        <is>
          <t>GÄVLEBORGS LÄN</t>
        </is>
      </c>
      <c r="G443" t="inlineStr">
        <is>
          <t>SÖDERHAMN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46229</v>
      </c>
      <c r="F444" t="inlineStr">
        <is>
          <t>GÄVLEBORGS LÄN</t>
        </is>
      </c>
      <c r="G444" t="inlineStr">
        <is>
          <t>SÖDERHAMN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46229</v>
      </c>
      <c r="F445" t="inlineStr">
        <is>
          <t>GÄVLEBORGS LÄN</t>
        </is>
      </c>
      <c r="G445" t="inlineStr">
        <is>
          <t>SÖDERHAMN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46229</v>
      </c>
      <c r="F446" t="inlineStr">
        <is>
          <t>GÄVLEBORGS LÄN</t>
        </is>
      </c>
      <c r="G446" t="inlineStr">
        <is>
          <t>SÖDERHAMN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45425</v>
      </c>
      <c r="E447" s="1" t="n">
        <v>46229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45588</v>
      </c>
      <c r="E448" s="1" t="n">
        <v>46229</v>
      </c>
      <c r="F448" t="inlineStr">
        <is>
          <t>GÄVLEBORGS LÄN</t>
        </is>
      </c>
      <c r="G448" t="inlineStr">
        <is>
          <t>SÖDERHAMN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46229</v>
      </c>
      <c r="F449" t="inlineStr">
        <is>
          <t>GÄVLEBORGS LÄN</t>
        </is>
      </c>
      <c r="G449" t="inlineStr">
        <is>
          <t>SÖDERHAMN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40811-2022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44824</v>
      </c>
      <c r="E450" s="1" t="n">
        <v>46229</v>
      </c>
      <c r="F450" t="inlineStr">
        <is>
          <t>GÄVLEBORGS LÄN</t>
        </is>
      </c>
      <c r="G450" t="inlineStr">
        <is>
          <t>SÖDERHAMN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46229</v>
      </c>
      <c r="F451" t="inlineStr">
        <is>
          <t>GÄVLEBORGS LÄN</t>
        </is>
      </c>
      <c r="G451" t="inlineStr">
        <is>
          <t>SÖDERHAMN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46229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42902-2024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46229</v>
      </c>
      <c r="F453" t="inlineStr">
        <is>
          <t>GÄVLEBORGS LÄN</t>
        </is>
      </c>
      <c r="G453" t="inlineStr">
        <is>
          <t>SÖDERHAMN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46229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46229</v>
      </c>
      <c r="F455" t="inlineStr">
        <is>
          <t>GÄVLEBORGS LÄN</t>
        </is>
      </c>
      <c r="G455" t="inlineStr">
        <is>
          <t>SÖDERHAMN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46229</v>
      </c>
      <c r="F456" t="inlineStr">
        <is>
          <t>GÄVLEBORGS LÄN</t>
        </is>
      </c>
      <c r="G456" t="inlineStr">
        <is>
          <t>SÖDERHAMN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7972-2025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45707</v>
      </c>
      <c r="E457" s="1" t="n">
        <v>46229</v>
      </c>
      <c r="F457" t="inlineStr">
        <is>
          <t>GÄVLEBORGS LÄN</t>
        </is>
      </c>
      <c r="G457" t="inlineStr">
        <is>
          <t>SÖDERHAMN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44897</v>
      </c>
      <c r="E458" s="1" t="n">
        <v>46229</v>
      </c>
      <c r="F458" t="inlineStr">
        <is>
          <t>GÄVLEBORGS LÄN</t>
        </is>
      </c>
      <c r="G458" t="inlineStr">
        <is>
          <t>SÖDERHAMN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46229</v>
      </c>
      <c r="F459" t="inlineStr">
        <is>
          <t>GÄVLEBORGS LÄN</t>
        </is>
      </c>
      <c r="G459" t="inlineStr">
        <is>
          <t>SÖDERHAMN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30871-2026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46212</v>
      </c>
      <c r="E460" s="1" t="n">
        <v>46229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Kyrkan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30875-2026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46229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Kyrkan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44869</v>
      </c>
      <c r="E462" s="1" t="n">
        <v>46229</v>
      </c>
      <c r="F462" t="inlineStr">
        <is>
          <t>GÄVLEBORGS LÄN</t>
        </is>
      </c>
      <c r="G462" t="inlineStr">
        <is>
          <t>SÖDERHAMN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57500-2023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45246</v>
      </c>
      <c r="E463" s="1" t="n">
        <v>46229</v>
      </c>
      <c r="F463" t="inlineStr">
        <is>
          <t>GÄVLEBORGS LÄN</t>
        </is>
      </c>
      <c r="G463" t="inlineStr">
        <is>
          <t>SÖDERHAMN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46229</v>
      </c>
      <c r="F464" t="inlineStr">
        <is>
          <t>GÄVLEBORGS LÄN</t>
        </is>
      </c>
      <c r="G464" t="inlineStr">
        <is>
          <t>SÖDERHAMN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46229</v>
      </c>
      <c r="F465" t="inlineStr">
        <is>
          <t>GÄVLEBORGS LÄN</t>
        </is>
      </c>
      <c r="G465" t="inlineStr">
        <is>
          <t>SÖDERHAMN</t>
        </is>
      </c>
      <c r="H465" t="inlineStr">
        <is>
          <t>Kyrkan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46229</v>
      </c>
      <c r="F466" t="inlineStr">
        <is>
          <t>GÄVLEBORGS LÄN</t>
        </is>
      </c>
      <c r="G466" t="inlineStr">
        <is>
          <t>SÖDERHAMN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45616</v>
      </c>
      <c r="E467" s="1" t="n">
        <v>46229</v>
      </c>
      <c r="F467" t="inlineStr">
        <is>
          <t>GÄVLEBORGS LÄN</t>
        </is>
      </c>
      <c r="G467" t="inlineStr">
        <is>
          <t>SÖDERHAMN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46229</v>
      </c>
      <c r="F468" t="inlineStr">
        <is>
          <t>GÄVLEBORGS LÄN</t>
        </is>
      </c>
      <c r="G468" t="inlineStr">
        <is>
          <t>SÖDERHAMN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46229</v>
      </c>
      <c r="F469" t="inlineStr">
        <is>
          <t>GÄVLEBORGS LÄN</t>
        </is>
      </c>
      <c r="G469" t="inlineStr">
        <is>
          <t>SÖDERHAMN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46229</v>
      </c>
      <c r="F470" t="inlineStr">
        <is>
          <t>GÄVLEBORGS LÄN</t>
        </is>
      </c>
      <c r="G470" t="inlineStr">
        <is>
          <t>SÖDERHAMN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45222</v>
      </c>
      <c r="E471" s="1" t="n">
        <v>46229</v>
      </c>
      <c r="F471" t="inlineStr">
        <is>
          <t>GÄVLEBORGS LÄN</t>
        </is>
      </c>
      <c r="G471" t="inlineStr">
        <is>
          <t>SÖDERHAMN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46098</v>
      </c>
      <c r="E472" s="1" t="n">
        <v>46229</v>
      </c>
      <c r="F472" t="inlineStr">
        <is>
          <t>GÄVLEBORGS LÄN</t>
        </is>
      </c>
      <c r="G472" t="inlineStr">
        <is>
          <t>SÖDERHAMN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46229</v>
      </c>
      <c r="F473" t="inlineStr">
        <is>
          <t>GÄVLEBORGS LÄN</t>
        </is>
      </c>
      <c r="G473" t="inlineStr">
        <is>
          <t>SÖDERHAMN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46229</v>
      </c>
      <c r="F474" t="inlineStr">
        <is>
          <t>GÄVLEBORGS LÄN</t>
        </is>
      </c>
      <c r="G474" t="inlineStr">
        <is>
          <t>SÖDERHAMN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46229</v>
      </c>
      <c r="F475" t="inlineStr">
        <is>
          <t>GÄVLEBORGS LÄN</t>
        </is>
      </c>
      <c r="G475" t="inlineStr">
        <is>
          <t>SÖDERHAMN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14259-2026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46229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16.2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46229</v>
      </c>
      <c r="F477" t="inlineStr">
        <is>
          <t>GÄVLEBORGS LÄN</t>
        </is>
      </c>
      <c r="G477" t="inlineStr">
        <is>
          <t>SÖDERHAMN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46229</v>
      </c>
      <c r="F478" t="inlineStr">
        <is>
          <t>GÄVLEBORGS LÄN</t>
        </is>
      </c>
      <c r="G478" t="inlineStr">
        <is>
          <t>SÖDERHAMN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14129-2026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46229</v>
      </c>
      <c r="F479" t="inlineStr">
        <is>
          <t>GÄVLEBORGS LÄN</t>
        </is>
      </c>
      <c r="G479" t="inlineStr">
        <is>
          <t>SÖDERHAMN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46229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46229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51292-2023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45219</v>
      </c>
      <c r="E482" s="1" t="n">
        <v>46229</v>
      </c>
      <c r="F482" t="inlineStr">
        <is>
          <t>GÄVLEBORGS LÄN</t>
        </is>
      </c>
      <c r="G482" t="inlineStr">
        <is>
          <t>SÖDERHAMN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15024-2026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46229</v>
      </c>
      <c r="F483" t="inlineStr">
        <is>
          <t>GÄVLEBORGS LÄN</t>
        </is>
      </c>
      <c r="G483" t="inlineStr">
        <is>
          <t>SÖDERHAMN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46229</v>
      </c>
      <c r="F484" t="inlineStr">
        <is>
          <t>GÄVLEBORGS LÄN</t>
        </is>
      </c>
      <c r="G484" t="inlineStr">
        <is>
          <t>SÖDERHAMN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46229</v>
      </c>
      <c r="F485" t="inlineStr">
        <is>
          <t>GÄVLEBORGS LÄN</t>
        </is>
      </c>
      <c r="G485" t="inlineStr">
        <is>
          <t>SÖDERHAMN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46229</v>
      </c>
      <c r="F486" t="inlineStr">
        <is>
          <t>GÄVLEBORGS LÄN</t>
        </is>
      </c>
      <c r="G486" t="inlineStr">
        <is>
          <t>SÖDERHAMN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46229</v>
      </c>
      <c r="F487" t="inlineStr">
        <is>
          <t>GÄVLEBORGS LÄN</t>
        </is>
      </c>
      <c r="G487" t="inlineStr">
        <is>
          <t>SÖDERHAMN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46219</v>
      </c>
      <c r="E488" s="1" t="n">
        <v>46229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46229</v>
      </c>
      <c r="F489" t="inlineStr">
        <is>
          <t>GÄVLEBORGS LÄN</t>
        </is>
      </c>
      <c r="G489" t="inlineStr">
        <is>
          <t>SÖDERHAMN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46229</v>
      </c>
      <c r="F490" t="inlineStr">
        <is>
          <t>GÄVLEBORGS LÄN</t>
        </is>
      </c>
      <c r="G490" t="inlineStr">
        <is>
          <t>SÖDERHAMN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46218</v>
      </c>
      <c r="E491" s="1" t="n">
        <v>46229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45757</v>
      </c>
      <c r="E492" s="1" t="n">
        <v>46229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46219</v>
      </c>
      <c r="E493" s="1" t="n">
        <v>46229</v>
      </c>
      <c r="F493" t="inlineStr">
        <is>
          <t>GÄVLEBORGS LÄN</t>
        </is>
      </c>
      <c r="G493" t="inlineStr">
        <is>
          <t>SÖDERHAMN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46229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46229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46229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31347-2026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46219</v>
      </c>
      <c r="E497" s="1" t="n">
        <v>46229</v>
      </c>
      <c r="F497" t="inlineStr">
        <is>
          <t>GÄVLEBORGS LÄN</t>
        </is>
      </c>
      <c r="G497" t="inlineStr">
        <is>
          <t>SÖDERHAMN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46229</v>
      </c>
      <c r="F498" t="inlineStr">
        <is>
          <t>GÄVLEBORGS LÄN</t>
        </is>
      </c>
      <c r="G498" t="inlineStr">
        <is>
          <t>SÖDERHAMN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46229</v>
      </c>
      <c r="F499" t="inlineStr">
        <is>
          <t>GÄVLEBORGS LÄN</t>
        </is>
      </c>
      <c r="G499" t="inlineStr">
        <is>
          <t>SÖDERHAMN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46229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60698-2023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45260</v>
      </c>
      <c r="E501" s="1" t="n">
        <v>46229</v>
      </c>
      <c r="F501" t="inlineStr">
        <is>
          <t>GÄVLEBORGS LÄN</t>
        </is>
      </c>
      <c r="G501" t="inlineStr">
        <is>
          <t>SÖDERHAMN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46223</v>
      </c>
      <c r="E502" s="1" t="n">
        <v>46229</v>
      </c>
      <c r="F502" t="inlineStr">
        <is>
          <t>GÄVLEBORGS LÄN</t>
        </is>
      </c>
      <c r="G502" t="inlineStr">
        <is>
          <t>SÖDERHAMN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26839-2024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45470</v>
      </c>
      <c r="E503" s="1" t="n">
        <v>46229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16828-2026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46229</v>
      </c>
      <c r="F504" t="inlineStr">
        <is>
          <t>GÄVLEBORGS LÄN</t>
        </is>
      </c>
      <c r="G504" t="inlineStr">
        <is>
          <t>SÖDERHAMN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16908-2026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46229</v>
      </c>
      <c r="F505" t="inlineStr">
        <is>
          <t>GÄVLEBORGS LÄN</t>
        </is>
      </c>
      <c r="G505" t="inlineStr">
        <is>
          <t>SÖDERHAMN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46117</v>
      </c>
      <c r="E506" s="1" t="n">
        <v>46229</v>
      </c>
      <c r="F506" t="inlineStr">
        <is>
          <t>GÄVLEBORGS LÄN</t>
        </is>
      </c>
      <c r="G506" t="inlineStr">
        <is>
          <t>SÖDERHAMN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46117</v>
      </c>
      <c r="E507" s="1" t="n">
        <v>46229</v>
      </c>
      <c r="F507" t="inlineStr">
        <is>
          <t>GÄVLEBORGS LÄN</t>
        </is>
      </c>
      <c r="G507" t="inlineStr">
        <is>
          <t>SÖDERHAMN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46117</v>
      </c>
      <c r="E508" s="1" t="n">
        <v>46229</v>
      </c>
      <c r="F508" t="inlineStr">
        <is>
          <t>GÄVLEBORGS LÄN</t>
        </is>
      </c>
      <c r="G508" t="inlineStr">
        <is>
          <t>SÖDERHAMN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46117</v>
      </c>
      <c r="E509" s="1" t="n">
        <v>46229</v>
      </c>
      <c r="F509" t="inlineStr">
        <is>
          <t>GÄVLEBORGS LÄN</t>
        </is>
      </c>
      <c r="G509" t="inlineStr">
        <is>
          <t>SÖDERHAMN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46229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52518-2024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46229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46229</v>
      </c>
      <c r="F512" t="inlineStr">
        <is>
          <t>GÄVLEBORGS LÄN</t>
        </is>
      </c>
      <c r="G512" t="inlineStr">
        <is>
          <t>SÖDERHAMN</t>
        </is>
      </c>
      <c r="I512" t="n">
        <v>20.9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46122</v>
      </c>
      <c r="E513" s="1" t="n">
        <v>46229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46229</v>
      </c>
      <c r="F514" t="inlineStr">
        <is>
          <t>GÄVLEBORGS LÄN</t>
        </is>
      </c>
      <c r="G514" t="inlineStr">
        <is>
          <t>SÖDERHAMN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46229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46229</v>
      </c>
      <c r="F516" t="inlineStr">
        <is>
          <t>GÄVLEBORGS LÄN</t>
        </is>
      </c>
      <c r="G516" t="inlineStr">
        <is>
          <t>SÖDERHAMN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46229</v>
      </c>
      <c r="F517" t="inlineStr">
        <is>
          <t>GÄVLEBORGS LÄN</t>
        </is>
      </c>
      <c r="G517" t="inlineStr">
        <is>
          <t>SÖDERHAMN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46229</v>
      </c>
      <c r="F518" t="inlineStr">
        <is>
          <t>GÄVLEBORGS LÄN</t>
        </is>
      </c>
      <c r="G518" t="inlineStr">
        <is>
          <t>SÖDERHAMN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14960-2024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45398</v>
      </c>
      <c r="E519" s="1" t="n">
        <v>46229</v>
      </c>
      <c r="F519" t="inlineStr">
        <is>
          <t>GÄVLEBORGS LÄN</t>
        </is>
      </c>
      <c r="G519" t="inlineStr">
        <is>
          <t>SÖDERHAMN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26042-2026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46177</v>
      </c>
      <c r="E520" s="1" t="n">
        <v>46229</v>
      </c>
      <c r="F520" t="inlineStr">
        <is>
          <t>GÄVLEBORGS LÄN</t>
        </is>
      </c>
      <c r="G520" t="inlineStr">
        <is>
          <t>SÖDERHAMN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59216-2021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44490</v>
      </c>
      <c r="E521" s="1" t="n">
        <v>46229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63632-2023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46229</v>
      </c>
      <c r="F522" t="inlineStr">
        <is>
          <t>GÄVLEBORGS LÄN</t>
        </is>
      </c>
      <c r="G522" t="inlineStr">
        <is>
          <t>SÖDERHAMN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46229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45677</v>
      </c>
      <c r="E524" s="1" t="n">
        <v>46229</v>
      </c>
      <c r="F524" t="inlineStr">
        <is>
          <t>GÄVLEBORGS LÄN</t>
        </is>
      </c>
      <c r="G524" t="inlineStr">
        <is>
          <t>SÖDERHAMN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45243</v>
      </c>
      <c r="E525" s="1" t="n">
        <v>46229</v>
      </c>
      <c r="F525" t="inlineStr">
        <is>
          <t>GÄVLEBORGS LÄN</t>
        </is>
      </c>
      <c r="G525" t="inlineStr">
        <is>
          <t>SÖDERHAMN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19310-2026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46229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46229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26213-2026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46182</v>
      </c>
      <c r="E528" s="1" t="n">
        <v>46229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46229</v>
      </c>
      <c r="F529" t="inlineStr">
        <is>
          <t>GÄVLEBORGS LÄN</t>
        </is>
      </c>
      <c r="G529" t="inlineStr">
        <is>
          <t>SÖDERHAMN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49306-2023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45210</v>
      </c>
      <c r="E530" s="1" t="n">
        <v>46229</v>
      </c>
      <c r="F530" t="inlineStr">
        <is>
          <t>GÄVLEBORGS LÄN</t>
        </is>
      </c>
      <c r="G530" t="inlineStr">
        <is>
          <t>SÖDERHAMN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26013-2026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46229</v>
      </c>
      <c r="F531" t="inlineStr">
        <is>
          <t>GÄVLEBORGS LÄN</t>
        </is>
      </c>
      <c r="G531" t="inlineStr">
        <is>
          <t>SÖDERHAMN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45041</v>
      </c>
      <c r="E532" s="1" t="n">
        <v>46229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46229</v>
      </c>
      <c r="F533" t="inlineStr">
        <is>
          <t>GÄVLEBORGS LÄN</t>
        </is>
      </c>
      <c r="G533" t="inlineStr">
        <is>
          <t>SÖDERHAMN</t>
        </is>
      </c>
      <c r="H533" t="inlineStr">
        <is>
          <t>Övriga statliga verk och myndigheter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46229</v>
      </c>
      <c r="F534" t="inlineStr">
        <is>
          <t>GÄVLEBORGS LÄN</t>
        </is>
      </c>
      <c r="G534" t="inlineStr">
        <is>
          <t>SÖDERHAMN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50066-2023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46229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45580</v>
      </c>
      <c r="E536" s="1" t="n">
        <v>46229</v>
      </c>
      <c r="F536" t="inlineStr">
        <is>
          <t>GÄVLEBORGS LÄN</t>
        </is>
      </c>
      <c r="G536" t="inlineStr">
        <is>
          <t>SÖDERHAMN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46229</v>
      </c>
      <c r="F537" t="inlineStr">
        <is>
          <t>GÄVLEBORGS LÄN</t>
        </is>
      </c>
      <c r="G537" t="inlineStr">
        <is>
          <t>SÖDERHAMN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46229</v>
      </c>
      <c r="F538" t="inlineStr">
        <is>
          <t>GÄVLEBORGS LÄN</t>
        </is>
      </c>
      <c r="G538" t="inlineStr">
        <is>
          <t>SÖDERHAMN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46229</v>
      </c>
      <c r="F539" t="inlineStr">
        <is>
          <t>GÄVLEBORGS LÄN</t>
        </is>
      </c>
      <c r="G539" t="inlineStr">
        <is>
          <t>SÖDERHAMN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45107</v>
      </c>
      <c r="E540" s="1" t="n">
        <v>46229</v>
      </c>
      <c r="F540" t="inlineStr">
        <is>
          <t>GÄVLEBORGS LÄN</t>
        </is>
      </c>
      <c r="G540" t="inlineStr">
        <is>
          <t>SÖDERHAMN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51273-2021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44460</v>
      </c>
      <c r="E541" s="1" t="n">
        <v>46229</v>
      </c>
      <c r="F541" t="inlineStr">
        <is>
          <t>GÄVLEBORGS LÄN</t>
        </is>
      </c>
      <c r="G541" t="inlineStr">
        <is>
          <t>SÖDERHAMN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11075-2023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44992</v>
      </c>
      <c r="E542" s="1" t="n">
        <v>46229</v>
      </c>
      <c r="F542" t="inlineStr">
        <is>
          <t>GÄVLEBORGS LÄN</t>
        </is>
      </c>
      <c r="G542" t="inlineStr">
        <is>
          <t>SÖDERHAMN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30336-2022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44760</v>
      </c>
      <c r="E543" s="1" t="n">
        <v>46229</v>
      </c>
      <c r="F543" t="inlineStr">
        <is>
          <t>GÄVLEBORGS LÄN</t>
        </is>
      </c>
      <c r="G543" t="inlineStr">
        <is>
          <t>SÖDERHAMN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46229</v>
      </c>
      <c r="F544" t="inlineStr">
        <is>
          <t>GÄVLEBORGS LÄN</t>
        </is>
      </c>
      <c r="G544" t="inlineStr">
        <is>
          <t>SÖDERHAMN</t>
        </is>
      </c>
      <c r="H544" t="inlineStr">
        <is>
          <t>Kommuner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63932-2023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46229</v>
      </c>
      <c r="F545" t="inlineStr">
        <is>
          <t>GÄVLEBORGS LÄN</t>
        </is>
      </c>
      <c r="G545" t="inlineStr">
        <is>
          <t>SÖDERHAMN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23230-2024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46229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46229</v>
      </c>
      <c r="F547" t="inlineStr">
        <is>
          <t>GÄVLEBORGS LÄN</t>
        </is>
      </c>
      <c r="G547" t="inlineStr">
        <is>
          <t>SÖDERHAMN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44582</v>
      </c>
      <c r="E548" s="1" t="n">
        <v>46229</v>
      </c>
      <c r="F548" t="inlineStr">
        <is>
          <t>GÄVLEBORGS LÄN</t>
        </is>
      </c>
      <c r="G548" t="inlineStr">
        <is>
          <t>SÖDERHAMN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46229</v>
      </c>
      <c r="F549" t="inlineStr">
        <is>
          <t>GÄVLEBORGS LÄN</t>
        </is>
      </c>
      <c r="G549" t="inlineStr">
        <is>
          <t>SÖDERHAMN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37837-2024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45544</v>
      </c>
      <c r="E550" s="1" t="n">
        <v>46229</v>
      </c>
      <c r="F550" t="inlineStr">
        <is>
          <t>GÄVLEBORGS LÄN</t>
        </is>
      </c>
      <c r="G550" t="inlineStr">
        <is>
          <t>SÖDERHAMN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26930-2023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46229</v>
      </c>
      <c r="F551" t="inlineStr">
        <is>
          <t>GÄVLEBORGS LÄN</t>
        </is>
      </c>
      <c r="G551" t="inlineStr">
        <is>
          <t>SÖDERHAMN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45722</v>
      </c>
      <c r="E552" s="1" t="n">
        <v>46229</v>
      </c>
      <c r="F552" t="inlineStr">
        <is>
          <t>GÄVLEBORGS LÄN</t>
        </is>
      </c>
      <c r="G552" t="inlineStr">
        <is>
          <t>SÖDERHAMN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4563-2023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44956</v>
      </c>
      <c r="E553" s="1" t="n">
        <v>46229</v>
      </c>
      <c r="F553" t="inlineStr">
        <is>
          <t>GÄVLEBORGS LÄN</t>
        </is>
      </c>
      <c r="G553" t="inlineStr">
        <is>
          <t>SÖDERHAMN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41648-2024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46229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46229</v>
      </c>
      <c r="F555" t="inlineStr">
        <is>
          <t>GÄVLEBORGS LÄN</t>
        </is>
      </c>
      <c r="G555" t="inlineStr">
        <is>
          <t>SÖDERHAMN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46229</v>
      </c>
      <c r="F556" t="inlineStr">
        <is>
          <t>GÄVLEBORGS LÄN</t>
        </is>
      </c>
      <c r="G556" t="inlineStr">
        <is>
          <t>SÖDERHAMN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45477</v>
      </c>
      <c r="E557" s="1" t="n">
        <v>46229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45096</v>
      </c>
      <c r="E558" s="1" t="n">
        <v>46229</v>
      </c>
      <c r="F558" t="inlineStr">
        <is>
          <t>GÄVLEBORGS LÄN</t>
        </is>
      </c>
      <c r="G558" t="inlineStr">
        <is>
          <t>SÖDERHAMN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46229</v>
      </c>
      <c r="F559" t="inlineStr">
        <is>
          <t>GÄVLEBORGS LÄN</t>
        </is>
      </c>
      <c r="G559" t="inlineStr">
        <is>
          <t>SÖDERHAMN</t>
        </is>
      </c>
      <c r="H559" t="inlineStr">
        <is>
          <t>Kommuner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29979-2023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45108</v>
      </c>
      <c r="E560" s="1" t="n">
        <v>46229</v>
      </c>
      <c r="F560" t="inlineStr">
        <is>
          <t>GÄVLEBORGS LÄN</t>
        </is>
      </c>
      <c r="G560" t="inlineStr">
        <is>
          <t>SÖDERHAMN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46229</v>
      </c>
      <c r="F561" t="inlineStr">
        <is>
          <t>GÄVLEBORGS LÄN</t>
        </is>
      </c>
      <c r="G561" t="inlineStr">
        <is>
          <t>SÖDERHAMN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45597</v>
      </c>
      <c r="E562" s="1" t="n">
        <v>46229</v>
      </c>
      <c r="F562" t="inlineStr">
        <is>
          <t>GÄVLEBORGS LÄN</t>
        </is>
      </c>
      <c r="G562" t="inlineStr">
        <is>
          <t>SÖDERHAMN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45432</v>
      </c>
      <c r="E563" s="1" t="n">
        <v>46229</v>
      </c>
      <c r="F563" t="inlineStr">
        <is>
          <t>GÄVLEBORGS LÄN</t>
        </is>
      </c>
      <c r="G563" t="inlineStr">
        <is>
          <t>SÖDERHAMN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40577-2022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44823</v>
      </c>
      <c r="E564" s="1" t="n">
        <v>46229</v>
      </c>
      <c r="F564" t="inlineStr">
        <is>
          <t>GÄVLEBORGS LÄN</t>
        </is>
      </c>
      <c r="G564" t="inlineStr">
        <is>
          <t>SÖDERHAMN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50809-2024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45602</v>
      </c>
      <c r="E565" s="1" t="n">
        <v>46229</v>
      </c>
      <c r="F565" t="inlineStr">
        <is>
          <t>GÄVLEBORGS LÄN</t>
        </is>
      </c>
      <c r="G565" t="inlineStr">
        <is>
          <t>SÖDERHAMN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46229</v>
      </c>
      <c r="F566" t="inlineStr">
        <is>
          <t>GÄVLEBORGS LÄN</t>
        </is>
      </c>
      <c r="G566" t="inlineStr">
        <is>
          <t>SÖDERHAMN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29982-2023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45108</v>
      </c>
      <c r="E567" s="1" t="n">
        <v>46229</v>
      </c>
      <c r="F567" t="inlineStr">
        <is>
          <t>GÄVLEBORGS LÄN</t>
        </is>
      </c>
      <c r="G567" t="inlineStr">
        <is>
          <t>SÖDERHAMN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46229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46229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45771</v>
      </c>
      <c r="E570" s="1" t="n">
        <v>46229</v>
      </c>
      <c r="F570" t="inlineStr">
        <is>
          <t>GÄVLEBORGS LÄN</t>
        </is>
      </c>
      <c r="G570" t="inlineStr">
        <is>
          <t>SÖDERHAMN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46229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45590</v>
      </c>
      <c r="E572" s="1" t="n">
        <v>46229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46229</v>
      </c>
      <c r="F573" t="inlineStr">
        <is>
          <t>GÄVLEBORGS LÄN</t>
        </is>
      </c>
      <c r="G573" t="inlineStr">
        <is>
          <t>SÖDERHAMN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45327</v>
      </c>
      <c r="E574" s="1" t="n">
        <v>46229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45435</v>
      </c>
      <c r="E575" s="1" t="n">
        <v>46229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46229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46229</v>
      </c>
      <c r="F577" t="inlineStr">
        <is>
          <t>GÄVLEBORGS LÄN</t>
        </is>
      </c>
      <c r="G577" t="inlineStr">
        <is>
          <t>SÖDERHAMN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18909-2025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46229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Kommuner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45113</v>
      </c>
      <c r="E579" s="1" t="n">
        <v>46229</v>
      </c>
      <c r="F579" t="inlineStr">
        <is>
          <t>GÄVLEBORGS LÄN</t>
        </is>
      </c>
      <c r="G579" t="inlineStr">
        <is>
          <t>SÖDERHAMN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46229</v>
      </c>
      <c r="F580" t="inlineStr">
        <is>
          <t>GÄVLEBORGS LÄN</t>
        </is>
      </c>
      <c r="G580" t="inlineStr">
        <is>
          <t>SÖDERHAMN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46229</v>
      </c>
      <c r="F581" t="inlineStr">
        <is>
          <t>GÄVLEBORGS LÄN</t>
        </is>
      </c>
      <c r="G581" t="inlineStr">
        <is>
          <t>SÖDERHAMN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45779</v>
      </c>
      <c r="E582" s="1" t="n">
        <v>46229</v>
      </c>
      <c r="F582" t="inlineStr">
        <is>
          <t>GÄVLEBORGS LÄN</t>
        </is>
      </c>
      <c r="G582" t="inlineStr">
        <is>
          <t>SÖDERHAMN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46229</v>
      </c>
      <c r="F583" t="inlineStr">
        <is>
          <t>GÄVLEBORGS LÄN</t>
        </is>
      </c>
      <c r="G583" t="inlineStr">
        <is>
          <t>SÖDERHAMN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47676-2024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45588</v>
      </c>
      <c r="E584" s="1" t="n">
        <v>46229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46229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45420</v>
      </c>
      <c r="E586" s="1" t="n">
        <v>46229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46229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46229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46229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46229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44698</v>
      </c>
      <c r="E591" s="1" t="n">
        <v>46229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45797</v>
      </c>
      <c r="E592" s="1" t="n">
        <v>46229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46229</v>
      </c>
      <c r="F593" t="inlineStr">
        <is>
          <t>GÄVLEBORGS LÄN</t>
        </is>
      </c>
      <c r="G593" t="inlineStr">
        <is>
          <t>SÖDERHAMN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45442</v>
      </c>
      <c r="E594" s="1" t="n">
        <v>46229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46229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45467</v>
      </c>
      <c r="E596" s="1" t="n">
        <v>46229</v>
      </c>
      <c r="F596" t="inlineStr">
        <is>
          <t>GÄVLEBORGS LÄN</t>
        </is>
      </c>
      <c r="G596" t="inlineStr">
        <is>
          <t>SÖDERHAMN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31676-2022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44776</v>
      </c>
      <c r="E597" s="1" t="n">
        <v>46229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24610-2025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45798</v>
      </c>
      <c r="E598" s="1" t="n">
        <v>46229</v>
      </c>
      <c r="F598" t="inlineStr">
        <is>
          <t>GÄVLEBORGS LÄN</t>
        </is>
      </c>
      <c r="G598" t="inlineStr">
        <is>
          <t>SÖDERHAMN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46229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46229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46229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45805</v>
      </c>
      <c r="E602" s="1" t="n">
        <v>46229</v>
      </c>
      <c r="F602" t="inlineStr">
        <is>
          <t>GÄVLEBORGS LÄN</t>
        </is>
      </c>
      <c r="G602" t="inlineStr">
        <is>
          <t>SÖDERHAMN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46229</v>
      </c>
      <c r="F603" t="inlineStr">
        <is>
          <t>GÄVLEBORGS LÄN</t>
        </is>
      </c>
      <c r="G603" t="inlineStr">
        <is>
          <t>SÖDERHAMN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45272</v>
      </c>
      <c r="E604" s="1" t="n">
        <v>46229</v>
      </c>
      <c r="F604" t="inlineStr">
        <is>
          <t>GÄVLEBORGS LÄN</t>
        </is>
      </c>
      <c r="G604" t="inlineStr">
        <is>
          <t>SÖDERHAMN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46229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54799-2022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44883</v>
      </c>
      <c r="E606" s="1" t="n">
        <v>46229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45810</v>
      </c>
      <c r="E607" s="1" t="n">
        <v>46229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46229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45821</v>
      </c>
      <c r="E609" s="1" t="n">
        <v>46229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45824</v>
      </c>
      <c r="E610" s="1" t="n">
        <v>46229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45824</v>
      </c>
      <c r="E611" s="1" t="n">
        <v>46229</v>
      </c>
      <c r="F611" t="inlineStr">
        <is>
          <t>GÄVLEBORGS LÄN</t>
        </is>
      </c>
      <c r="G611" t="inlineStr">
        <is>
          <t>SÖDERHAMN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45826</v>
      </c>
      <c r="E612" s="1" t="n">
        <v>46229</v>
      </c>
      <c r="F612" t="inlineStr">
        <is>
          <t>GÄVLEBORGS LÄN</t>
        </is>
      </c>
      <c r="G612" t="inlineStr">
        <is>
          <t>SÖDERHAMN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46229</v>
      </c>
      <c r="F613" t="inlineStr">
        <is>
          <t>GÄVLEBORGS LÄN</t>
        </is>
      </c>
      <c r="G613" t="inlineStr">
        <is>
          <t>SÖDERHAMN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50268-2024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46229</v>
      </c>
      <c r="F614" t="inlineStr">
        <is>
          <t>GÄVLEBORGS LÄN</t>
        </is>
      </c>
      <c r="G614" t="inlineStr">
        <is>
          <t>SÖDERHAMN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45436</v>
      </c>
      <c r="E615" s="1" t="n">
        <v>46229</v>
      </c>
      <c r="F615" t="inlineStr">
        <is>
          <t>GÄVLEBORGS LÄN</t>
        </is>
      </c>
      <c r="G615" t="inlineStr">
        <is>
          <t>SÖDERHAMN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46229</v>
      </c>
      <c r="F616" t="inlineStr">
        <is>
          <t>GÄVLEBORGS LÄN</t>
        </is>
      </c>
      <c r="G616" t="inlineStr">
        <is>
          <t>SÖDERHAMN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45847</v>
      </c>
      <c r="E617" s="1" t="n">
        <v>46229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46229</v>
      </c>
      <c r="F618" t="inlineStr">
        <is>
          <t>GÄVLEBORGS LÄN</t>
        </is>
      </c>
      <c r="G618" t="inlineStr">
        <is>
          <t>SÖDERHAMN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46229</v>
      </c>
      <c r="F619" t="inlineStr">
        <is>
          <t>GÄVLEBORGS LÄN</t>
        </is>
      </c>
      <c r="G619" t="inlineStr">
        <is>
          <t>SÖDERHAMN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45863</v>
      </c>
      <c r="E620" s="1" t="n">
        <v>46229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36186-2025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46229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46229</v>
      </c>
      <c r="F622" t="inlineStr">
        <is>
          <t>GÄVLEBORGS LÄN</t>
        </is>
      </c>
      <c r="G622" t="inlineStr">
        <is>
          <t>SÖDERHAMN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46229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46229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46229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46229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46229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2026-07-26T01:51:44Z</dcterms:created>
  <dcterms:modified xmlns:dcterms="http://purl.org/dc/terms/" xmlns:xsi="http://www.w3.org/2001/XMLSchema-instance" xsi:type="dcterms:W3CDTF">2026-07-26T01:51:45Z</dcterms:modified>
</cp:coreProperties>
</file>