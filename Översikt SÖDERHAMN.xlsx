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46297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46297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46297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46297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46297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46297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46297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46297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46297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46297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46297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46297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46297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46297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46297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46297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46297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46297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46297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46297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46297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46297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46297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46297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A 53562-2024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46297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3.6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2</v>
      </c>
      <c r="V26" s="2" t="inlineStr">
        <is>
          <t>Havsörn
Fläcknycklar</t>
        </is>
      </c>
      <c r="W26">
        <f>HYPERLINK("https://klasma.github.io/Logging_2182/artfynd/A 53562-2024 artfynd.xlsx", "A 53562-2024")</f>
        <v/>
      </c>
      <c r="X26">
        <f>HYPERLINK("https://klasma.github.io/Logging_2182/kartor/A 53562-2024 karta.png", "A 53562-2024")</f>
        <v/>
      </c>
      <c r="Y26">
        <f>HYPERLINK("https://klasma.github.io/Logging_2182/kartor_geotiff/A 53562-2024 georefererad karta.tif", "A 53562-2024")</f>
        <v/>
      </c>
      <c r="AA26">
        <f>HYPERLINK("https://klasma.github.io/Logging_2182/klagomål/A 53562-2024 FSC-klagomål.docx", "A 53562-2024")</f>
        <v/>
      </c>
      <c r="AB26">
        <f>HYPERLINK("https://klasma.github.io/Logging_2182/klagomålsmail/A 53562-2024 FSC-klagomål mail.docx", "A 53562-2024")</f>
        <v/>
      </c>
      <c r="AC26">
        <f>HYPERLINK("https://klasma.github.io/Logging_2182/tillsyn/A 53562-2024 tillsynsbegäran.docx", "A 53562-2024")</f>
        <v/>
      </c>
      <c r="AD26">
        <f>HYPERLINK("https://klasma.github.io/Logging_2182/tillsynsmail/A 53562-2024 tillsynsbegäran mail.docx", "A 53562-2024")</f>
        <v/>
      </c>
      <c r="AE26">
        <f>HYPERLINK("https://klasma.github.io/Logging_2182/fåglar/A 53562-2024 prioriterade fågelarter.docx", "A 53562-2024")</f>
        <v/>
      </c>
    </row>
    <row r="27" ht="15" customHeight="1">
      <c r="A27" t="inlineStr">
        <is>
          <t>A 19921-2025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45771</v>
      </c>
      <c r="E27" s="1" t="n">
        <v>46297</v>
      </c>
      <c r="F27" t="inlineStr">
        <is>
          <t>GÄVLEBORGS LÄN</t>
        </is>
      </c>
      <c r="G27" t="inlineStr">
        <is>
          <t>SÖDERHAMN</t>
        </is>
      </c>
      <c r="I27" t="n">
        <v>5.2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Mörk kolflarnlav</t>
        </is>
      </c>
      <c r="W27">
        <f>HYPERLINK("https://klasma.github.io/Logging_2182/artfynd/A 19921-2025 artfynd.xlsx", "A 19921-2025")</f>
        <v/>
      </c>
      <c r="X27">
        <f>HYPERLINK("https://klasma.github.io/Logging_2182/kartor/A 19921-2025 karta.png", "A 19921-2025")</f>
        <v/>
      </c>
      <c r="Y27">
        <f>HYPERLINK("https://klasma.github.io/Logging_2182/kartor_geotiff/A 19921-2025 georefererad karta.tif", "A 19921-2025")</f>
        <v/>
      </c>
      <c r="AA27">
        <f>HYPERLINK("https://klasma.github.io/Logging_2182/klagomål/A 19921-2025 FSC-klagomål.docx", "A 19921-2025")</f>
        <v/>
      </c>
      <c r="AB27">
        <f>HYPERLINK("https://klasma.github.io/Logging_2182/klagomålsmail/A 19921-2025 FSC-klagomål mail.docx", "A 19921-2025")</f>
        <v/>
      </c>
      <c r="AC27">
        <f>HYPERLINK("https://klasma.github.io/Logging_2182/tillsyn/A 19921-2025 tillsynsbegäran.docx", "A 19921-2025")</f>
        <v/>
      </c>
      <c r="AD27">
        <f>HYPERLINK("https://klasma.github.io/Logging_2182/tillsynsmail/A 19921-2025 tillsynsbegäran mail.docx", "A 19921-2025")</f>
        <v/>
      </c>
    </row>
    <row r="28" ht="15" customHeight="1">
      <c r="A28" t="inlineStr">
        <is>
          <t>S 14-2024</t>
        </is>
      </c>
      <c r="B28" t="inlineStr">
        <is>
          <t>samrådsanmälan</t>
        </is>
      </c>
      <c r="C28" t="inlineStr">
        <is>
          <t>Skogsgödsling</t>
        </is>
      </c>
      <c r="D28" s="1" t="n">
        <v>45293</v>
      </c>
      <c r="E28" s="1" t="n">
        <v>46297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21.8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Vårärt
Svart trolldruva</t>
        </is>
      </c>
      <c r="W28">
        <f>HYPERLINK("https://klasma.github.io/Logging_2182/artfynd/S 14-2024 artfynd.xlsx", "S 14-2024")</f>
        <v/>
      </c>
      <c r="X28">
        <f>HYPERLINK("https://klasma.github.io/Logging_2182/kartor/S 14-2024 karta.png", "S 14-2024")</f>
        <v/>
      </c>
      <c r="Y28">
        <f>HYPERLINK("https://klasma.github.io/Logging_2182/kartor_geotiff/S 14-2024 georefererad karta.tif", "S 14-2024")</f>
        <v/>
      </c>
      <c r="AA28">
        <f>HYPERLINK("https://klasma.github.io/Logging_2182/klagomål/S 14-2024 FSC-klagomål.docx", "S 14-2024")</f>
        <v/>
      </c>
      <c r="AB28">
        <f>HYPERLINK("https://klasma.github.io/Logging_2182/klagomålsmail/S 14-2024 FSC-klagomål mail.docx", "S 14-2024")</f>
        <v/>
      </c>
      <c r="AC28">
        <f>HYPERLINK("https://klasma.github.io/Logging_2182/tillsyn/S 14-2024 tillsynsbegäran.docx", "S 14-2024")</f>
        <v/>
      </c>
      <c r="AD28">
        <f>HYPERLINK("https://klasma.github.io/Logging_2182/tillsynsmail/S 14-2024 tillsynsbegäran mail.docx", "S 14-2024")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46297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46297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46297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46297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Barkticka</t>
        </is>
      </c>
      <c r="W32">
        <f>HYPERLINK("https://klasma.github.io/Logging_2182/artfynd/A 6060-2026 artfynd.xlsx", "A 6060-2026")</f>
        <v/>
      </c>
      <c r="X32">
        <f>HYPERLINK("https://klasma.github.io/Logging_2182/kartor/A 6060-2026 karta.png", "A 6060-2026")</f>
        <v/>
      </c>
      <c r="Y32">
        <f>HYPERLINK("https://klasma.github.io/Logging_2182/kartor_geotiff/A 6060-2026 georefererad karta.tif", "A 6060-2026")</f>
        <v/>
      </c>
      <c r="AA32">
        <f>HYPERLINK("https://klasma.github.io/Logging_2182/klagomål/A 6060-2026 FSC-klagomål.docx", "A 6060-2026")</f>
        <v/>
      </c>
      <c r="AB32">
        <f>HYPERLINK("https://klasma.github.io/Logging_2182/klagomålsmail/A 6060-2026 FSC-klagomål mail.docx", "A 6060-2026")</f>
        <v/>
      </c>
      <c r="AC32">
        <f>HYPERLINK("https://klasma.github.io/Logging_2182/tillsyn/A 6060-2026 tillsynsbegäran.docx", "A 6060-2026")</f>
        <v/>
      </c>
      <c r="AD32">
        <f>HYPERLINK("https://klasma.github.io/Logging_2182/tillsynsmail/A 6060-2026 tillsynsbegäran mail.docx", "A 6060-2026")</f>
        <v/>
      </c>
    </row>
    <row r="33" ht="15" customHeight="1">
      <c r="A33" t="inlineStr">
        <is>
          <t>A 9284-2026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46297</v>
      </c>
      <c r="F33" t="inlineStr">
        <is>
          <t>GÄVLEBORGS LÄN</t>
        </is>
      </c>
      <c r="G33" t="inlineStr">
        <is>
          <t>SÖDERHAMN</t>
        </is>
      </c>
      <c r="I33" t="n">
        <v>0.2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HYPERLINK("https://klasma.github.io/Logging_2182/artfynd/A 9284-2026 artfynd.xlsx", "A 9284-2026")</f>
        <v/>
      </c>
      <c r="X33">
        <f>HYPERLINK("https://klasma.github.io/Logging_2182/kartor/A 9284-2026 karta.png", "A 9284-2026")</f>
        <v/>
      </c>
      <c r="Y33">
        <f>HYPERLINK("https://klasma.github.io/Logging_2182/kartor_geotiff/A 9284-2026 georefererad karta.tif", "A 9284-2026")</f>
        <v/>
      </c>
      <c r="Z33">
        <f>HYPERLINK("https://klasma.github.io/Logging_2182/knärot/A 9284-2026 karta knärot.png", "A 9284-2026")</f>
        <v/>
      </c>
      <c r="AA33">
        <f>HYPERLINK("https://klasma.github.io/Logging_2182/klagomål/A 9284-2026 FSC-klagomål.docx", "A 9284-2026")</f>
        <v/>
      </c>
      <c r="AB33">
        <f>HYPERLINK("https://klasma.github.io/Logging_2182/klagomålsmail/A 9284-2026 FSC-klagomål mail.docx", "A 9284-2026")</f>
        <v/>
      </c>
      <c r="AC33">
        <f>HYPERLINK("https://klasma.github.io/Logging_2182/tillsyn/A 9284-2026 tillsynsbegäran.docx", "A 9284-2026")</f>
        <v/>
      </c>
      <c r="AD33">
        <f>HYPERLINK("https://klasma.github.io/Logging_2182/tillsynsmail/A 9284-2026 tillsynsbegäran mail.docx", "A 9284-2026")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46297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46297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46297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17412-2023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46297</v>
      </c>
      <c r="F37" t="inlineStr">
        <is>
          <t>GÄVLEBORGS LÄN</t>
        </is>
      </c>
      <c r="G37" t="inlineStr">
        <is>
          <t>SÖDERHAMN</t>
        </is>
      </c>
      <c r="I37" t="n">
        <v>4.8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HYPERLINK("https://klasma.github.io/Logging_2182/artfynd/A 17412-2023 artfynd.xlsx", "A 17412-2023")</f>
        <v/>
      </c>
      <c r="X37">
        <f>HYPERLINK("https://klasma.github.io/Logging_2182/kartor/A 17412-2023 karta.png", "A 17412-2023")</f>
        <v/>
      </c>
      <c r="Y37">
        <f>HYPERLINK("https://klasma.github.io/Logging_2182/kartor_geotiff/A 17412-2023 georefererad karta.tif", "A 17412-2023")</f>
        <v/>
      </c>
      <c r="AA37">
        <f>HYPERLINK("https://klasma.github.io/Logging_2182/klagomål/A 17412-2023 FSC-klagomål.docx", "A 17412-2023")</f>
        <v/>
      </c>
      <c r="AB37">
        <f>HYPERLINK("https://klasma.github.io/Logging_2182/klagomålsmail/A 17412-2023 FSC-klagomål mail.docx", "A 17412-2023")</f>
        <v/>
      </c>
      <c r="AC37">
        <f>HYPERLINK("https://klasma.github.io/Logging_2182/tillsyn/A 17412-2023 tillsynsbegäran.docx", "A 17412-2023")</f>
        <v/>
      </c>
      <c r="AD37">
        <f>HYPERLINK("https://klasma.github.io/Logging_2182/tillsynsmail/A 17412-2023 tillsynsbegäran mail.docx", "A 17412-2023")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46297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46297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29834-2025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46297</v>
      </c>
      <c r="F40" t="inlineStr">
        <is>
          <t>GÄVLEBORGS LÄN</t>
        </is>
      </c>
      <c r="G40" t="inlineStr">
        <is>
          <t>SÖDERHAMN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HYPERLINK("https://klasma.github.io/Logging_2182/artfynd/A 29834-2025 artfynd.xlsx", "A 29834-2025")</f>
        <v/>
      </c>
      <c r="X40">
        <f>HYPERLINK("https://klasma.github.io/Logging_2182/kartor/A 29834-2025 karta.png", "A 29834-2025")</f>
        <v/>
      </c>
      <c r="Y40">
        <f>HYPERLINK("https://klasma.github.io/Logging_2182/kartor_geotiff/A 29834-2025 georefererad karta.tif", "A 29834-2025")</f>
        <v/>
      </c>
      <c r="AA40">
        <f>HYPERLINK("https://klasma.github.io/Logging_2182/klagomål/A 29834-2025 FSC-klagomål.docx", "A 29834-2025")</f>
        <v/>
      </c>
      <c r="AB40">
        <f>HYPERLINK("https://klasma.github.io/Logging_2182/klagomålsmail/A 29834-2025 FSC-klagomål mail.docx", "A 29834-2025")</f>
        <v/>
      </c>
      <c r="AC40">
        <f>HYPERLINK("https://klasma.github.io/Logging_2182/tillsyn/A 29834-2025 tillsynsbegäran.docx", "A 29834-2025")</f>
        <v/>
      </c>
      <c r="AD40">
        <f>HYPERLINK("https://klasma.github.io/Logging_2182/tillsynsmail/A 29834-2025 tillsynsbegäran mail.docx", "A 29834-2025")</f>
        <v/>
      </c>
    </row>
    <row r="41" ht="15" customHeight="1">
      <c r="A41" t="inlineStr">
        <is>
          <t>A 55768-2025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45972</v>
      </c>
      <c r="E41" s="1" t="n">
        <v>46297</v>
      </c>
      <c r="F41" t="inlineStr">
        <is>
          <t>GÄVLEBORGS LÄN</t>
        </is>
      </c>
      <c r="G41" t="inlineStr">
        <is>
          <t>SÖDERHAMN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Sydlig ladlav</t>
        </is>
      </c>
      <c r="W41">
        <f>HYPERLINK("https://klasma.github.io/Logging_2182/artfynd/A 55768-2025 artfynd.xlsx", "A 55768-2025")</f>
        <v/>
      </c>
      <c r="X41">
        <f>HYPERLINK("https://klasma.github.io/Logging_2182/kartor/A 55768-2025 karta.png", "A 55768-2025")</f>
        <v/>
      </c>
      <c r="Y41">
        <f>HYPERLINK("https://klasma.github.io/Logging_2182/kartor_geotiff/A 55768-2025 georefererad karta.tif", "A 55768-2025")</f>
        <v/>
      </c>
      <c r="AA41">
        <f>HYPERLINK("https://klasma.github.io/Logging_2182/klagomål/A 55768-2025 FSC-klagomål.docx", "A 55768-2025")</f>
        <v/>
      </c>
      <c r="AB41">
        <f>HYPERLINK("https://klasma.github.io/Logging_2182/klagomålsmail/A 55768-2025 FSC-klagomål mail.docx", "A 55768-2025")</f>
        <v/>
      </c>
      <c r="AC41">
        <f>HYPERLINK("https://klasma.github.io/Logging_2182/tillsyn/A 55768-2025 tillsynsbegäran.docx", "A 55768-2025")</f>
        <v/>
      </c>
      <c r="AD41">
        <f>HYPERLINK("https://klasma.github.io/Logging_2182/tillsynsmail/A 55768-2025 tillsynsbegäran mail.docx", "A 55768-2025")</f>
        <v/>
      </c>
    </row>
    <row r="42" ht="15" customHeight="1">
      <c r="A42" t="inlineStr">
        <is>
          <t>A 40097-2024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46297</v>
      </c>
      <c r="F42" t="inlineStr">
        <is>
          <t>GÄVLEBORGS LÄN</t>
        </is>
      </c>
      <c r="G42" t="inlineStr">
        <is>
          <t>SÖDERHAMN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40097-2024 artfynd.xlsx", "A 40097-2024")</f>
        <v/>
      </c>
      <c r="X42">
        <f>HYPERLINK("https://klasma.github.io/Logging_2182/kartor/A 40097-2024 karta.png", "A 40097-2024")</f>
        <v/>
      </c>
      <c r="Y42">
        <f>HYPERLINK("https://klasma.github.io/Logging_2182/kartor_geotiff/A 40097-2024 georefererad karta.tif", "A 40097-2024")</f>
        <v/>
      </c>
      <c r="AA42">
        <f>HYPERLINK("https://klasma.github.io/Logging_2182/klagomål/A 40097-2024 FSC-klagomål.docx", "A 40097-2024")</f>
        <v/>
      </c>
      <c r="AB42">
        <f>HYPERLINK("https://klasma.github.io/Logging_2182/klagomålsmail/A 40097-2024 FSC-klagomål mail.docx", "A 40097-2024")</f>
        <v/>
      </c>
      <c r="AC42">
        <f>HYPERLINK("https://klasma.github.io/Logging_2182/tillsyn/A 40097-2024 tillsynsbegäran.docx", "A 40097-2024")</f>
        <v/>
      </c>
      <c r="AD42">
        <f>HYPERLINK("https://klasma.github.io/Logging_2182/tillsynsmail/A 40097-2024 tillsynsbegäran mail.docx", "A 40097-2024")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46297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58261-2024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46297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58261-2024 artfynd.xlsx", "A 58261-2024")</f>
        <v/>
      </c>
      <c r="X44">
        <f>HYPERLINK("https://klasma.github.io/Logging_2182/kartor/A 58261-2024 karta.png", "A 58261-2024")</f>
        <v/>
      </c>
      <c r="Y44">
        <f>HYPERLINK("https://klasma.github.io/Logging_2182/kartor_geotiff/A 58261-2024 georefererad karta.tif", "A 58261-2024")</f>
        <v/>
      </c>
      <c r="AA44">
        <f>HYPERLINK("https://klasma.github.io/Logging_2182/klagomål/A 58261-2024 FSC-klagomål.docx", "A 58261-2024")</f>
        <v/>
      </c>
      <c r="AB44">
        <f>HYPERLINK("https://klasma.github.io/Logging_2182/klagomålsmail/A 58261-2024 FSC-klagomål mail.docx", "A 58261-2024")</f>
        <v/>
      </c>
      <c r="AC44">
        <f>HYPERLINK("https://klasma.github.io/Logging_2182/tillsyn/A 58261-2024 tillsynsbegäran.docx", "A 58261-2024")</f>
        <v/>
      </c>
      <c r="AD44">
        <f>HYPERLINK("https://klasma.github.io/Logging_2182/tillsynsmail/A 58261-2024 tillsynsbegäran mail.docx", "A 58261-2024")</f>
        <v/>
      </c>
    </row>
    <row r="45" ht="15" customHeight="1">
      <c r="A45" t="inlineStr">
        <is>
          <t>A 41258-2022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46297</v>
      </c>
      <c r="F45" t="inlineStr">
        <is>
          <t>GÄVLEBORGS LÄN</t>
        </is>
      </c>
      <c r="G45" t="inlineStr">
        <is>
          <t>SÖDERHAMN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Rosenticka</t>
        </is>
      </c>
      <c r="W45">
        <f>HYPERLINK("https://klasma.github.io/Logging_2182/artfynd/A 41258-2022 artfynd.xlsx", "A 41258-2022")</f>
        <v/>
      </c>
      <c r="X45">
        <f>HYPERLINK("https://klasma.github.io/Logging_2182/kartor/A 41258-2022 karta.png", "A 41258-2022")</f>
        <v/>
      </c>
      <c r="Y45">
        <f>HYPERLINK("https://klasma.github.io/Logging_2182/kartor_geotiff/A 41258-2022 georefererad karta.tif", "A 41258-2022")</f>
        <v/>
      </c>
      <c r="AA45">
        <f>HYPERLINK("https://klasma.github.io/Logging_2182/klagomål/A 41258-2022 FSC-klagomål.docx", "A 41258-2022")</f>
        <v/>
      </c>
      <c r="AB45">
        <f>HYPERLINK("https://klasma.github.io/Logging_2182/klagomålsmail/A 41258-2022 FSC-klagomål mail.docx", "A 41258-2022")</f>
        <v/>
      </c>
      <c r="AC45">
        <f>HYPERLINK("https://klasma.github.io/Logging_2182/tillsyn/A 41258-2022 tillsynsbegäran.docx", "A 41258-2022")</f>
        <v/>
      </c>
      <c r="AD45">
        <f>HYPERLINK("https://klasma.github.io/Logging_2182/tillsynsmail/A 41258-2022 tillsynsbegäran mail.docx", "A 41258-2022")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46297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46297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46297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46297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54608-2024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46297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HYPERLINK("https://klasma.github.io/Logging_2182/artfynd/A 54608-2024 artfynd.xlsx", "A 54608-2024")</f>
        <v/>
      </c>
      <c r="X50">
        <f>HYPERLINK("https://klasma.github.io/Logging_2182/kartor/A 54608-2024 karta.png", "A 54608-2024")</f>
        <v/>
      </c>
      <c r="Y50">
        <f>HYPERLINK("https://klasma.github.io/Logging_2182/kartor_geotiff/A 54608-2024 georefererad karta.tif", "A 54608-2024")</f>
        <v/>
      </c>
      <c r="AA50">
        <f>HYPERLINK("https://klasma.github.io/Logging_2182/klagomål/A 54608-2024 FSC-klagomål.docx", "A 54608-2024")</f>
        <v/>
      </c>
      <c r="AB50">
        <f>HYPERLINK("https://klasma.github.io/Logging_2182/klagomålsmail/A 54608-2024 FSC-klagomål mail.docx", "A 54608-2024")</f>
        <v/>
      </c>
      <c r="AC50">
        <f>HYPERLINK("https://klasma.github.io/Logging_2182/tillsyn/A 54608-2024 tillsynsbegäran.docx", "A 54608-2024")</f>
        <v/>
      </c>
      <c r="AD50">
        <f>HYPERLINK("https://klasma.github.io/Logging_2182/tillsynsmail/A 54608-2024 tillsynsbegäran mail.docx", "A 54608-2024")</f>
        <v/>
      </c>
    </row>
    <row r="51" ht="15" customHeight="1">
      <c r="A51" t="inlineStr">
        <is>
          <t>A 57441-2024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46297</v>
      </c>
      <c r="F51" t="inlineStr">
        <is>
          <t>GÄVLEBORGS LÄN</t>
        </is>
      </c>
      <c r="G51" t="inlineStr">
        <is>
          <t>SÖDERHAMN</t>
        </is>
      </c>
      <c r="I51" t="n">
        <v>0.6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Ullticka</t>
        </is>
      </c>
      <c r="W51">
        <f>HYPERLINK("https://klasma.github.io/Logging_2182/artfynd/A 57441-2024 artfynd.xlsx", "A 57441-2024")</f>
        <v/>
      </c>
      <c r="X51">
        <f>HYPERLINK("https://klasma.github.io/Logging_2182/kartor/A 57441-2024 karta.png", "A 57441-2024")</f>
        <v/>
      </c>
      <c r="Y51">
        <f>HYPERLINK("https://klasma.github.io/Logging_2182/kartor_geotiff/A 57441-2024 georefererad karta.tif", "A 57441-2024")</f>
        <v/>
      </c>
      <c r="AA51">
        <f>HYPERLINK("https://klasma.github.io/Logging_2182/klagomål/A 57441-2024 FSC-klagomål.docx", "A 57441-2024")</f>
        <v/>
      </c>
      <c r="AB51">
        <f>HYPERLINK("https://klasma.github.io/Logging_2182/klagomålsmail/A 57441-2024 FSC-klagomål mail.docx", "A 57441-2024")</f>
        <v/>
      </c>
      <c r="AC51">
        <f>HYPERLINK("https://klasma.github.io/Logging_2182/tillsyn/A 57441-2024 tillsynsbegäran.docx", "A 57441-2024")</f>
        <v/>
      </c>
      <c r="AD51">
        <f>HYPERLINK("https://klasma.github.io/Logging_2182/tillsynsmail/A 57441-2024 tillsynsbegäran mail.docx", "A 57441-2024")</f>
        <v/>
      </c>
    </row>
    <row r="52" ht="15" customHeight="1">
      <c r="A52" t="inlineStr">
        <is>
          <t>A 43682-2024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46297</v>
      </c>
      <c r="F52" t="inlineStr">
        <is>
          <t>GÄVLEBORGS LÄN</t>
        </is>
      </c>
      <c r="G52" t="inlineStr">
        <is>
          <t>SÖDERHAMN</t>
        </is>
      </c>
      <c r="I52" t="n">
        <v>3.8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Garnlav</t>
        </is>
      </c>
      <c r="W52">
        <f>HYPERLINK("https://klasma.github.io/Logging_2182/artfynd/A 43682-2024 artfynd.xlsx", "A 43682-2024")</f>
        <v/>
      </c>
      <c r="X52">
        <f>HYPERLINK("https://klasma.github.io/Logging_2182/kartor/A 43682-2024 karta.png", "A 43682-2024")</f>
        <v/>
      </c>
      <c r="Y52">
        <f>HYPERLINK("https://klasma.github.io/Logging_2182/kartor_geotiff/A 43682-2024 georefererad karta.tif", "A 43682-2024")</f>
        <v/>
      </c>
      <c r="AA52">
        <f>HYPERLINK("https://klasma.github.io/Logging_2182/klagomål/A 43682-2024 FSC-klagomål.docx", "A 43682-2024")</f>
        <v/>
      </c>
      <c r="AB52">
        <f>HYPERLINK("https://klasma.github.io/Logging_2182/klagomålsmail/A 43682-2024 FSC-klagomål mail.docx", "A 43682-2024")</f>
        <v/>
      </c>
      <c r="AC52">
        <f>HYPERLINK("https://klasma.github.io/Logging_2182/tillsyn/A 43682-2024 tillsynsbegäran.docx", "A 43682-2024")</f>
        <v/>
      </c>
      <c r="AD52">
        <f>HYPERLINK("https://klasma.github.io/Logging_2182/tillsynsmail/A 43682-2024 tillsynsbegäran mail.docx", "A 43682-2024")</f>
        <v/>
      </c>
    </row>
    <row r="53" ht="15" customHeight="1">
      <c r="A53" t="inlineStr">
        <is>
          <t>A 21316-2024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45440</v>
      </c>
      <c r="E53" s="1" t="n">
        <v>46297</v>
      </c>
      <c r="F53" t="inlineStr">
        <is>
          <t>GÄVLEBORGS LÄN</t>
        </is>
      </c>
      <c r="G53" t="inlineStr">
        <is>
          <t>SÖDERHAMN</t>
        </is>
      </c>
      <c r="H53" t="inlineStr">
        <is>
          <t>Kommuner</t>
        </is>
      </c>
      <c r="I53" t="n">
        <v>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Brunfläckig pärlemorfjäril</t>
        </is>
      </c>
      <c r="W53">
        <f>HYPERLINK("https://klasma.github.io/Logging_2182/artfynd/A 21316-2024 artfynd.xlsx", "A 21316-2024")</f>
        <v/>
      </c>
      <c r="X53">
        <f>HYPERLINK("https://klasma.github.io/Logging_2182/kartor/A 21316-2024 karta.png", "A 21316-2024")</f>
        <v/>
      </c>
      <c r="Y53">
        <f>HYPERLINK("https://klasma.github.io/Logging_2182/kartor_geotiff/A 21316-2024 georefererad karta.tif", "A 21316-2024")</f>
        <v/>
      </c>
      <c r="AA53">
        <f>HYPERLINK("https://klasma.github.io/Logging_2182/klagomål/A 21316-2024 FSC-klagomål.docx", "A 21316-2024")</f>
        <v/>
      </c>
      <c r="AB53">
        <f>HYPERLINK("https://klasma.github.io/Logging_2182/klagomålsmail/A 21316-2024 FSC-klagomål mail.docx", "A 21316-2024")</f>
        <v/>
      </c>
      <c r="AC53">
        <f>HYPERLINK("https://klasma.github.io/Logging_2182/tillsyn/A 21316-2024 tillsynsbegäran.docx", "A 21316-2024")</f>
        <v/>
      </c>
      <c r="AD53">
        <f>HYPERLINK("https://klasma.github.io/Logging_2182/tillsynsmail/A 21316-2024 tillsynsbegäran mail.docx", "A 21316-2024")</f>
        <v/>
      </c>
    </row>
    <row r="54" ht="15" customHeight="1">
      <c r="A54" t="inlineStr">
        <is>
          <t>S 19-2024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45293</v>
      </c>
      <c r="E54" s="1" t="n">
        <v>46297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30.7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HYPERLINK("https://klasma.github.io/Logging_2182/artfynd/S 19-2024 artfynd.xlsx", "S 19-2024")</f>
        <v/>
      </c>
      <c r="X54">
        <f>HYPERLINK("https://klasma.github.io/Logging_2182/kartor/S 19-2024 karta.png", "S 19-2024")</f>
        <v/>
      </c>
      <c r="Y54">
        <f>HYPERLINK("https://klasma.github.io/Logging_2182/kartor_geotiff/S 19-2024 georefererad karta.tif", "S 19-2024")</f>
        <v/>
      </c>
      <c r="AA54">
        <f>HYPERLINK("https://klasma.github.io/Logging_2182/klagomål/S 19-2024 FSC-klagomål.docx", "S 19-2024")</f>
        <v/>
      </c>
      <c r="AB54">
        <f>HYPERLINK("https://klasma.github.io/Logging_2182/klagomålsmail/S 19-2024 FSC-klagomål mail.docx", "S 19-2024")</f>
        <v/>
      </c>
      <c r="AC54">
        <f>HYPERLINK("https://klasma.github.io/Logging_2182/tillsyn/S 19-2024 tillsynsbegäran.docx", "S 19-2024")</f>
        <v/>
      </c>
      <c r="AD54">
        <f>HYPERLINK("https://klasma.github.io/Logging_2182/tillsynsmail/S 19-2024 tillsynsbegäran mail.docx", "S 19-2024")</f>
        <v/>
      </c>
      <c r="AE54">
        <f>HYPERLINK("https://klasma.github.io/Logging_2182/fåglar/S 19-2024 prioriterade fågelarter.docx", "S 19-2024")</f>
        <v/>
      </c>
    </row>
    <row r="55" ht="15" customHeight="1">
      <c r="A55" t="inlineStr">
        <is>
          <t>A 64152-2021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44510</v>
      </c>
      <c r="E55" s="1" t="n">
        <v>46297</v>
      </c>
      <c r="F55" t="inlineStr">
        <is>
          <t>GÄVLEBORGS LÄN</t>
        </is>
      </c>
      <c r="G55" t="inlineStr">
        <is>
          <t>SÖDERHAMN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44783</v>
      </c>
      <c r="E56" s="1" t="n">
        <v>46297</v>
      </c>
      <c r="F56" t="inlineStr">
        <is>
          <t>GÄVLEBORGS LÄN</t>
        </is>
      </c>
      <c r="G56" t="inlineStr">
        <is>
          <t>SÖDERHAMN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46297</v>
      </c>
      <c r="F57" t="inlineStr">
        <is>
          <t>GÄVLEBORGS LÄN</t>
        </is>
      </c>
      <c r="G57" t="inlineStr">
        <is>
          <t>SÖDERHAMN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18503-2022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46297</v>
      </c>
      <c r="F58" t="inlineStr">
        <is>
          <t>GÄVLEBORGS LÄN</t>
        </is>
      </c>
      <c r="G58" t="inlineStr">
        <is>
          <t>SÖDERHAMN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46297</v>
      </c>
      <c r="F59" t="inlineStr">
        <is>
          <t>GÄVLEBORGS LÄN</t>
        </is>
      </c>
      <c r="G59" t="inlineStr">
        <is>
          <t>SÖDERHAMN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46297</v>
      </c>
      <c r="F60" t="inlineStr">
        <is>
          <t>GÄVLEBORGS LÄN</t>
        </is>
      </c>
      <c r="G60" t="inlineStr">
        <is>
          <t>SÖDERHAMN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46297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46297</v>
      </c>
      <c r="F62" t="inlineStr">
        <is>
          <t>GÄVLEBORGS LÄN</t>
        </is>
      </c>
      <c r="G62" t="inlineStr">
        <is>
          <t>SÖDERHAMN</t>
        </is>
      </c>
      <c r="I62" t="n">
        <v>15.1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46297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46297</v>
      </c>
      <c r="F64" t="inlineStr">
        <is>
          <t>GÄVLEBORGS LÄN</t>
        </is>
      </c>
      <c r="G64" t="inlineStr">
        <is>
          <t>SÖDERHAMN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46297</v>
      </c>
      <c r="F65" t="inlineStr">
        <is>
          <t>GÄVLEBORGS LÄN</t>
        </is>
      </c>
      <c r="G65" t="inlineStr">
        <is>
          <t>SÖDERHAMN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44740</v>
      </c>
      <c r="E66" s="1" t="n">
        <v>46297</v>
      </c>
      <c r="F66" t="inlineStr">
        <is>
          <t>GÄVLEBORGS LÄN</t>
        </is>
      </c>
      <c r="G66" t="inlineStr">
        <is>
          <t>SÖDERHAMN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46297</v>
      </c>
      <c r="F67" t="inlineStr">
        <is>
          <t>GÄVLEBORGS LÄN</t>
        </is>
      </c>
      <c r="G67" t="inlineStr">
        <is>
          <t>SÖDERHAMN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46297</v>
      </c>
      <c r="F68" t="inlineStr">
        <is>
          <t>GÄVLEBORGS LÄN</t>
        </is>
      </c>
      <c r="G68" t="inlineStr">
        <is>
          <t>SÖDERHAMN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46297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46297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46297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46297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46297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46297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46297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46297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46297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46297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46297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46297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46297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46297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46297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46297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46297</v>
      </c>
      <c r="F85" t="inlineStr">
        <is>
          <t>GÄVLEBORGS LÄN</t>
        </is>
      </c>
      <c r="G85" t="inlineStr">
        <is>
          <t>SÖDERHAMN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45698</v>
      </c>
      <c r="E86" s="1" t="n">
        <v>46297</v>
      </c>
      <c r="F86" t="inlineStr">
        <is>
          <t>GÄVLEBORGS LÄN</t>
        </is>
      </c>
      <c r="G86" t="inlineStr">
        <is>
          <t>SÖDERHAMN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45565</v>
      </c>
      <c r="E87" s="1" t="n">
        <v>46297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46297</v>
      </c>
      <c r="F88" t="inlineStr">
        <is>
          <t>GÄVLEBORGS LÄN</t>
        </is>
      </c>
      <c r="G88" t="inlineStr">
        <is>
          <t>SÖDERHAMN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44856</v>
      </c>
      <c r="E89" s="1" t="n">
        <v>46297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45327</v>
      </c>
      <c r="E90" s="1" t="n">
        <v>46297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45775</v>
      </c>
      <c r="E91" s="1" t="n">
        <v>46297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45342</v>
      </c>
      <c r="E92" s="1" t="n">
        <v>46297</v>
      </c>
      <c r="F92" t="inlineStr">
        <is>
          <t>GÄVLEBORGS LÄN</t>
        </is>
      </c>
      <c r="G92" t="inlineStr">
        <is>
          <t>SÖDERHAMN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46297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46297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46297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44823</v>
      </c>
      <c r="E96" s="1" t="n">
        <v>46297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11653-2024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46297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46297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46297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46297</v>
      </c>
      <c r="F100" t="inlineStr">
        <is>
          <t>GÄVLEBORGS LÄN</t>
        </is>
      </c>
      <c r="G100" t="inlineStr">
        <is>
          <t>SÖDERHAMN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46297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46297</v>
      </c>
      <c r="F102" t="inlineStr">
        <is>
          <t>GÄVLEBORGS LÄN</t>
        </is>
      </c>
      <c r="G102" t="inlineStr">
        <is>
          <t>SÖDERHAMN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46297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72644-2021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46297</v>
      </c>
      <c r="F104" t="inlineStr">
        <is>
          <t>GÄVLEBORGS LÄN</t>
        </is>
      </c>
      <c r="G104" t="inlineStr">
        <is>
          <t>SÖDERHAMN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46297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46026</v>
      </c>
      <c r="E106" s="1" t="n">
        <v>46297</v>
      </c>
      <c r="F106" t="inlineStr">
        <is>
          <t>GÄVLEBORGS LÄN</t>
        </is>
      </c>
      <c r="G106" t="inlineStr">
        <is>
          <t>SÖDERHAMN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46026</v>
      </c>
      <c r="E107" s="1" t="n">
        <v>46297</v>
      </c>
      <c r="F107" t="inlineStr">
        <is>
          <t>GÄVLEBORGS LÄN</t>
        </is>
      </c>
      <c r="G107" t="inlineStr">
        <is>
          <t>SÖDERHAMN</t>
        </is>
      </c>
      <c r="I107" t="n">
        <v>12.9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46297</v>
      </c>
      <c r="F108" t="inlineStr">
        <is>
          <t>GÄVLEBORGS LÄN</t>
        </is>
      </c>
      <c r="G108" t="inlineStr">
        <is>
          <t>SÖDERHAMN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46297</v>
      </c>
      <c r="F109" t="inlineStr">
        <is>
          <t>GÄVLEBORGS LÄN</t>
        </is>
      </c>
      <c r="G109" t="inlineStr">
        <is>
          <t>SÖDERHAMN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46024</v>
      </c>
      <c r="E110" s="1" t="n">
        <v>46297</v>
      </c>
      <c r="F110" t="inlineStr">
        <is>
          <t>GÄVLEBORGS LÄN</t>
        </is>
      </c>
      <c r="G110" t="inlineStr">
        <is>
          <t>SÖDERHAMN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46297</v>
      </c>
      <c r="F111" t="inlineStr">
        <is>
          <t>GÄVLEBORGS LÄN</t>
        </is>
      </c>
      <c r="G111" t="inlineStr">
        <is>
          <t>SÖDERHAMN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46297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46297</v>
      </c>
      <c r="F113" t="inlineStr">
        <is>
          <t>GÄVLEBORGS LÄN</t>
        </is>
      </c>
      <c r="G113" t="inlineStr">
        <is>
          <t>SÖDERHAMN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46297</v>
      </c>
      <c r="F114" t="inlineStr">
        <is>
          <t>GÄVLEBORGS LÄN</t>
        </is>
      </c>
      <c r="G114" t="inlineStr">
        <is>
          <t>SÖDERHAMN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46297</v>
      </c>
      <c r="F115" t="inlineStr">
        <is>
          <t>GÄVLEBORGS LÄN</t>
        </is>
      </c>
      <c r="G115" t="inlineStr">
        <is>
          <t>SÖDERHAMN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46297</v>
      </c>
      <c r="F116" t="inlineStr">
        <is>
          <t>GÄVLEBORGS LÄN</t>
        </is>
      </c>
      <c r="G116" t="inlineStr">
        <is>
          <t>SÖDERHAMN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45442</v>
      </c>
      <c r="E117" s="1" t="n">
        <v>46297</v>
      </c>
      <c r="F117" t="inlineStr">
        <is>
          <t>GÄVLEBORGS LÄN</t>
        </is>
      </c>
      <c r="G117" t="inlineStr">
        <is>
          <t>SÖDERHAMN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46297</v>
      </c>
      <c r="F118" t="inlineStr">
        <is>
          <t>GÄVLEBORGS LÄN</t>
        </is>
      </c>
      <c r="G118" t="inlineStr">
        <is>
          <t>SÖDERHAMN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46297</v>
      </c>
      <c r="F119" t="inlineStr">
        <is>
          <t>GÄVLEBORGS LÄN</t>
        </is>
      </c>
      <c r="G119" t="inlineStr">
        <is>
          <t>SÖDERHAMN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46297</v>
      </c>
      <c r="F120" t="inlineStr">
        <is>
          <t>GÄVLEBORGS LÄN</t>
        </is>
      </c>
      <c r="G120" t="inlineStr">
        <is>
          <t>SÖDERHAMN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45597</v>
      </c>
      <c r="E121" s="1" t="n">
        <v>46297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46297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46297</v>
      </c>
      <c r="F123" t="inlineStr">
        <is>
          <t>GÄVLEBORGS LÄN</t>
        </is>
      </c>
      <c r="G123" t="inlineStr">
        <is>
          <t>SÖDERHAMN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45545</v>
      </c>
      <c r="E124" s="1" t="n">
        <v>46297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46297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46297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46297</v>
      </c>
      <c r="F127" t="inlineStr">
        <is>
          <t>GÄVLEBORGS LÄN</t>
        </is>
      </c>
      <c r="G127" t="inlineStr">
        <is>
          <t>SÖDERHAMN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46297</v>
      </c>
      <c r="F128" t="inlineStr">
        <is>
          <t>GÄVLEBORGS LÄN</t>
        </is>
      </c>
      <c r="G128" t="inlineStr">
        <is>
          <t>SÖDERHAMN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46297</v>
      </c>
      <c r="F129" t="inlineStr">
        <is>
          <t>GÄVLEBORGS LÄN</t>
        </is>
      </c>
      <c r="G129" t="inlineStr">
        <is>
          <t>SÖDERHAMN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46297</v>
      </c>
      <c r="F130" t="inlineStr">
        <is>
          <t>GÄVLEBORGS LÄN</t>
        </is>
      </c>
      <c r="G130" t="inlineStr">
        <is>
          <t>SÖDERHAMN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46297</v>
      </c>
      <c r="F131" t="inlineStr">
        <is>
          <t>GÄVLEBORGS LÄN</t>
        </is>
      </c>
      <c r="G131" t="inlineStr">
        <is>
          <t>SÖDERHAMN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46297</v>
      </c>
      <c r="F132" t="inlineStr">
        <is>
          <t>GÄVLEBORGS LÄN</t>
        </is>
      </c>
      <c r="G132" t="inlineStr">
        <is>
          <t>SÖDERHAMN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46297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46297</v>
      </c>
      <c r="F134" t="inlineStr">
        <is>
          <t>GÄVLEBORGS LÄN</t>
        </is>
      </c>
      <c r="G134" t="inlineStr">
        <is>
          <t>SÖDERHAMN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46297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46297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46297</v>
      </c>
      <c r="F137" t="inlineStr">
        <is>
          <t>GÄVLEBORGS LÄN</t>
        </is>
      </c>
      <c r="G137" t="inlineStr">
        <is>
          <t>SÖDERHAMN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46297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46041</v>
      </c>
      <c r="E139" s="1" t="n">
        <v>46297</v>
      </c>
      <c r="F139" t="inlineStr">
        <is>
          <t>GÄVLEBORGS LÄN</t>
        </is>
      </c>
      <c r="G139" t="inlineStr">
        <is>
          <t>SÖDERHAMN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46297</v>
      </c>
      <c r="F140" t="inlineStr">
        <is>
          <t>GÄVLEBORGS LÄN</t>
        </is>
      </c>
      <c r="G140" t="inlineStr">
        <is>
          <t>SÖDERHAMN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46297</v>
      </c>
      <c r="F141" t="inlineStr">
        <is>
          <t>GÄVLEBORGS LÄN</t>
        </is>
      </c>
      <c r="G141" t="inlineStr">
        <is>
          <t>SÖDERHAMN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46043</v>
      </c>
      <c r="E142" s="1" t="n">
        <v>46297</v>
      </c>
      <c r="F142" t="inlineStr">
        <is>
          <t>GÄVLEBORGS LÄN</t>
        </is>
      </c>
      <c r="G142" t="inlineStr">
        <is>
          <t>SÖDERHAMN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46297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46297</v>
      </c>
      <c r="F144" t="inlineStr">
        <is>
          <t>GÄVLEBORGS LÄN</t>
        </is>
      </c>
      <c r="G144" t="inlineStr">
        <is>
          <t>SÖDERHAMN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46297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45432</v>
      </c>
      <c r="E146" s="1" t="n">
        <v>46297</v>
      </c>
      <c r="F146" t="inlineStr">
        <is>
          <t>GÄVLEBORGS LÄN</t>
        </is>
      </c>
      <c r="G146" t="inlineStr">
        <is>
          <t>SÖDERHAMN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46297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46297</v>
      </c>
      <c r="F148" t="inlineStr">
        <is>
          <t>GÄVLEBORGS LÄN</t>
        </is>
      </c>
      <c r="G148" t="inlineStr">
        <is>
          <t>SÖDERHAMN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46297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46297</v>
      </c>
      <c r="F150" t="inlineStr">
        <is>
          <t>GÄVLEBORGS LÄN</t>
        </is>
      </c>
      <c r="G150" t="inlineStr">
        <is>
          <t>SÖDERHAMN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24610-2025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45798</v>
      </c>
      <c r="E151" s="1" t="n">
        <v>46297</v>
      </c>
      <c r="F151" t="inlineStr">
        <is>
          <t>GÄVLEBORGS LÄN</t>
        </is>
      </c>
      <c r="G151" t="inlineStr">
        <is>
          <t>SÖDERHAMN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46297</v>
      </c>
      <c r="F152" t="inlineStr">
        <is>
          <t>GÄVLEBORGS LÄN</t>
        </is>
      </c>
      <c r="G152" t="inlineStr">
        <is>
          <t>SÖDERHAMN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31676-2022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44776</v>
      </c>
      <c r="E153" s="1" t="n">
        <v>46297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46297</v>
      </c>
      <c r="F154" t="inlineStr">
        <is>
          <t>GÄVLEBORGS LÄN</t>
        </is>
      </c>
      <c r="G154" t="inlineStr">
        <is>
          <t>SÖDERHAMN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45762</v>
      </c>
      <c r="E155" s="1" t="n">
        <v>46297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45899</v>
      </c>
      <c r="E156" s="1" t="n">
        <v>46297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45471</v>
      </c>
      <c r="E157" s="1" t="n">
        <v>46297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45467</v>
      </c>
      <c r="E158" s="1" t="n">
        <v>46297</v>
      </c>
      <c r="F158" t="inlineStr">
        <is>
          <t>GÄVLEBORGS LÄN</t>
        </is>
      </c>
      <c r="G158" t="inlineStr">
        <is>
          <t>SÖDERHAMN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46297</v>
      </c>
      <c r="F159" t="inlineStr">
        <is>
          <t>GÄVLEBORGS LÄN</t>
        </is>
      </c>
      <c r="G159" t="inlineStr">
        <is>
          <t>SÖDERHAMN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46297</v>
      </c>
      <c r="F160" t="inlineStr">
        <is>
          <t>GÄVLEBORGS LÄN</t>
        </is>
      </c>
      <c r="G160" t="inlineStr">
        <is>
          <t>SÖDERHAMN</t>
        </is>
      </c>
      <c r="I160" t="n">
        <v>14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46297</v>
      </c>
      <c r="F161" t="inlineStr">
        <is>
          <t>GÄVLEBORGS LÄN</t>
        </is>
      </c>
      <c r="G161" t="inlineStr">
        <is>
          <t>SÖDERHAMN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46297</v>
      </c>
      <c r="F162" t="inlineStr">
        <is>
          <t>GÄVLEBORGS LÄN</t>
        </is>
      </c>
      <c r="G162" t="inlineStr">
        <is>
          <t>SÖDERHAMN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45905</v>
      </c>
      <c r="E163" s="1" t="n">
        <v>46297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46297</v>
      </c>
      <c r="F164" t="inlineStr">
        <is>
          <t>GÄVLEBORGS LÄN</t>
        </is>
      </c>
      <c r="G164" t="inlineStr">
        <is>
          <t>SÖDERHAMN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46297</v>
      </c>
      <c r="F165" t="inlineStr">
        <is>
          <t>GÄVLEBORGS LÄN</t>
        </is>
      </c>
      <c r="G165" t="inlineStr">
        <is>
          <t>SÖDERHAMN</t>
        </is>
      </c>
      <c r="H165" t="inlineStr">
        <is>
          <t>Övriga statliga verk och myndigheter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46062</v>
      </c>
      <c r="E166" s="1" t="n">
        <v>46297</v>
      </c>
      <c r="F166" t="inlineStr">
        <is>
          <t>GÄVLEBORGS LÄN</t>
        </is>
      </c>
      <c r="G166" t="inlineStr">
        <is>
          <t>SÖDERHAMN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46297</v>
      </c>
      <c r="F167" t="inlineStr">
        <is>
          <t>GÄVLEBORGS LÄN</t>
        </is>
      </c>
      <c r="G167" t="inlineStr">
        <is>
          <t>SÖDERHAMN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46297</v>
      </c>
      <c r="F168" t="inlineStr">
        <is>
          <t>GÄVLEBORGS LÄN</t>
        </is>
      </c>
      <c r="G168" t="inlineStr">
        <is>
          <t>SÖDERHAMN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46297</v>
      </c>
      <c r="F169" t="inlineStr">
        <is>
          <t>GÄVLEBORGS LÄN</t>
        </is>
      </c>
      <c r="G169" t="inlineStr">
        <is>
          <t>SÖDERHAMN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46297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46297</v>
      </c>
      <c r="F171" t="inlineStr">
        <is>
          <t>GÄVLEBORGS LÄN</t>
        </is>
      </c>
      <c r="G171" t="inlineStr">
        <is>
          <t>SÖDERHAMN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46297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46297</v>
      </c>
      <c r="F173" t="inlineStr">
        <is>
          <t>GÄVLEBORGS LÄN</t>
        </is>
      </c>
      <c r="G173" t="inlineStr">
        <is>
          <t>SÖDERHAMN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46297</v>
      </c>
      <c r="F174" t="inlineStr">
        <is>
          <t>GÄVLEBORGS LÄN</t>
        </is>
      </c>
      <c r="G174" t="inlineStr">
        <is>
          <t>SÖDERHAMN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46297</v>
      </c>
      <c r="F175" t="inlineStr">
        <is>
          <t>GÄVLEBORGS LÄN</t>
        </is>
      </c>
      <c r="G175" t="inlineStr">
        <is>
          <t>SÖDERHAMN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46297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46297</v>
      </c>
      <c r="F177" t="inlineStr">
        <is>
          <t>GÄVLEBORGS LÄN</t>
        </is>
      </c>
      <c r="G177" t="inlineStr">
        <is>
          <t>SÖDERHAMN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46297</v>
      </c>
      <c r="F178" t="inlineStr">
        <is>
          <t>GÄVLEBORGS LÄN</t>
        </is>
      </c>
      <c r="G178" t="inlineStr">
        <is>
          <t>SÖDERHAMN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46297</v>
      </c>
      <c r="F179" t="inlineStr">
        <is>
          <t>GÄVLEBORGS LÄN</t>
        </is>
      </c>
      <c r="G179" t="inlineStr">
        <is>
          <t>SÖDERHAMN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45545</v>
      </c>
      <c r="E180" s="1" t="n">
        <v>46297</v>
      </c>
      <c r="F180" t="inlineStr">
        <is>
          <t>GÄVLEBORGS LÄN</t>
        </is>
      </c>
      <c r="G180" t="inlineStr">
        <is>
          <t>SÖDERHAMN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46297</v>
      </c>
      <c r="F181" t="inlineStr">
        <is>
          <t>GÄVLEBORGS LÄN</t>
        </is>
      </c>
      <c r="G181" t="inlineStr">
        <is>
          <t>SÖDERHAMN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46297</v>
      </c>
      <c r="F182" t="inlineStr">
        <is>
          <t>GÄVLEBORGS LÄN</t>
        </is>
      </c>
      <c r="G182" t="inlineStr">
        <is>
          <t>SÖDERHAMN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46297</v>
      </c>
      <c r="F183" t="inlineStr">
        <is>
          <t>GÄVLEBORGS LÄN</t>
        </is>
      </c>
      <c r="G183" t="inlineStr">
        <is>
          <t>SÖDERHAMN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46297</v>
      </c>
      <c r="F184" t="inlineStr">
        <is>
          <t>GÄVLEBORGS LÄN</t>
        </is>
      </c>
      <c r="G184" t="inlineStr">
        <is>
          <t>SÖDERHAMN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46297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46297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45428</v>
      </c>
      <c r="E187" s="1" t="n">
        <v>46297</v>
      </c>
      <c r="F187" t="inlineStr">
        <is>
          <t>GÄVLEBORGS LÄN</t>
        </is>
      </c>
      <c r="G187" t="inlineStr">
        <is>
          <t>SÖDERHAMN</t>
        </is>
      </c>
      <c r="H187" t="inlineStr">
        <is>
          <t>Bergvik skog väst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42902-2024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45566</v>
      </c>
      <c r="E188" s="1" t="n">
        <v>46297</v>
      </c>
      <c r="F188" t="inlineStr">
        <is>
          <t>GÄVLEBORGS LÄN</t>
        </is>
      </c>
      <c r="G188" t="inlineStr">
        <is>
          <t>SÖDERHAMN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46297</v>
      </c>
      <c r="F189" t="inlineStr">
        <is>
          <t>GÄVLEBORGS LÄN</t>
        </is>
      </c>
      <c r="G189" t="inlineStr">
        <is>
          <t>SÖDERHAMN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46297</v>
      </c>
      <c r="F190" t="inlineStr">
        <is>
          <t>GÄVLEBORGS LÄN</t>
        </is>
      </c>
      <c r="G190" t="inlineStr">
        <is>
          <t>SÖDERHAMN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46297</v>
      </c>
      <c r="F191" t="inlineStr">
        <is>
          <t>GÄVLEBORGS LÄN</t>
        </is>
      </c>
      <c r="G191" t="inlineStr">
        <is>
          <t>SÖDERHAMN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46073</v>
      </c>
      <c r="E192" s="1" t="n">
        <v>46297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46297</v>
      </c>
      <c r="F193" t="inlineStr">
        <is>
          <t>GÄVLEBORGS LÄN</t>
        </is>
      </c>
      <c r="G193" t="inlineStr">
        <is>
          <t>SÖDERHAMN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46297</v>
      </c>
      <c r="F194" t="inlineStr">
        <is>
          <t>GÄVLEBORGS LÄN</t>
        </is>
      </c>
      <c r="G194" t="inlineStr">
        <is>
          <t>SÖDERHAMN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46297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45604</v>
      </c>
      <c r="E196" s="1" t="n">
        <v>46297</v>
      </c>
      <c r="F196" t="inlineStr">
        <is>
          <t>GÄVLEBORGS LÄN</t>
        </is>
      </c>
      <c r="G196" t="inlineStr">
        <is>
          <t>SÖDERHAMN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46297</v>
      </c>
      <c r="F197" t="inlineStr">
        <is>
          <t>GÄVLEBORGS LÄN</t>
        </is>
      </c>
      <c r="G197" t="inlineStr">
        <is>
          <t>SÖDERHAMN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46297</v>
      </c>
      <c r="F198" t="inlineStr">
        <is>
          <t>GÄVLEBORGS LÄN</t>
        </is>
      </c>
      <c r="G198" t="inlineStr">
        <is>
          <t>SÖDERHAMN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46297</v>
      </c>
      <c r="F199" t="inlineStr">
        <is>
          <t>GÄVLEBORGS LÄN</t>
        </is>
      </c>
      <c r="G199" t="inlineStr">
        <is>
          <t>SÖDERHAMN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46297</v>
      </c>
      <c r="F200" t="inlineStr">
        <is>
          <t>GÄVLEBORGS LÄN</t>
        </is>
      </c>
      <c r="G200" t="inlineStr">
        <is>
          <t>SÖDERHAMN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46297</v>
      </c>
      <c r="F201" t="inlineStr">
        <is>
          <t>GÄVLEBORGS LÄN</t>
        </is>
      </c>
      <c r="G201" t="inlineStr">
        <is>
          <t>SÖDERHAMN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45936</v>
      </c>
      <c r="E202" s="1" t="n">
        <v>46297</v>
      </c>
      <c r="F202" t="inlineStr">
        <is>
          <t>GÄVLEBORGS LÄN</t>
        </is>
      </c>
      <c r="G202" t="inlineStr">
        <is>
          <t>SÖDERHAMN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46297</v>
      </c>
      <c r="F203" t="inlineStr">
        <is>
          <t>GÄVLEBORGS LÄN</t>
        </is>
      </c>
      <c r="G203" t="inlineStr">
        <is>
          <t>SÖDERHAMN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46085</v>
      </c>
      <c r="E204" s="1" t="n">
        <v>46297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46297</v>
      </c>
      <c r="F205" t="inlineStr">
        <is>
          <t>GÄVLEBORGS LÄN</t>
        </is>
      </c>
      <c r="G205" t="inlineStr">
        <is>
          <t>SÖDERHAMN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46297</v>
      </c>
      <c r="F206" t="inlineStr">
        <is>
          <t>GÄVLEBORGS LÄN</t>
        </is>
      </c>
      <c r="G206" t="inlineStr">
        <is>
          <t>SÖDERHAMN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54799-2022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44883</v>
      </c>
      <c r="E207" s="1" t="n">
        <v>46297</v>
      </c>
      <c r="F207" t="inlineStr">
        <is>
          <t>GÄVLEBORGS LÄN</t>
        </is>
      </c>
      <c r="G207" t="inlineStr">
        <is>
          <t>SÖDERHAMN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46297</v>
      </c>
      <c r="F208" t="inlineStr">
        <is>
          <t>GÄVLEBORGS LÄN</t>
        </is>
      </c>
      <c r="G208" t="inlineStr">
        <is>
          <t>SÖDERHAMN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1458-2023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44937</v>
      </c>
      <c r="E209" s="1" t="n">
        <v>46297</v>
      </c>
      <c r="F209" t="inlineStr">
        <is>
          <t>GÄVLEBORGS LÄN</t>
        </is>
      </c>
      <c r="G209" t="inlineStr">
        <is>
          <t>SÖDERHAMN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45944</v>
      </c>
      <c r="E210" s="1" t="n">
        <v>46297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46297</v>
      </c>
      <c r="F211" t="inlineStr">
        <is>
          <t>GÄVLEBORGS LÄN</t>
        </is>
      </c>
      <c r="G211" t="inlineStr">
        <is>
          <t>SÖDERHAMN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46297</v>
      </c>
      <c r="F212" t="inlineStr">
        <is>
          <t>GÄVLEBORGS LÄN</t>
        </is>
      </c>
      <c r="G212" t="inlineStr">
        <is>
          <t>SÖDERHAMN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29802-2023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46297</v>
      </c>
      <c r="F213" t="inlineStr">
        <is>
          <t>GÄVLEBORGS LÄN</t>
        </is>
      </c>
      <c r="G213" t="inlineStr">
        <is>
          <t>SÖDERHAMN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45272</v>
      </c>
      <c r="E214" s="1" t="n">
        <v>46297</v>
      </c>
      <c r="F214" t="inlineStr">
        <is>
          <t>GÄVLEBORGS LÄN</t>
        </is>
      </c>
      <c r="G214" t="inlineStr">
        <is>
          <t>SÖDERHAMN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46093</v>
      </c>
      <c r="E215" s="1" t="n">
        <v>46297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45260</v>
      </c>
      <c r="E216" s="1" t="n">
        <v>46297</v>
      </c>
      <c r="F216" t="inlineStr">
        <is>
          <t>GÄVLEBORGS LÄN</t>
        </is>
      </c>
      <c r="G216" t="inlineStr">
        <is>
          <t>SÖDERHAMN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46297</v>
      </c>
      <c r="F217" t="inlineStr">
        <is>
          <t>GÄVLEBORGS LÄN</t>
        </is>
      </c>
      <c r="G217" t="inlineStr">
        <is>
          <t>SÖDERHAMN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46297</v>
      </c>
      <c r="F218" t="inlineStr">
        <is>
          <t>GÄVLEBORGS LÄN</t>
        </is>
      </c>
      <c r="G218" t="inlineStr">
        <is>
          <t>SÖDERHAMN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46297</v>
      </c>
      <c r="F219" t="inlineStr">
        <is>
          <t>GÄVLEBORGS LÄN</t>
        </is>
      </c>
      <c r="G219" t="inlineStr">
        <is>
          <t>SÖDERHAMN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46297</v>
      </c>
      <c r="F220" t="inlineStr">
        <is>
          <t>GÄVLEBORGS LÄN</t>
        </is>
      </c>
      <c r="G220" t="inlineStr">
        <is>
          <t>SÖDERHAMN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46297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46297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16.2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46297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46297</v>
      </c>
      <c r="F224" t="inlineStr">
        <is>
          <t>GÄVLEBORGS LÄN</t>
        </is>
      </c>
      <c r="G224" t="inlineStr">
        <is>
          <t>SÖDERHAMN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46297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46297</v>
      </c>
      <c r="F226" t="inlineStr">
        <is>
          <t>GÄVLEBORGS LÄN</t>
        </is>
      </c>
      <c r="G226" t="inlineStr">
        <is>
          <t>SÖDERHAMN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46297</v>
      </c>
      <c r="F227" t="inlineStr">
        <is>
          <t>GÄVLEBORGS LÄN</t>
        </is>
      </c>
      <c r="G227" t="inlineStr">
        <is>
          <t>SÖDERHAMN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46297</v>
      </c>
      <c r="F228" t="inlineStr">
        <is>
          <t>GÄVLEBORGS LÄN</t>
        </is>
      </c>
      <c r="G228" t="inlineStr">
        <is>
          <t>SÖDERHAMN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46104</v>
      </c>
      <c r="E229" s="1" t="n">
        <v>46297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46297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46297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46297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46297</v>
      </c>
      <c r="F233" t="inlineStr">
        <is>
          <t>GÄVLEBORGS LÄN</t>
        </is>
      </c>
      <c r="G233" t="inlineStr">
        <is>
          <t>SÖDERHAMN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46297</v>
      </c>
      <c r="F234" t="inlineStr">
        <is>
          <t>GÄVLEBORGS LÄN</t>
        </is>
      </c>
      <c r="G234" t="inlineStr">
        <is>
          <t>SÖDERHAMN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46297</v>
      </c>
      <c r="F235" t="inlineStr">
        <is>
          <t>GÄVLEBORGS LÄN</t>
        </is>
      </c>
      <c r="G235" t="inlineStr">
        <is>
          <t>SÖDERHAMN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46297</v>
      </c>
      <c r="F236" t="inlineStr">
        <is>
          <t>GÄVLEBORGS LÄN</t>
        </is>
      </c>
      <c r="G236" t="inlineStr">
        <is>
          <t>SÖDERHAMN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46297</v>
      </c>
      <c r="F237" t="inlineStr">
        <is>
          <t>GÄVLEBORGS LÄN</t>
        </is>
      </c>
      <c r="G237" t="inlineStr">
        <is>
          <t>SÖDERHAMN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45398</v>
      </c>
      <c r="E238" s="1" t="n">
        <v>46297</v>
      </c>
      <c r="F238" t="inlineStr">
        <is>
          <t>GÄVLEBORGS LÄN</t>
        </is>
      </c>
      <c r="G238" t="inlineStr">
        <is>
          <t>SÖDERHAMN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46297</v>
      </c>
      <c r="F239" t="inlineStr">
        <is>
          <t>GÄVLEBORGS LÄN</t>
        </is>
      </c>
      <c r="G239" t="inlineStr">
        <is>
          <t>SÖDERHAMN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34752-2024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45526</v>
      </c>
      <c r="E240" s="1" t="n">
        <v>46297</v>
      </c>
      <c r="F240" t="inlineStr">
        <is>
          <t>GÄVLEBORGS LÄN</t>
        </is>
      </c>
      <c r="G240" t="inlineStr">
        <is>
          <t>SÖDERHAMN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46297</v>
      </c>
      <c r="F241" t="inlineStr">
        <is>
          <t>GÄVLEBORGS LÄN</t>
        </is>
      </c>
      <c r="G241" t="inlineStr">
        <is>
          <t>SÖDERHAMN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46297</v>
      </c>
      <c r="F242" t="inlineStr">
        <is>
          <t>GÄVLEBORGS LÄN</t>
        </is>
      </c>
      <c r="G242" t="inlineStr">
        <is>
          <t>SÖDERHAMN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46108</v>
      </c>
      <c r="E243" s="1" t="n">
        <v>46297</v>
      </c>
      <c r="F243" t="inlineStr">
        <is>
          <t>GÄVLEBORGS LÄN</t>
        </is>
      </c>
      <c r="G243" t="inlineStr">
        <is>
          <t>SÖDERHAMN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46297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46297</v>
      </c>
      <c r="F245" t="inlineStr">
        <is>
          <t>GÄVLEBORGS LÄN</t>
        </is>
      </c>
      <c r="G245" t="inlineStr">
        <is>
          <t>SÖDERHAMN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46297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46297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46297</v>
      </c>
      <c r="F248" t="inlineStr">
        <is>
          <t>GÄVLEBORGS LÄN</t>
        </is>
      </c>
      <c r="G248" t="inlineStr">
        <is>
          <t>SÖDERHAMN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46297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46297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46297</v>
      </c>
      <c r="F251" t="inlineStr">
        <is>
          <t>GÄVLEBORGS LÄN</t>
        </is>
      </c>
      <c r="G251" t="inlineStr">
        <is>
          <t>SÖDERHAMN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46297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46297</v>
      </c>
      <c r="F253" t="inlineStr">
        <is>
          <t>GÄVLEBORGS LÄN</t>
        </is>
      </c>
      <c r="G253" t="inlineStr">
        <is>
          <t>SÖDERHAMN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46297</v>
      </c>
      <c r="F254" t="inlineStr">
        <is>
          <t>GÄVLEBORGS LÄN</t>
        </is>
      </c>
      <c r="G254" t="inlineStr">
        <is>
          <t>SÖDERHAMN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46297</v>
      </c>
      <c r="F255" t="inlineStr">
        <is>
          <t>GÄVLEBORGS LÄN</t>
        </is>
      </c>
      <c r="G255" t="inlineStr">
        <is>
          <t>SÖDERHAMN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55711-2025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45972</v>
      </c>
      <c r="E256" s="1" t="n">
        <v>46297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46297</v>
      </c>
      <c r="F257" t="inlineStr">
        <is>
          <t>GÄVLEBORGS LÄN</t>
        </is>
      </c>
      <c r="G257" t="inlineStr">
        <is>
          <t>SÖDERHAMN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46117</v>
      </c>
      <c r="E258" s="1" t="n">
        <v>46297</v>
      </c>
      <c r="F258" t="inlineStr">
        <is>
          <t>GÄVLEBORGS LÄN</t>
        </is>
      </c>
      <c r="G258" t="inlineStr">
        <is>
          <t>SÖDERHAMN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46117</v>
      </c>
      <c r="E259" s="1" t="n">
        <v>46297</v>
      </c>
      <c r="F259" t="inlineStr">
        <is>
          <t>GÄVLEBORGS LÄN</t>
        </is>
      </c>
      <c r="G259" t="inlineStr">
        <is>
          <t>SÖDERHAMN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55730-2025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45972</v>
      </c>
      <c r="E260" s="1" t="n">
        <v>46297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46117</v>
      </c>
      <c r="E261" s="1" t="n">
        <v>46297</v>
      </c>
      <c r="F261" t="inlineStr">
        <is>
          <t>GÄVLEBORGS LÄN</t>
        </is>
      </c>
      <c r="G261" t="inlineStr">
        <is>
          <t>SÖDERHAMN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46117</v>
      </c>
      <c r="E262" s="1" t="n">
        <v>46297</v>
      </c>
      <c r="F262" t="inlineStr">
        <is>
          <t>GÄVLEBORGS LÄN</t>
        </is>
      </c>
      <c r="G262" t="inlineStr">
        <is>
          <t>SÖDERHAMN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46297</v>
      </c>
      <c r="F263" t="inlineStr">
        <is>
          <t>GÄVLEBORGS LÄN</t>
        </is>
      </c>
      <c r="G263" t="inlineStr">
        <is>
          <t>SÖDERHAMN</t>
        </is>
      </c>
      <c r="I263" t="n">
        <v>9.800000000000001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44956</v>
      </c>
      <c r="E264" s="1" t="n">
        <v>46297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46297</v>
      </c>
      <c r="F265" t="inlineStr">
        <is>
          <t>GÄVLEBORGS LÄN</t>
        </is>
      </c>
      <c r="G265" t="inlineStr">
        <is>
          <t>SÖDERHAMN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46297</v>
      </c>
      <c r="F266" t="inlineStr">
        <is>
          <t>GÄVLEBORGS LÄN</t>
        </is>
      </c>
      <c r="G266" t="inlineStr">
        <is>
          <t>SÖDERHAMN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18800-2024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45426</v>
      </c>
      <c r="E267" s="1" t="n">
        <v>46297</v>
      </c>
      <c r="F267" t="inlineStr">
        <is>
          <t>GÄVLEBORGS LÄN</t>
        </is>
      </c>
      <c r="G267" t="inlineStr">
        <is>
          <t>SÖDERHAMN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53918-2025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45961</v>
      </c>
      <c r="E268" s="1" t="n">
        <v>46297</v>
      </c>
      <c r="F268" t="inlineStr">
        <is>
          <t>GÄVLEBORGS LÄN</t>
        </is>
      </c>
      <c r="G268" t="inlineStr">
        <is>
          <t>SÖDERHAMN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44703-2024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45574</v>
      </c>
      <c r="E269" s="1" t="n">
        <v>46297</v>
      </c>
      <c r="F269" t="inlineStr">
        <is>
          <t>GÄVLEBORGS LÄN</t>
        </is>
      </c>
      <c r="G269" t="inlineStr">
        <is>
          <t>SÖDERHAMN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46297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46297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52518-2024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45609</v>
      </c>
      <c r="E272" s="1" t="n">
        <v>46297</v>
      </c>
      <c r="F272" t="inlineStr">
        <is>
          <t>GÄVLEBORGS LÄN</t>
        </is>
      </c>
      <c r="G272" t="inlineStr">
        <is>
          <t>SÖDERHAMN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45609</v>
      </c>
      <c r="E273" s="1" t="n">
        <v>46297</v>
      </c>
      <c r="F273" t="inlineStr">
        <is>
          <t>GÄVLEBORGS LÄN</t>
        </is>
      </c>
      <c r="G273" t="inlineStr">
        <is>
          <t>SÖDERHAMN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46297</v>
      </c>
      <c r="F274" t="inlineStr">
        <is>
          <t>GÄVLEBORGS LÄN</t>
        </is>
      </c>
      <c r="G274" t="inlineStr">
        <is>
          <t>SÖDERHAMN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46297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55240-2024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45621</v>
      </c>
      <c r="E276" s="1" t="n">
        <v>46297</v>
      </c>
      <c r="F276" t="inlineStr">
        <is>
          <t>GÄVLEBORGS LÄN</t>
        </is>
      </c>
      <c r="G276" t="inlineStr">
        <is>
          <t>SÖDERHAMN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46297</v>
      </c>
      <c r="F277" t="inlineStr">
        <is>
          <t>GÄVLEBORGS LÄN</t>
        </is>
      </c>
      <c r="G277" t="inlineStr">
        <is>
          <t>SÖDERHAMN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44490</v>
      </c>
      <c r="E278" s="1" t="n">
        <v>46297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46297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46297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46297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46297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46297</v>
      </c>
      <c r="F283" t="inlineStr">
        <is>
          <t>GÄVLEBORGS LÄN</t>
        </is>
      </c>
      <c r="G283" t="inlineStr">
        <is>
          <t>SÖDERHAMN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46297</v>
      </c>
      <c r="F284" t="inlineStr">
        <is>
          <t>GÄVLEBORGS LÄN</t>
        </is>
      </c>
      <c r="G284" t="inlineStr">
        <is>
          <t>SÖDERHAMN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46297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14960-2024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46297</v>
      </c>
      <c r="F286" t="inlineStr">
        <is>
          <t>GÄVLEBORGS LÄN</t>
        </is>
      </c>
      <c r="G286" t="inlineStr">
        <is>
          <t>SÖDERHAMN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46297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46297</v>
      </c>
      <c r="F288" t="inlineStr">
        <is>
          <t>GÄVLEBORGS LÄN</t>
        </is>
      </c>
      <c r="G288" t="inlineStr">
        <is>
          <t>SÖDERHAMN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46297</v>
      </c>
      <c r="F289" t="inlineStr">
        <is>
          <t>GÄVLEBORGS LÄN</t>
        </is>
      </c>
      <c r="G289" t="inlineStr">
        <is>
          <t>SÖDERHAMN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46297</v>
      </c>
      <c r="F290" t="inlineStr">
        <is>
          <t>GÄVLEBORGS LÄN</t>
        </is>
      </c>
      <c r="G290" t="inlineStr">
        <is>
          <t>SÖDERHAMN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46297</v>
      </c>
      <c r="F291" t="inlineStr">
        <is>
          <t>GÄVLEBORGS LÄN</t>
        </is>
      </c>
      <c r="G291" t="inlineStr">
        <is>
          <t>SÖDERHAMN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46297</v>
      </c>
      <c r="F292" t="inlineStr">
        <is>
          <t>GÄVLEBORGS LÄN</t>
        </is>
      </c>
      <c r="G292" t="inlineStr">
        <is>
          <t>SÖDERHAMN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46297</v>
      </c>
      <c r="F293" t="inlineStr">
        <is>
          <t>GÄVLEBORGS LÄN</t>
        </is>
      </c>
      <c r="G293" t="inlineStr">
        <is>
          <t>SÖDERHAMN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46297</v>
      </c>
      <c r="F294" t="inlineStr">
        <is>
          <t>GÄVLEBORGS LÄN</t>
        </is>
      </c>
      <c r="G294" t="inlineStr">
        <is>
          <t>SÖDERHAMN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46297</v>
      </c>
      <c r="F295" t="inlineStr">
        <is>
          <t>GÄVLEBORGS LÄN</t>
        </is>
      </c>
      <c r="G295" t="inlineStr">
        <is>
          <t>SÖDERHAMN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46297</v>
      </c>
      <c r="F296" t="inlineStr">
        <is>
          <t>GÄVLEBORGS LÄN</t>
        </is>
      </c>
      <c r="G296" t="inlineStr">
        <is>
          <t>SÖDERHAMN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46297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45548</v>
      </c>
      <c r="E298" s="1" t="n">
        <v>46297</v>
      </c>
      <c r="F298" t="inlineStr">
        <is>
          <t>GÄVLEBORGS LÄN</t>
        </is>
      </c>
      <c r="G298" t="inlineStr">
        <is>
          <t>SÖDERHAMN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46297</v>
      </c>
      <c r="F299" t="inlineStr">
        <is>
          <t>GÄVLEBORGS LÄN</t>
        </is>
      </c>
      <c r="G299" t="inlineStr">
        <is>
          <t>SÖDERHAMN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46297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46297</v>
      </c>
      <c r="F301" t="inlineStr">
        <is>
          <t>GÄVLEBORGS LÄN</t>
        </is>
      </c>
      <c r="G301" t="inlineStr">
        <is>
          <t>SÖDERHAMN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46297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46297</v>
      </c>
      <c r="F303" t="inlineStr">
        <is>
          <t>GÄVLEBORGS LÄN</t>
        </is>
      </c>
      <c r="G303" t="inlineStr">
        <is>
          <t>SÖDERHAMN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46297</v>
      </c>
      <c r="F304" t="inlineStr">
        <is>
          <t>GÄVLEBORGS LÄN</t>
        </is>
      </c>
      <c r="G304" t="inlineStr">
        <is>
          <t>SÖDERHAMN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46297</v>
      </c>
      <c r="F305" t="inlineStr">
        <is>
          <t>GÄVLEBORGS LÄN</t>
        </is>
      </c>
      <c r="G305" t="inlineStr">
        <is>
          <t>SÖDERHAMN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46297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30208-2022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44757</v>
      </c>
      <c r="E307" s="1" t="n">
        <v>46297</v>
      </c>
      <c r="F307" t="inlineStr">
        <is>
          <t>GÄVLEBORGS LÄN</t>
        </is>
      </c>
      <c r="G307" t="inlineStr">
        <is>
          <t>SÖDERHAMN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46297</v>
      </c>
      <c r="F308" t="inlineStr">
        <is>
          <t>GÄVLEBORGS LÄN</t>
        </is>
      </c>
      <c r="G308" t="inlineStr">
        <is>
          <t>SÖDERHAMN</t>
        </is>
      </c>
      <c r="I308" t="n">
        <v>14.1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58212-2025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46297</v>
      </c>
      <c r="F309" t="inlineStr">
        <is>
          <t>GÄVLEBORGS LÄN</t>
        </is>
      </c>
      <c r="G309" t="inlineStr">
        <is>
          <t>SÖDERHAMN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46297</v>
      </c>
      <c r="F310" t="inlineStr">
        <is>
          <t>GÄVLEBORGS LÄN</t>
        </is>
      </c>
      <c r="G310" t="inlineStr">
        <is>
          <t>SÖDERHAMN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46297</v>
      </c>
      <c r="F311" t="inlineStr">
        <is>
          <t>GÄVLEBORGS LÄN</t>
        </is>
      </c>
      <c r="G311" t="inlineStr">
        <is>
          <t>SÖDERHAMN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46297</v>
      </c>
      <c r="F312" t="inlineStr">
        <is>
          <t>GÄVLEBORGS LÄN</t>
        </is>
      </c>
      <c r="G312" t="inlineStr">
        <is>
          <t>SÖDERHAMN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46297</v>
      </c>
      <c r="F313" t="inlineStr">
        <is>
          <t>GÄVLEBORGS LÄN</t>
        </is>
      </c>
      <c r="G313" t="inlineStr">
        <is>
          <t>SÖDERHAMN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46297</v>
      </c>
      <c r="F314" t="inlineStr">
        <is>
          <t>GÄVLEBORGS LÄN</t>
        </is>
      </c>
      <c r="G314" t="inlineStr">
        <is>
          <t>SÖDERHAMN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46297</v>
      </c>
      <c r="F315" t="inlineStr">
        <is>
          <t>GÄVLEBORGS LÄN</t>
        </is>
      </c>
      <c r="G315" t="inlineStr">
        <is>
          <t>SÖDERHAMN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44795</v>
      </c>
      <c r="E316" s="1" t="n">
        <v>46297</v>
      </c>
      <c r="F316" t="inlineStr">
        <is>
          <t>GÄVLEBORGS LÄN</t>
        </is>
      </c>
      <c r="G316" t="inlineStr">
        <is>
          <t>SÖDERHAMN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46297</v>
      </c>
      <c r="F317" t="inlineStr">
        <is>
          <t>GÄVLEBORGS LÄN</t>
        </is>
      </c>
      <c r="G317" t="inlineStr">
        <is>
          <t>SÖDERHAMN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46297</v>
      </c>
      <c r="F318" t="inlineStr">
        <is>
          <t>GÄVLEBORGS LÄN</t>
        </is>
      </c>
      <c r="G318" t="inlineStr">
        <is>
          <t>SÖDERHAMN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46297</v>
      </c>
      <c r="F319" t="inlineStr">
        <is>
          <t>GÄVLEBORGS LÄN</t>
        </is>
      </c>
      <c r="G319" t="inlineStr">
        <is>
          <t>SÖDERHAMN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46297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46001</v>
      </c>
      <c r="E321" s="1" t="n">
        <v>46297</v>
      </c>
      <c r="F321" t="inlineStr">
        <is>
          <t>GÄVLEBORGS LÄN</t>
        </is>
      </c>
      <c r="G321" t="inlineStr">
        <is>
          <t>SÖDERHAMN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46297</v>
      </c>
      <c r="F322" t="inlineStr">
        <is>
          <t>GÄVLEBORGS LÄN</t>
        </is>
      </c>
      <c r="G322" t="inlineStr">
        <is>
          <t>SÖDERHAMN</t>
        </is>
      </c>
      <c r="H322" t="inlineStr">
        <is>
          <t>Kommuner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46297</v>
      </c>
      <c r="F323" t="inlineStr">
        <is>
          <t>GÄVLEBORGS LÄN</t>
        </is>
      </c>
      <c r="G323" t="inlineStr">
        <is>
          <t>SÖDERHAMN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46297</v>
      </c>
      <c r="F324" t="inlineStr">
        <is>
          <t>GÄVLEBORGS LÄN</t>
        </is>
      </c>
      <c r="G324" t="inlineStr">
        <is>
          <t>SÖDERHAMN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61416-2025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46001</v>
      </c>
      <c r="E325" s="1" t="n">
        <v>46297</v>
      </c>
      <c r="F325" t="inlineStr">
        <is>
          <t>GÄVLEBORGS LÄN</t>
        </is>
      </c>
      <c r="G325" t="inlineStr">
        <is>
          <t>SÖDERHAMN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46297</v>
      </c>
      <c r="F326" t="inlineStr">
        <is>
          <t>GÄVLEBORGS LÄN</t>
        </is>
      </c>
      <c r="G326" t="inlineStr">
        <is>
          <t>SÖDERHAMN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46297</v>
      </c>
      <c r="F327" t="inlineStr">
        <is>
          <t>GÄVLEBORGS LÄN</t>
        </is>
      </c>
      <c r="G327" t="inlineStr">
        <is>
          <t>SÖDERHAMN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46297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46297</v>
      </c>
      <c r="F329" t="inlineStr">
        <is>
          <t>GÄVLEBORGS LÄN</t>
        </is>
      </c>
      <c r="G329" t="inlineStr">
        <is>
          <t>SÖDERHAMN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57500-2023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45246</v>
      </c>
      <c r="E330" s="1" t="n">
        <v>46297</v>
      </c>
      <c r="F330" t="inlineStr">
        <is>
          <t>GÄVLEBORGS LÄN</t>
        </is>
      </c>
      <c r="G330" t="inlineStr">
        <is>
          <t>SÖDERHAMN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51292-2023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46297</v>
      </c>
      <c r="F331" t="inlineStr">
        <is>
          <t>GÄVLEBORGS LÄN</t>
        </is>
      </c>
      <c r="G331" t="inlineStr">
        <is>
          <t>SÖDERHAMN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44837</v>
      </c>
      <c r="E332" s="1" t="n">
        <v>46297</v>
      </c>
      <c r="F332" t="inlineStr">
        <is>
          <t>GÄVLEBORGS LÄN</t>
        </is>
      </c>
      <c r="G332" t="inlineStr">
        <is>
          <t>SÖDERHAMN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46297</v>
      </c>
      <c r="F333" t="inlineStr">
        <is>
          <t>GÄVLEBORGS LÄN</t>
        </is>
      </c>
      <c r="G333" t="inlineStr">
        <is>
          <t>SÖDERHAMN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46297</v>
      </c>
      <c r="F334" t="inlineStr">
        <is>
          <t>GÄVLEBORGS LÄN</t>
        </is>
      </c>
      <c r="G334" t="inlineStr">
        <is>
          <t>SÖDERHAMN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46297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46297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46297</v>
      </c>
      <c r="F337" t="inlineStr">
        <is>
          <t>GÄVLEBORGS LÄN</t>
        </is>
      </c>
      <c r="G337" t="inlineStr">
        <is>
          <t>SÖDERHAMN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50268-2024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46297</v>
      </c>
      <c r="F338" t="inlineStr">
        <is>
          <t>GÄVLEBORGS LÄN</t>
        </is>
      </c>
      <c r="G338" t="inlineStr">
        <is>
          <t>SÖDERHAMN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26554-2022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46297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45749</v>
      </c>
      <c r="E340" s="1" t="n">
        <v>46297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46297</v>
      </c>
      <c r="F341" t="inlineStr">
        <is>
          <t>GÄVLEBORGS LÄN</t>
        </is>
      </c>
      <c r="G341" t="inlineStr">
        <is>
          <t>SÖDERHAMN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20717-2024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46297</v>
      </c>
      <c r="F342" t="inlineStr">
        <is>
          <t>GÄVLEBORGS LÄN</t>
        </is>
      </c>
      <c r="G342" t="inlineStr">
        <is>
          <t>SÖDERHAMN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46297</v>
      </c>
      <c r="F343" t="inlineStr">
        <is>
          <t>GÄVLEBORGS LÄN</t>
        </is>
      </c>
      <c r="G343" t="inlineStr">
        <is>
          <t>SÖDERHAMN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44824</v>
      </c>
      <c r="E344" s="1" t="n">
        <v>46297</v>
      </c>
      <c r="F344" t="inlineStr">
        <is>
          <t>GÄVLEBORGS LÄN</t>
        </is>
      </c>
      <c r="G344" t="inlineStr">
        <is>
          <t>SÖDERHAMN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46297</v>
      </c>
      <c r="F345" t="inlineStr">
        <is>
          <t>GÄVLEBORGS LÄN</t>
        </is>
      </c>
      <c r="G345" t="inlineStr">
        <is>
          <t>SÖDERHAMN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45848</v>
      </c>
      <c r="E346" s="1" t="n">
        <v>46297</v>
      </c>
      <c r="F346" t="inlineStr">
        <is>
          <t>GÄVLEBORGS LÄN</t>
        </is>
      </c>
      <c r="G346" t="inlineStr">
        <is>
          <t>SÖDERHAMN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45847</v>
      </c>
      <c r="E347" s="1" t="n">
        <v>46297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45848</v>
      </c>
      <c r="E348" s="1" t="n">
        <v>46297</v>
      </c>
      <c r="F348" t="inlineStr">
        <is>
          <t>GÄVLEBORGS LÄN</t>
        </is>
      </c>
      <c r="G348" t="inlineStr">
        <is>
          <t>SÖDERHAMN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45670</v>
      </c>
      <c r="E349" s="1" t="n">
        <v>46297</v>
      </c>
      <c r="F349" t="inlineStr">
        <is>
          <t>GÄVLEBORGS LÄN</t>
        </is>
      </c>
      <c r="G349" t="inlineStr">
        <is>
          <t>SÖDERHAMN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45762</v>
      </c>
      <c r="E350" s="1" t="n">
        <v>46297</v>
      </c>
      <c r="F350" t="inlineStr">
        <is>
          <t>GÄVLEBORGS LÄN</t>
        </is>
      </c>
      <c r="G350" t="inlineStr">
        <is>
          <t>SÖDERHAMN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45807-2022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46297</v>
      </c>
      <c r="F351" t="inlineStr">
        <is>
          <t>GÄVLEBORGS LÄN</t>
        </is>
      </c>
      <c r="G351" t="inlineStr">
        <is>
          <t>SÖDERHAMN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46297</v>
      </c>
      <c r="F352" t="inlineStr">
        <is>
          <t>GÄVLEBORGS LÄN</t>
        </is>
      </c>
      <c r="G352" t="inlineStr">
        <is>
          <t>SÖDERHAMN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45243</v>
      </c>
      <c r="E353" s="1" t="n">
        <v>46297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40793-2024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46297</v>
      </c>
      <c r="F354" t="inlineStr">
        <is>
          <t>GÄVLEBORGS LÄN</t>
        </is>
      </c>
      <c r="G354" t="inlineStr">
        <is>
          <t>SÖDERHAMN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45863</v>
      </c>
      <c r="E355" s="1" t="n">
        <v>46297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46297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46297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46297</v>
      </c>
      <c r="F358" t="inlineStr">
        <is>
          <t>GÄVLEBORGS LÄN</t>
        </is>
      </c>
      <c r="G358" t="inlineStr">
        <is>
          <t>SÖDERHAMN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40745-2023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45170</v>
      </c>
      <c r="E359" s="1" t="n">
        <v>46297</v>
      </c>
      <c r="F359" t="inlineStr">
        <is>
          <t>GÄVLEBORGS LÄN</t>
        </is>
      </c>
      <c r="G359" t="inlineStr">
        <is>
          <t>SÖDERHAMN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46297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45757</v>
      </c>
      <c r="E361" s="1" t="n">
        <v>46297</v>
      </c>
      <c r="F361" t="inlineStr">
        <is>
          <t>GÄVLEBORGS LÄN</t>
        </is>
      </c>
      <c r="G361" t="inlineStr">
        <is>
          <t>SÖDERHAMN</t>
        </is>
      </c>
      <c r="H361" t="inlineStr">
        <is>
          <t>Kommuner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46297</v>
      </c>
      <c r="F362" t="inlineStr">
        <is>
          <t>GÄVLEBORGS LÄN</t>
        </is>
      </c>
      <c r="G362" t="inlineStr">
        <is>
          <t>SÖDERHAMN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46297</v>
      </c>
      <c r="F363" t="inlineStr">
        <is>
          <t>GÄVLEBORGS LÄN</t>
        </is>
      </c>
      <c r="G363" t="inlineStr">
        <is>
          <t>SÖDERHAMN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46297</v>
      </c>
      <c r="F364" t="inlineStr">
        <is>
          <t>GÄVLEBORGS LÄN</t>
        </is>
      </c>
      <c r="G364" t="inlineStr">
        <is>
          <t>SÖDERHAMN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46297</v>
      </c>
      <c r="F365" t="inlineStr">
        <is>
          <t>GÄVLEBORGS LÄN</t>
        </is>
      </c>
      <c r="G365" t="inlineStr">
        <is>
          <t>SÖDERHAMN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46297</v>
      </c>
      <c r="F366" t="inlineStr">
        <is>
          <t>GÄVLEBORGS LÄN</t>
        </is>
      </c>
      <c r="G366" t="inlineStr">
        <is>
          <t>SÖDERHAMN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46297</v>
      </c>
      <c r="F367" t="inlineStr">
        <is>
          <t>GÄVLEBORGS LÄN</t>
        </is>
      </c>
      <c r="G367" t="inlineStr">
        <is>
          <t>SÖDERHAMN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46297</v>
      </c>
      <c r="F368" t="inlineStr">
        <is>
          <t>GÄVLEBORGS LÄN</t>
        </is>
      </c>
      <c r="G368" t="inlineStr">
        <is>
          <t>SÖDERHAMN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45750</v>
      </c>
      <c r="E369" s="1" t="n">
        <v>46297</v>
      </c>
      <c r="F369" t="inlineStr">
        <is>
          <t>GÄVLEBORGS LÄN</t>
        </is>
      </c>
      <c r="G369" t="inlineStr">
        <is>
          <t>SÖDERHAMN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45750</v>
      </c>
      <c r="E370" s="1" t="n">
        <v>46297</v>
      </c>
      <c r="F370" t="inlineStr">
        <is>
          <t>GÄVLEBORGS LÄN</t>
        </is>
      </c>
      <c r="G370" t="inlineStr">
        <is>
          <t>SÖDERHAMN</t>
        </is>
      </c>
      <c r="H370" t="inlineStr">
        <is>
          <t>Kommuner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46297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46297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45879</v>
      </c>
      <c r="E373" s="1" t="n">
        <v>46297</v>
      </c>
      <c r="F373" t="inlineStr">
        <is>
          <t>GÄVLEBORGS LÄN</t>
        </is>
      </c>
      <c r="G373" t="inlineStr">
        <is>
          <t>SÖDERHAMN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46297</v>
      </c>
      <c r="F374" t="inlineStr">
        <is>
          <t>GÄVLEBORGS LÄN</t>
        </is>
      </c>
      <c r="G374" t="inlineStr">
        <is>
          <t>SÖDERHAMN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46098</v>
      </c>
      <c r="E375" s="1" t="n">
        <v>46297</v>
      </c>
      <c r="F375" t="inlineStr">
        <is>
          <t>GÄVLEBORGS LÄN</t>
        </is>
      </c>
      <c r="G375" t="inlineStr">
        <is>
          <t>SÖDERHAMN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45879</v>
      </c>
      <c r="E376" s="1" t="n">
        <v>46297</v>
      </c>
      <c r="F376" t="inlineStr">
        <is>
          <t>GÄVLEBORGS LÄN</t>
        </is>
      </c>
      <c r="G376" t="inlineStr">
        <is>
          <t>SÖDERHAMN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46297</v>
      </c>
      <c r="F377" t="inlineStr">
        <is>
          <t>GÄVLEBORGS LÄN</t>
        </is>
      </c>
      <c r="G377" t="inlineStr">
        <is>
          <t>SÖDERHAMN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46297</v>
      </c>
      <c r="F378" t="inlineStr">
        <is>
          <t>GÄVLEBORGS LÄN</t>
        </is>
      </c>
      <c r="G378" t="inlineStr">
        <is>
          <t>SÖDERHAMN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46297</v>
      </c>
      <c r="F379" t="inlineStr">
        <is>
          <t>GÄVLEBORGS LÄN</t>
        </is>
      </c>
      <c r="G379" t="inlineStr">
        <is>
          <t>SÖDERHAMN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46297</v>
      </c>
      <c r="F380" t="inlineStr">
        <is>
          <t>GÄVLEBORGS LÄN</t>
        </is>
      </c>
      <c r="G380" t="inlineStr">
        <is>
          <t>SÖDERHAMN</t>
        </is>
      </c>
      <c r="I380" t="n">
        <v>14.2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30336-2022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46297</v>
      </c>
      <c r="F381" t="inlineStr">
        <is>
          <t>GÄVLEBORGS LÄN</t>
        </is>
      </c>
      <c r="G381" t="inlineStr">
        <is>
          <t>SÖDERHAMN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46024</v>
      </c>
      <c r="E382" s="1" t="n">
        <v>46297</v>
      </c>
      <c r="F382" t="inlineStr">
        <is>
          <t>GÄVLEBORGS LÄN</t>
        </is>
      </c>
      <c r="G382" t="inlineStr">
        <is>
          <t>SÖDERHAMN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46297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45548</v>
      </c>
      <c r="E384" s="1" t="n">
        <v>46297</v>
      </c>
      <c r="F384" t="inlineStr">
        <is>
          <t>GÄVLEBORGS LÄN</t>
        </is>
      </c>
      <c r="G384" t="inlineStr">
        <is>
          <t>SÖDERHAMN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55765-2025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45972</v>
      </c>
      <c r="E385" s="1" t="n">
        <v>46297</v>
      </c>
      <c r="F385" t="inlineStr">
        <is>
          <t>GÄVLEBORGS LÄN</t>
        </is>
      </c>
      <c r="G385" t="inlineStr">
        <is>
          <t>SÖDERHAMN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46297</v>
      </c>
      <c r="F386" t="inlineStr">
        <is>
          <t>GÄVLEBORGS LÄN</t>
        </is>
      </c>
      <c r="G386" t="inlineStr">
        <is>
          <t>SÖDERHAMN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46297</v>
      </c>
      <c r="F387" t="inlineStr">
        <is>
          <t>GÄVLEBORGS LÄN</t>
        </is>
      </c>
      <c r="G387" t="inlineStr">
        <is>
          <t>SÖDERHAMN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46297</v>
      </c>
      <c r="F388" t="inlineStr">
        <is>
          <t>GÄVLEBORGS LÄN</t>
        </is>
      </c>
      <c r="G388" t="inlineStr">
        <is>
          <t>SÖDERHAMN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21547-2026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46148</v>
      </c>
      <c r="E389" s="1" t="n">
        <v>46297</v>
      </c>
      <c r="F389" t="inlineStr">
        <is>
          <t>GÄVLEBORGS LÄN</t>
        </is>
      </c>
      <c r="G389" t="inlineStr">
        <is>
          <t>SÖDERHAMN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46297</v>
      </c>
      <c r="F390" t="inlineStr">
        <is>
          <t>GÄVLEBORGS LÄN</t>
        </is>
      </c>
      <c r="G390" t="inlineStr">
        <is>
          <t>SÖDERHAMN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46147</v>
      </c>
      <c r="E391" s="1" t="n">
        <v>46297</v>
      </c>
      <c r="F391" t="inlineStr">
        <is>
          <t>GÄVLEBORGS LÄN</t>
        </is>
      </c>
      <c r="G391" t="inlineStr">
        <is>
          <t>SÖDERHAMN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46297</v>
      </c>
      <c r="F392" t="inlineStr">
        <is>
          <t>GÄVLEBORGS LÄN</t>
        </is>
      </c>
      <c r="G392" t="inlineStr">
        <is>
          <t>SÖDERHAMN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57044-2022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44895</v>
      </c>
      <c r="E393" s="1" t="n">
        <v>46297</v>
      </c>
      <c r="F393" t="inlineStr">
        <is>
          <t>GÄVLEBORGS LÄN</t>
        </is>
      </c>
      <c r="G393" t="inlineStr">
        <is>
          <t>SÖDERHAMN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46297</v>
      </c>
      <c r="F394" t="inlineStr">
        <is>
          <t>GÄVLEBORGS LÄN</t>
        </is>
      </c>
      <c r="G394" t="inlineStr">
        <is>
          <t>SÖDERHAMN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46150</v>
      </c>
      <c r="E395" s="1" t="n">
        <v>46297</v>
      </c>
      <c r="F395" t="inlineStr">
        <is>
          <t>GÄVLEBORGS LÄN</t>
        </is>
      </c>
      <c r="G395" t="inlineStr">
        <is>
          <t>SÖDERHAMN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46297</v>
      </c>
      <c r="F396" t="inlineStr">
        <is>
          <t>GÄVLEBORGS LÄN</t>
        </is>
      </c>
      <c r="G396" t="inlineStr">
        <is>
          <t>SÖDERHAMN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47288-2023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46297</v>
      </c>
      <c r="F397" t="inlineStr">
        <is>
          <t>GÄVLEBORGS LÄN</t>
        </is>
      </c>
      <c r="G397" t="inlineStr">
        <is>
          <t>SÖDERHAMN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46149</v>
      </c>
      <c r="E398" s="1" t="n">
        <v>46297</v>
      </c>
      <c r="F398" t="inlineStr">
        <is>
          <t>GÄVLEBORGS LÄN</t>
        </is>
      </c>
      <c r="G398" t="inlineStr">
        <is>
          <t>SÖDERHAMN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18920-2025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46297</v>
      </c>
      <c r="F399" t="inlineStr">
        <is>
          <t>GÄVLEBORGS LÄN</t>
        </is>
      </c>
      <c r="G399" t="inlineStr">
        <is>
          <t>SÖDERHAMN</t>
        </is>
      </c>
      <c r="H399" t="inlineStr">
        <is>
          <t>Kommuner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23230-2024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45453</v>
      </c>
      <c r="E400" s="1" t="n">
        <v>46297</v>
      </c>
      <c r="F400" t="inlineStr">
        <is>
          <t>GÄVLEBORGS LÄN</t>
        </is>
      </c>
      <c r="G400" t="inlineStr">
        <is>
          <t>SÖDERHAMN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46297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45636</v>
      </c>
      <c r="E402" s="1" t="n">
        <v>46297</v>
      </c>
      <c r="F402" t="inlineStr">
        <is>
          <t>GÄVLEBORGS LÄN</t>
        </is>
      </c>
      <c r="G402" t="inlineStr">
        <is>
          <t>SÖDERHAMN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58544-2023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45251</v>
      </c>
      <c r="E403" s="1" t="n">
        <v>46297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46297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46297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11075-2023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44992</v>
      </c>
      <c r="E406" s="1" t="n">
        <v>46297</v>
      </c>
      <c r="F406" t="inlineStr">
        <is>
          <t>GÄVLEBORGS LÄN</t>
        </is>
      </c>
      <c r="G406" t="inlineStr">
        <is>
          <t>SÖDERHAMN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46297</v>
      </c>
      <c r="F407" t="inlineStr">
        <is>
          <t>GÄVLEBORGS LÄN</t>
        </is>
      </c>
      <c r="G407" t="inlineStr">
        <is>
          <t>SÖDERHAMN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59476-2022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44907</v>
      </c>
      <c r="E408" s="1" t="n">
        <v>46297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46297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24766-2023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45084</v>
      </c>
      <c r="E410" s="1" t="n">
        <v>46297</v>
      </c>
      <c r="F410" t="inlineStr">
        <is>
          <t>GÄVLEBORGS LÄN</t>
        </is>
      </c>
      <c r="G410" t="inlineStr">
        <is>
          <t>SÖDERHAMN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46157</v>
      </c>
      <c r="E411" s="1" t="n">
        <v>46297</v>
      </c>
      <c r="F411" t="inlineStr">
        <is>
          <t>GÄVLEBORGS LÄN</t>
        </is>
      </c>
      <c r="G411" t="inlineStr">
        <is>
          <t>SÖDERHAMN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45107</v>
      </c>
      <c r="E412" s="1" t="n">
        <v>46297</v>
      </c>
      <c r="F412" t="inlineStr">
        <is>
          <t>GÄVLEBORGS LÄN</t>
        </is>
      </c>
      <c r="G412" t="inlineStr">
        <is>
          <t>SÖDERHAMN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45560</v>
      </c>
      <c r="E413" s="1" t="n">
        <v>46297</v>
      </c>
      <c r="F413" t="inlineStr">
        <is>
          <t>GÄVLEBORGS LÄN</t>
        </is>
      </c>
      <c r="G413" t="inlineStr">
        <is>
          <t>SÖDERHAMN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46297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46157</v>
      </c>
      <c r="E415" s="1" t="n">
        <v>46297</v>
      </c>
      <c r="F415" t="inlineStr">
        <is>
          <t>GÄVLEBORGS LÄN</t>
        </is>
      </c>
      <c r="G415" t="inlineStr">
        <is>
          <t>SÖDERHAMN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46157</v>
      </c>
      <c r="E416" s="1" t="n">
        <v>46297</v>
      </c>
      <c r="F416" t="inlineStr">
        <is>
          <t>GÄVLEBORGS LÄN</t>
        </is>
      </c>
      <c r="G416" t="inlineStr">
        <is>
          <t>SÖDERHAMN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22790-2026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46157</v>
      </c>
      <c r="E417" s="1" t="n">
        <v>46297</v>
      </c>
      <c r="F417" t="inlineStr">
        <is>
          <t>GÄVLEBORGS LÄN</t>
        </is>
      </c>
      <c r="G417" t="inlineStr">
        <is>
          <t>SÖDERHAMN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22791-2026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46157</v>
      </c>
      <c r="E418" s="1" t="n">
        <v>46297</v>
      </c>
      <c r="F418" t="inlineStr">
        <is>
          <t>GÄVLEBORGS LÄN</t>
        </is>
      </c>
      <c r="G418" t="inlineStr">
        <is>
          <t>SÖDERHAMN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46157</v>
      </c>
      <c r="E419" s="1" t="n">
        <v>46297</v>
      </c>
      <c r="F419" t="inlineStr">
        <is>
          <t>GÄVLEBORGS LÄN</t>
        </is>
      </c>
      <c r="G419" t="inlineStr">
        <is>
          <t>SÖDERHAMN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46157</v>
      </c>
      <c r="E420" s="1" t="n">
        <v>46297</v>
      </c>
      <c r="F420" t="inlineStr">
        <is>
          <t>GÄVLEBORGS LÄN</t>
        </is>
      </c>
      <c r="G420" t="inlineStr">
        <is>
          <t>SÖDERHAMN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26936-2023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45093</v>
      </c>
      <c r="E421" s="1" t="n">
        <v>46297</v>
      </c>
      <c r="F421" t="inlineStr">
        <is>
          <t>GÄVLEBORGS LÄN</t>
        </is>
      </c>
      <c r="G421" t="inlineStr">
        <is>
          <t>SÖDERHAMN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46297</v>
      </c>
      <c r="F422" t="inlineStr">
        <is>
          <t>GÄVLEBORGS LÄN</t>
        </is>
      </c>
      <c r="G422" t="inlineStr">
        <is>
          <t>SÖDERHAMN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44681-2024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45574</v>
      </c>
      <c r="E423" s="1" t="n">
        <v>46297</v>
      </c>
      <c r="F423" t="inlineStr">
        <is>
          <t>GÄVLEBORGS LÄN</t>
        </is>
      </c>
      <c r="G423" t="inlineStr">
        <is>
          <t>SÖDERHAMN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46297</v>
      </c>
      <c r="F424" t="inlineStr">
        <is>
          <t>GÄVLEBORGS LÄN</t>
        </is>
      </c>
      <c r="G424" t="inlineStr">
        <is>
          <t>SÖDERHAMN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46297</v>
      </c>
      <c r="F425" t="inlineStr">
        <is>
          <t>GÄVLEBORGS LÄN</t>
        </is>
      </c>
      <c r="G425" t="inlineStr">
        <is>
          <t>SÖDERHAMN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46297</v>
      </c>
      <c r="F426" t="inlineStr">
        <is>
          <t>GÄVLEBORGS LÄN</t>
        </is>
      </c>
      <c r="G426" t="inlineStr">
        <is>
          <t>SÖDERHAMN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46297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45600</v>
      </c>
      <c r="E428" s="1" t="n">
        <v>46297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46297</v>
      </c>
      <c r="F429" t="inlineStr">
        <is>
          <t>GÄVLEBORGS LÄN</t>
        </is>
      </c>
      <c r="G429" t="inlineStr">
        <is>
          <t>SÖDERHAMN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46297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45096</v>
      </c>
      <c r="E431" s="1" t="n">
        <v>46297</v>
      </c>
      <c r="F431" t="inlineStr">
        <is>
          <t>GÄVLEBORGS LÄN</t>
        </is>
      </c>
      <c r="G431" t="inlineStr">
        <is>
          <t>SÖDERHAMN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46297</v>
      </c>
      <c r="F432" t="inlineStr">
        <is>
          <t>GÄVLEBORGS LÄN</t>
        </is>
      </c>
      <c r="G432" t="inlineStr">
        <is>
          <t>SÖDERHAMN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46297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45028</v>
      </c>
      <c r="E434" s="1" t="n">
        <v>46297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46165</v>
      </c>
      <c r="E435" s="1" t="n">
        <v>46297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46297</v>
      </c>
      <c r="F436" t="inlineStr">
        <is>
          <t>GÄVLEBORGS LÄN</t>
        </is>
      </c>
      <c r="G436" t="inlineStr">
        <is>
          <t>SÖDERHAMN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46035</v>
      </c>
      <c r="E437" s="1" t="n">
        <v>46297</v>
      </c>
      <c r="F437" t="inlineStr">
        <is>
          <t>GÄVLEBORGS LÄN</t>
        </is>
      </c>
      <c r="G437" t="inlineStr">
        <is>
          <t>SÖDERHAMN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24933-2024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45461</v>
      </c>
      <c r="E438" s="1" t="n">
        <v>46297</v>
      </c>
      <c r="F438" t="inlineStr">
        <is>
          <t>GÄVLEBORGS LÄN</t>
        </is>
      </c>
      <c r="G438" t="inlineStr">
        <is>
          <t>SÖDERHAMN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46297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44938</v>
      </c>
      <c r="E440" s="1" t="n">
        <v>46297</v>
      </c>
      <c r="F440" t="inlineStr">
        <is>
          <t>GÄVLEBORGS LÄN</t>
        </is>
      </c>
      <c r="G440" t="inlineStr">
        <is>
          <t>SÖDERHAMN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46297</v>
      </c>
      <c r="F441" t="inlineStr">
        <is>
          <t>GÄVLEBORGS LÄN</t>
        </is>
      </c>
      <c r="G441" t="inlineStr">
        <is>
          <t>SÖDERHAMN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46297</v>
      </c>
      <c r="F442" t="inlineStr">
        <is>
          <t>GÄVLEBORGS LÄN</t>
        </is>
      </c>
      <c r="G442" t="inlineStr">
        <is>
          <t>SÖDERHAMN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48797-2024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45593</v>
      </c>
      <c r="E443" s="1" t="n">
        <v>46297</v>
      </c>
      <c r="F443" t="inlineStr">
        <is>
          <t>GÄVLEBORGS LÄN</t>
        </is>
      </c>
      <c r="G443" t="inlineStr">
        <is>
          <t>SÖDERHAMN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45616</v>
      </c>
      <c r="E444" s="1" t="n">
        <v>46297</v>
      </c>
      <c r="F444" t="inlineStr">
        <is>
          <t>GÄVLEBORGS LÄN</t>
        </is>
      </c>
      <c r="G444" t="inlineStr">
        <is>
          <t>SÖDERHAMN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45212</v>
      </c>
      <c r="E445" s="1" t="n">
        <v>46297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46297</v>
      </c>
      <c r="F446" t="inlineStr">
        <is>
          <t>GÄVLEBORGS LÄN</t>
        </is>
      </c>
      <c r="G446" t="inlineStr">
        <is>
          <t>SÖDERHAMN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45365</v>
      </c>
      <c r="E447" s="1" t="n">
        <v>46297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46297</v>
      </c>
      <c r="F448" t="inlineStr">
        <is>
          <t>GÄVLEBORGS LÄN</t>
        </is>
      </c>
      <c r="G448" t="inlineStr">
        <is>
          <t>SÖDERHAMN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46297</v>
      </c>
      <c r="F449" t="inlineStr">
        <is>
          <t>GÄVLEBORGS LÄN</t>
        </is>
      </c>
      <c r="G449" t="inlineStr">
        <is>
          <t>SÖDERHAMN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45108</v>
      </c>
      <c r="E450" s="1" t="n">
        <v>46297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45108</v>
      </c>
      <c r="E451" s="1" t="n">
        <v>46297</v>
      </c>
      <c r="F451" t="inlineStr">
        <is>
          <t>GÄVLEBORGS LÄN</t>
        </is>
      </c>
      <c r="G451" t="inlineStr">
        <is>
          <t>SÖDERHAMN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24912-2026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46174</v>
      </c>
      <c r="E452" s="1" t="n">
        <v>46297</v>
      </c>
      <c r="F452" t="inlineStr">
        <is>
          <t>GÄVLEBORGS LÄN</t>
        </is>
      </c>
      <c r="G452" t="inlineStr">
        <is>
          <t>SÖDERHAMN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46174</v>
      </c>
      <c r="E453" s="1" t="n">
        <v>46297</v>
      </c>
      <c r="F453" t="inlineStr">
        <is>
          <t>GÄVLEBORGS LÄN</t>
        </is>
      </c>
      <c r="G453" t="inlineStr">
        <is>
          <t>SÖDERHAMN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46297</v>
      </c>
      <c r="F454" t="inlineStr">
        <is>
          <t>GÄVLEBORGS LÄN</t>
        </is>
      </c>
      <c r="G454" t="inlineStr">
        <is>
          <t>SÖDERHAMN</t>
        </is>
      </c>
      <c r="I454" t="n">
        <v>8.300000000000001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46297</v>
      </c>
      <c r="F455" t="inlineStr">
        <is>
          <t>GÄVLEBORGS LÄN</t>
        </is>
      </c>
      <c r="G455" t="inlineStr">
        <is>
          <t>SÖDERHAMN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46297</v>
      </c>
      <c r="F456" t="inlineStr">
        <is>
          <t>GÄVLEBORGS LÄN</t>
        </is>
      </c>
      <c r="G456" t="inlineStr">
        <is>
          <t>SÖDERHAMN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46297</v>
      </c>
      <c r="F457" t="inlineStr">
        <is>
          <t>GÄVLEBORGS LÄN</t>
        </is>
      </c>
      <c r="G457" t="inlineStr">
        <is>
          <t>SÖDERHAMN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25477-2026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46177</v>
      </c>
      <c r="E458" s="1" t="n">
        <v>46297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46297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46297</v>
      </c>
      <c r="F460" t="inlineStr">
        <is>
          <t>GÄVLEBORGS LÄN</t>
        </is>
      </c>
      <c r="G460" t="inlineStr">
        <is>
          <t>SÖDERHAMN</t>
        </is>
      </c>
      <c r="I460" t="n">
        <v>20.9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46297</v>
      </c>
      <c r="F461" t="inlineStr">
        <is>
          <t>GÄVLEBORGS LÄN</t>
        </is>
      </c>
      <c r="G461" t="inlineStr">
        <is>
          <t>SÖDERHAMN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46297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45607</v>
      </c>
      <c r="E463" s="1" t="n">
        <v>46297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55715-2024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45622</v>
      </c>
      <c r="E464" s="1" t="n">
        <v>46297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45580</v>
      </c>
      <c r="E465" s="1" t="n">
        <v>46297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45670</v>
      </c>
      <c r="E466" s="1" t="n">
        <v>46297</v>
      </c>
      <c r="F466" t="inlineStr">
        <is>
          <t>GÄVLEBORGS LÄN</t>
        </is>
      </c>
      <c r="G466" t="inlineStr">
        <is>
          <t>SÖDERHAMN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46297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46297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45615</v>
      </c>
      <c r="E469" s="1" t="n">
        <v>46297</v>
      </c>
      <c r="F469" t="inlineStr">
        <is>
          <t>GÄVLEBORGS LÄN</t>
        </is>
      </c>
      <c r="G469" t="inlineStr">
        <is>
          <t>SÖDERHAMN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46297</v>
      </c>
      <c r="F470" t="inlineStr">
        <is>
          <t>GÄVLEBORGS LÄN</t>
        </is>
      </c>
      <c r="G470" t="inlineStr">
        <is>
          <t>SÖDERHAMN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49306-2023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45210</v>
      </c>
      <c r="E471" s="1" t="n">
        <v>46297</v>
      </c>
      <c r="F471" t="inlineStr">
        <is>
          <t>GÄVLEBORGS LÄN</t>
        </is>
      </c>
      <c r="G471" t="inlineStr">
        <is>
          <t>SÖDERHAMN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46297</v>
      </c>
      <c r="F472" t="inlineStr">
        <is>
          <t>GÄVLEBORGS LÄN</t>
        </is>
      </c>
      <c r="G472" t="inlineStr">
        <is>
          <t>SÖDERHAMN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26042-2026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46177</v>
      </c>
      <c r="E473" s="1" t="n">
        <v>46297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46297</v>
      </c>
      <c r="F474" t="inlineStr">
        <is>
          <t>GÄVLEBORGS LÄN</t>
        </is>
      </c>
      <c r="G474" t="inlineStr">
        <is>
          <t>SÖDERHAMN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45632</v>
      </c>
      <c r="E475" s="1" t="n">
        <v>46297</v>
      </c>
      <c r="F475" t="inlineStr">
        <is>
          <t>GÄVLEBORGS LÄN</t>
        </is>
      </c>
      <c r="G475" t="inlineStr">
        <is>
          <t>SÖDERHAMN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59772-2024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45639</v>
      </c>
      <c r="E476" s="1" t="n">
        <v>46297</v>
      </c>
      <c r="F476" t="inlineStr">
        <is>
          <t>GÄVLEBORGS LÄN</t>
        </is>
      </c>
      <c r="G476" t="inlineStr">
        <is>
          <t>SÖDERHAMN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49765-2024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45597</v>
      </c>
      <c r="E477" s="1" t="n">
        <v>46297</v>
      </c>
      <c r="F477" t="inlineStr">
        <is>
          <t>GÄVLEBORGS LÄN</t>
        </is>
      </c>
      <c r="G477" t="inlineStr">
        <is>
          <t>SÖDERHAMN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46297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45706</v>
      </c>
      <c r="E479" s="1" t="n">
        <v>46297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45747</v>
      </c>
      <c r="E480" s="1" t="n">
        <v>46297</v>
      </c>
      <c r="F480" t="inlineStr">
        <is>
          <t>GÄVLEBORGS LÄN</t>
        </is>
      </c>
      <c r="G480" t="inlineStr">
        <is>
          <t>SÖDERHAMN</t>
        </is>
      </c>
      <c r="I480" t="n">
        <v>11.2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46297</v>
      </c>
      <c r="F481" t="inlineStr">
        <is>
          <t>GÄVLEBORGS LÄN</t>
        </is>
      </c>
      <c r="G481" t="inlineStr">
        <is>
          <t>SÖDERHAMN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46297</v>
      </c>
      <c r="F482" t="inlineStr">
        <is>
          <t>GÄVLEBORGS LÄN</t>
        </is>
      </c>
      <c r="G482" t="inlineStr">
        <is>
          <t>SÖDERHAMN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45331</v>
      </c>
      <c r="E483" s="1" t="n">
        <v>46297</v>
      </c>
      <c r="F483" t="inlineStr">
        <is>
          <t>GÄVLEBORGS LÄN</t>
        </is>
      </c>
      <c r="G483" t="inlineStr">
        <is>
          <t>SÖDERHAMN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38355-2022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44812</v>
      </c>
      <c r="E484" s="1" t="n">
        <v>46297</v>
      </c>
      <c r="F484" t="inlineStr">
        <is>
          <t>GÄVLEBORGS LÄN</t>
        </is>
      </c>
      <c r="G484" t="inlineStr">
        <is>
          <t>SÖDERHAMN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46297</v>
      </c>
      <c r="F485" t="inlineStr">
        <is>
          <t>GÄVLEBORGS LÄN</t>
        </is>
      </c>
      <c r="G485" t="inlineStr">
        <is>
          <t>SÖDERHAMN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45597</v>
      </c>
      <c r="E486" s="1" t="n">
        <v>46297</v>
      </c>
      <c r="F486" t="inlineStr">
        <is>
          <t>GÄVLEBORGS LÄN</t>
        </is>
      </c>
      <c r="G486" t="inlineStr">
        <is>
          <t>SÖDERHAMN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51492-2023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45222</v>
      </c>
      <c r="E487" s="1" t="n">
        <v>46297</v>
      </c>
      <c r="F487" t="inlineStr">
        <is>
          <t>GÄVLEBORGS LÄN</t>
        </is>
      </c>
      <c r="G487" t="inlineStr">
        <is>
          <t>SÖDERHAMN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46297</v>
      </c>
      <c r="F488" t="inlineStr">
        <is>
          <t>GÄVLEBORGS LÄN</t>
        </is>
      </c>
      <c r="G488" t="inlineStr">
        <is>
          <t>SÖDERHAMN</t>
        </is>
      </c>
      <c r="I488" t="n">
        <v>11.8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59773-2024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46297</v>
      </c>
      <c r="F489" t="inlineStr">
        <is>
          <t>GÄVLEBORGS LÄN</t>
        </is>
      </c>
      <c r="G489" t="inlineStr">
        <is>
          <t>SÖDERHAMN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43191-2024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45567</v>
      </c>
      <c r="E490" s="1" t="n">
        <v>46297</v>
      </c>
      <c r="F490" t="inlineStr">
        <is>
          <t>GÄVLEBORGS LÄN</t>
        </is>
      </c>
      <c r="G490" t="inlineStr">
        <is>
          <t>SÖDERHAMN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28426-2026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46197</v>
      </c>
      <c r="E491" s="1" t="n">
        <v>46297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46197</v>
      </c>
      <c r="E492" s="1" t="n">
        <v>46297</v>
      </c>
      <c r="F492" t="inlineStr">
        <is>
          <t>GÄVLEBORGS LÄN</t>
        </is>
      </c>
      <c r="G492" t="inlineStr">
        <is>
          <t>SÖDERHAMN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45432</v>
      </c>
      <c r="E493" s="1" t="n">
        <v>46297</v>
      </c>
      <c r="F493" t="inlineStr">
        <is>
          <t>GÄVLEBORGS LÄN</t>
        </is>
      </c>
      <c r="G493" t="inlineStr">
        <is>
          <t>SÖDERHAMN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30928-2023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46297</v>
      </c>
      <c r="F494" t="inlineStr">
        <is>
          <t>GÄVLEBORGS LÄN</t>
        </is>
      </c>
      <c r="G494" t="inlineStr">
        <is>
          <t>SÖDERHAMN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45705</v>
      </c>
      <c r="E495" s="1" t="n">
        <v>46297</v>
      </c>
      <c r="F495" t="inlineStr">
        <is>
          <t>GÄVLEBORGS LÄN</t>
        </is>
      </c>
      <c r="G495" t="inlineStr">
        <is>
          <t>SÖDERHAMN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46297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44338-2023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45188</v>
      </c>
      <c r="E497" s="1" t="n">
        <v>46297</v>
      </c>
      <c r="F497" t="inlineStr">
        <is>
          <t>GÄVLEBORGS LÄN</t>
        </is>
      </c>
      <c r="G497" t="inlineStr">
        <is>
          <t>SÖDERHAMN</t>
        </is>
      </c>
      <c r="H497" t="inlineStr">
        <is>
          <t>Kommuner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44341-2023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45188</v>
      </c>
      <c r="E498" s="1" t="n">
        <v>46297</v>
      </c>
      <c r="F498" t="inlineStr">
        <is>
          <t>GÄVLEBORGS LÄN</t>
        </is>
      </c>
      <c r="G498" t="inlineStr">
        <is>
          <t>SÖDERHAMN</t>
        </is>
      </c>
      <c r="H498" t="inlineStr">
        <is>
          <t>Kommuner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46207</v>
      </c>
      <c r="E499" s="1" t="n">
        <v>46297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44662</v>
      </c>
      <c r="E500" s="1" t="n">
        <v>46297</v>
      </c>
      <c r="F500" t="inlineStr">
        <is>
          <t>GÄVLEBORGS LÄN</t>
        </is>
      </c>
      <c r="G500" t="inlineStr">
        <is>
          <t>SÖDERHAMN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29289-2022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44750</v>
      </c>
      <c r="E501" s="1" t="n">
        <v>46297</v>
      </c>
      <c r="F501" t="inlineStr">
        <is>
          <t>GÄVLEBORGS LÄN</t>
        </is>
      </c>
      <c r="G501" t="inlineStr">
        <is>
          <t>SÖDERHAMN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45764</v>
      </c>
      <c r="E502" s="1" t="n">
        <v>46297</v>
      </c>
      <c r="F502" t="inlineStr">
        <is>
          <t>GÄVLEBORGS LÄN</t>
        </is>
      </c>
      <c r="G502" t="inlineStr">
        <is>
          <t>SÖDERHAMN</t>
        </is>
      </c>
      <c r="H502" t="inlineStr">
        <is>
          <t>Kommuner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46211</v>
      </c>
      <c r="E503" s="1" t="n">
        <v>46297</v>
      </c>
      <c r="F503" t="inlineStr">
        <is>
          <t>GÄVLEBORGS LÄN</t>
        </is>
      </c>
      <c r="G503" t="inlineStr">
        <is>
          <t>SÖDERHAMN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45257</v>
      </c>
      <c r="E504" s="1" t="n">
        <v>46297</v>
      </c>
      <c r="F504" t="inlineStr">
        <is>
          <t>GÄVLEBORGS LÄN</t>
        </is>
      </c>
      <c r="G504" t="inlineStr">
        <is>
          <t>SÖDERHAMN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46297</v>
      </c>
      <c r="F505" t="inlineStr">
        <is>
          <t>GÄVLEBORGS LÄN</t>
        </is>
      </c>
      <c r="G505" t="inlineStr">
        <is>
          <t>SÖDERHAMN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46297</v>
      </c>
      <c r="F506" t="inlineStr">
        <is>
          <t>GÄVLEBORGS LÄN</t>
        </is>
      </c>
      <c r="G506" t="inlineStr">
        <is>
          <t>SÖDERHAMN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46297</v>
      </c>
      <c r="F507" t="inlineStr">
        <is>
          <t>GÄVLEBORGS LÄN</t>
        </is>
      </c>
      <c r="G507" t="inlineStr">
        <is>
          <t>SÖDERHAMN</t>
        </is>
      </c>
      <c r="H507" t="inlineStr">
        <is>
          <t>Kyrkan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30875-2026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46212</v>
      </c>
      <c r="E508" s="1" t="n">
        <v>46297</v>
      </c>
      <c r="F508" t="inlineStr">
        <is>
          <t>GÄVLEBORGS LÄN</t>
        </is>
      </c>
      <c r="G508" t="inlineStr">
        <is>
          <t>SÖDERHAMN</t>
        </is>
      </c>
      <c r="H508" t="inlineStr">
        <is>
          <t>Kyrkan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30877-2026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46297</v>
      </c>
      <c r="F509" t="inlineStr">
        <is>
          <t>GÄVLEBORGS LÄN</t>
        </is>
      </c>
      <c r="G509" t="inlineStr">
        <is>
          <t>SÖDERHAMN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45799</v>
      </c>
      <c r="E510" s="1" t="n">
        <v>46297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46297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46297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46260</v>
      </c>
      <c r="E513" s="1" t="n">
        <v>46297</v>
      </c>
      <c r="F513" t="inlineStr">
        <is>
          <t>GÄVLEBORGS LÄN</t>
        </is>
      </c>
      <c r="G513" t="inlineStr">
        <is>
          <t>SÖDERHAMN</t>
        </is>
      </c>
      <c r="H513" t="inlineStr">
        <is>
          <t>Övriga statliga verk och myndigheter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46260</v>
      </c>
      <c r="E514" s="1" t="n">
        <v>46297</v>
      </c>
      <c r="F514" t="inlineStr">
        <is>
          <t>GÄVLEBORGS LÄN</t>
        </is>
      </c>
      <c r="G514" t="inlineStr">
        <is>
          <t>SÖDERHAMN</t>
        </is>
      </c>
      <c r="H514" t="inlineStr">
        <is>
          <t>Övriga statliga verk och myndigheter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46042</v>
      </c>
      <c r="E515" s="1" t="n">
        <v>46297</v>
      </c>
      <c r="F515" t="inlineStr">
        <is>
          <t>GÄVLEBORGS LÄN</t>
        </is>
      </c>
      <c r="G515" t="inlineStr">
        <is>
          <t>SÖDERHAMN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46219</v>
      </c>
      <c r="E516" s="1" t="n">
        <v>46297</v>
      </c>
      <c r="F516" t="inlineStr">
        <is>
          <t>GÄVLEBORGS LÄN</t>
        </is>
      </c>
      <c r="G516" t="inlineStr">
        <is>
          <t>SÖDERHAMN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46219</v>
      </c>
      <c r="E517" s="1" t="n">
        <v>46297</v>
      </c>
      <c r="F517" t="inlineStr">
        <is>
          <t>GÄVLEBORGS LÄN</t>
        </is>
      </c>
      <c r="G517" t="inlineStr">
        <is>
          <t>SÖDERHAMN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45477</v>
      </c>
      <c r="E518" s="1" t="n">
        <v>46297</v>
      </c>
      <c r="F518" t="inlineStr">
        <is>
          <t>GÄVLEBORGS LÄN</t>
        </is>
      </c>
      <c r="G518" t="inlineStr">
        <is>
          <t>SÖDERHAMN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31274-2026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46218</v>
      </c>
      <c r="E519" s="1" t="n">
        <v>46297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46297</v>
      </c>
      <c r="F520" t="inlineStr">
        <is>
          <t>GÄVLEBORGS LÄN</t>
        </is>
      </c>
      <c r="G520" t="inlineStr">
        <is>
          <t>SÖDERHAMN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46297</v>
      </c>
      <c r="F521" t="inlineStr">
        <is>
          <t>GÄVLEBORGS LÄN</t>
        </is>
      </c>
      <c r="G521" t="inlineStr">
        <is>
          <t>SÖDERHAMN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46223</v>
      </c>
      <c r="E522" s="1" t="n">
        <v>46297</v>
      </c>
      <c r="F522" t="inlineStr">
        <is>
          <t>GÄVLEBORGS LÄN</t>
        </is>
      </c>
      <c r="G522" t="inlineStr">
        <is>
          <t>SÖDERHAMN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46297</v>
      </c>
      <c r="F523" t="inlineStr">
        <is>
          <t>GÄVLEBORGS LÄN</t>
        </is>
      </c>
      <c r="G523" t="inlineStr">
        <is>
          <t>SÖDERHAMN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46297</v>
      </c>
      <c r="F524" t="inlineStr">
        <is>
          <t>GÄVLEBORGS LÄN</t>
        </is>
      </c>
      <c r="G524" t="inlineStr">
        <is>
          <t>SÖDERHAMN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46297</v>
      </c>
      <c r="F525" t="inlineStr">
        <is>
          <t>GÄVLEBORGS LÄN</t>
        </is>
      </c>
      <c r="G525" t="inlineStr">
        <is>
          <t>SÖDERHAMN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46227</v>
      </c>
      <c r="E526" s="1" t="n">
        <v>46297</v>
      </c>
      <c r="F526" t="inlineStr">
        <is>
          <t>GÄVLEBORGS LÄN</t>
        </is>
      </c>
      <c r="G526" t="inlineStr">
        <is>
          <t>SÖDERHAMN</t>
        </is>
      </c>
      <c r="I526" t="n">
        <v>11.5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45602</v>
      </c>
      <c r="E527" s="1" t="n">
        <v>46297</v>
      </c>
      <c r="F527" t="inlineStr">
        <is>
          <t>GÄVLEBORGS LÄN</t>
        </is>
      </c>
      <c r="G527" t="inlineStr">
        <is>
          <t>SÖDERHAMN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45652</v>
      </c>
      <c r="E528" s="1" t="n">
        <v>46297</v>
      </c>
      <c r="F528" t="inlineStr">
        <is>
          <t>GÄVLEBORGS LÄN</t>
        </is>
      </c>
      <c r="G528" t="inlineStr">
        <is>
          <t>SÖDERHAMN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45393</v>
      </c>
      <c r="E529" s="1" t="n">
        <v>46297</v>
      </c>
      <c r="F529" t="inlineStr">
        <is>
          <t>GÄVLEBORGS LÄN</t>
        </is>
      </c>
      <c r="G529" t="inlineStr">
        <is>
          <t>SÖDERHAMN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31916-2024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45510</v>
      </c>
      <c r="E530" s="1" t="n">
        <v>46297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45461</v>
      </c>
      <c r="E531" s="1" t="n">
        <v>46297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45425</v>
      </c>
      <c r="E532" s="1" t="n">
        <v>46297</v>
      </c>
      <c r="F532" t="inlineStr">
        <is>
          <t>GÄVLEBORGS LÄN</t>
        </is>
      </c>
      <c r="G532" t="inlineStr">
        <is>
          <t>SÖDERHAMN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15877-2025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45749</v>
      </c>
      <c r="E533" s="1" t="n">
        <v>46297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37320-2026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46275</v>
      </c>
      <c r="E534" s="1" t="n">
        <v>46297</v>
      </c>
      <c r="F534" t="inlineStr">
        <is>
          <t>GÄVLEBORGS LÄN</t>
        </is>
      </c>
      <c r="G534" t="inlineStr">
        <is>
          <t>SÖDERHAMN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36204-2024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45534</v>
      </c>
      <c r="E535" s="1" t="n">
        <v>46297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42035-2024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45561</v>
      </c>
      <c r="E536" s="1" t="n">
        <v>46297</v>
      </c>
      <c r="F536" t="inlineStr">
        <is>
          <t>GÄVLEBORGS LÄN</t>
        </is>
      </c>
      <c r="G536" t="inlineStr">
        <is>
          <t>SÖDERHAMN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44992</v>
      </c>
      <c r="E537" s="1" t="n">
        <v>46297</v>
      </c>
      <c r="F537" t="inlineStr">
        <is>
          <t>GÄVLEBORGS LÄN</t>
        </is>
      </c>
      <c r="G537" t="inlineStr">
        <is>
          <t>SÖDERHAMN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46297</v>
      </c>
      <c r="F538" t="inlineStr">
        <is>
          <t>GÄVLEBORGS LÄN</t>
        </is>
      </c>
      <c r="G538" t="inlineStr">
        <is>
          <t>SÖDERHAMN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46297</v>
      </c>
      <c r="F539" t="inlineStr">
        <is>
          <t>GÄVLEBORGS LÄN</t>
        </is>
      </c>
      <c r="G539" t="inlineStr">
        <is>
          <t>SÖDERHAMN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46297</v>
      </c>
      <c r="F540" t="inlineStr">
        <is>
          <t>GÄVLEBORGS LÄN</t>
        </is>
      </c>
      <c r="G540" t="inlineStr">
        <is>
          <t>SÖDERHAMN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46085</v>
      </c>
      <c r="E541" s="1" t="n">
        <v>46297</v>
      </c>
      <c r="F541" t="inlineStr">
        <is>
          <t>GÄVLEBORGS LÄN</t>
        </is>
      </c>
      <c r="G541" t="inlineStr">
        <is>
          <t>SÖDERHAMN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4843-2023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44957</v>
      </c>
      <c r="E542" s="1" t="n">
        <v>46297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46297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46297</v>
      </c>
      <c r="F544" t="inlineStr">
        <is>
          <t>GÄVLEBORGS LÄN</t>
        </is>
      </c>
      <c r="G544" t="inlineStr">
        <is>
          <t>SÖDERHAMN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46297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46281</v>
      </c>
      <c r="E546" s="1" t="n">
        <v>46297</v>
      </c>
      <c r="F546" t="inlineStr">
        <is>
          <t>GÄVLEBORGS LÄN</t>
        </is>
      </c>
      <c r="G546" t="inlineStr">
        <is>
          <t>SÖDERHAMN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16137-2022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44665</v>
      </c>
      <c r="E547" s="1" t="n">
        <v>46297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14128-2022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44651</v>
      </c>
      <c r="E548" s="1" t="n">
        <v>46297</v>
      </c>
      <c r="F548" t="inlineStr">
        <is>
          <t>GÄVLEBORGS LÄN</t>
        </is>
      </c>
      <c r="G548" t="inlineStr">
        <is>
          <t>SÖDERHAMN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45108</v>
      </c>
      <c r="E549" s="1" t="n">
        <v>46297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45041</v>
      </c>
      <c r="E550" s="1" t="n">
        <v>46297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46026</v>
      </c>
      <c r="E551" s="1" t="n">
        <v>46297</v>
      </c>
      <c r="F551" t="inlineStr">
        <is>
          <t>GÄVLEBORGS LÄN</t>
        </is>
      </c>
      <c r="G551" t="inlineStr">
        <is>
          <t>SÖDERHAMN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46297</v>
      </c>
      <c r="F552" t="inlineStr">
        <is>
          <t>GÄVLEBORGS LÄN</t>
        </is>
      </c>
      <c r="G552" t="inlineStr">
        <is>
          <t>SÖDERHAMN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46297</v>
      </c>
      <c r="F553" t="inlineStr">
        <is>
          <t>GÄVLEBORGS LÄN</t>
        </is>
      </c>
      <c r="G553" t="inlineStr">
        <is>
          <t>SÖDERHAMN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45231</v>
      </c>
      <c r="E554" s="1" t="n">
        <v>46297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45597</v>
      </c>
      <c r="E555" s="1" t="n">
        <v>46297</v>
      </c>
      <c r="F555" t="inlineStr">
        <is>
          <t>GÄVLEBORGS LÄN</t>
        </is>
      </c>
      <c r="G555" t="inlineStr">
        <is>
          <t>SÖDERHAMN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56502-2023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45243</v>
      </c>
      <c r="E556" s="1" t="n">
        <v>46297</v>
      </c>
      <c r="F556" t="inlineStr">
        <is>
          <t>GÄVLEBORGS LÄN</t>
        </is>
      </c>
      <c r="G556" t="inlineStr">
        <is>
          <t>SÖDERHAMN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46297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46297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45470</v>
      </c>
      <c r="E559" s="1" t="n">
        <v>46297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71645-2021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44543</v>
      </c>
      <c r="E560" s="1" t="n">
        <v>46297</v>
      </c>
      <c r="F560" t="inlineStr">
        <is>
          <t>GÄVLEBORGS LÄN</t>
        </is>
      </c>
      <c r="G560" t="inlineStr">
        <is>
          <t>SÖDERHAMN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63798-2023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45278</v>
      </c>
      <c r="E561" s="1" t="n">
        <v>46297</v>
      </c>
      <c r="F561" t="inlineStr">
        <is>
          <t>GÄVLEBORGS LÄN</t>
        </is>
      </c>
      <c r="G561" t="inlineStr">
        <is>
          <t>SÖDERHAMN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6853-2024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46297</v>
      </c>
      <c r="F562" t="inlineStr">
        <is>
          <t>GÄVLEBORGS LÄN</t>
        </is>
      </c>
      <c r="G562" t="inlineStr">
        <is>
          <t>SÖDERHAMN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46297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15454-2025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45747</v>
      </c>
      <c r="E564" s="1" t="n">
        <v>46297</v>
      </c>
      <c r="F564" t="inlineStr">
        <is>
          <t>GÄVLEBORGS LÄN</t>
        </is>
      </c>
      <c r="G564" t="inlineStr">
        <is>
          <t>SÖDERHAMN</t>
        </is>
      </c>
      <c r="I564" t="n">
        <v>6.2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50283-2024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46297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63431-2021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44508</v>
      </c>
      <c r="E566" s="1" t="n">
        <v>46297</v>
      </c>
      <c r="F566" t="inlineStr">
        <is>
          <t>GÄVLEBORGS LÄN</t>
        </is>
      </c>
      <c r="G566" t="inlineStr">
        <is>
          <t>SÖDERHAMN</t>
        </is>
      </c>
      <c r="H566" t="inlineStr">
        <is>
          <t>Bergvik skog väst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45527</v>
      </c>
      <c r="E567" s="1" t="n">
        <v>46297</v>
      </c>
      <c r="F567" t="inlineStr">
        <is>
          <t>GÄVLEBORGS LÄN</t>
        </is>
      </c>
      <c r="G567" t="inlineStr">
        <is>
          <t>SÖDERHAMN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46297</v>
      </c>
      <c r="F568" t="inlineStr">
        <is>
          <t>GÄVLEBORGS LÄN</t>
        </is>
      </c>
      <c r="G568" t="inlineStr">
        <is>
          <t>SÖDERHAMN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20456-2024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45435</v>
      </c>
      <c r="E569" s="1" t="n">
        <v>46297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56933-2024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45628</v>
      </c>
      <c r="E570" s="1" t="n">
        <v>46297</v>
      </c>
      <c r="F570" t="inlineStr">
        <is>
          <t>GÄVLEBORGS LÄN</t>
        </is>
      </c>
      <c r="G570" t="inlineStr">
        <is>
          <t>SÖDERHAMN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46294</v>
      </c>
      <c r="E571" s="1" t="n">
        <v>46297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46297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40437-2026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46297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46293</v>
      </c>
      <c r="E574" s="1" t="n">
        <v>46297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40187-2026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46293</v>
      </c>
      <c r="E575" s="1" t="n">
        <v>46297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45677</v>
      </c>
      <c r="E576" s="1" t="n">
        <v>46297</v>
      </c>
      <c r="F576" t="inlineStr">
        <is>
          <t>GÄVLEBORGS LÄN</t>
        </is>
      </c>
      <c r="G576" t="inlineStr">
        <is>
          <t>SÖDERHAMN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23467-2026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46297</v>
      </c>
      <c r="F577" t="inlineStr">
        <is>
          <t>GÄVLEBORGS LÄN</t>
        </is>
      </c>
      <c r="G577" t="inlineStr">
        <is>
          <t>SÖDERHAMN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45673</v>
      </c>
      <c r="E578" s="1" t="n">
        <v>46297</v>
      </c>
      <c r="F578" t="inlineStr">
        <is>
          <t>GÄVLEBORGS LÄN</t>
        </is>
      </c>
      <c r="G578" t="inlineStr">
        <is>
          <t>SÖDERHAMN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45632</v>
      </c>
      <c r="E579" s="1" t="n">
        <v>46297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46297</v>
      </c>
      <c r="F580" t="inlineStr">
        <is>
          <t>GÄVLEBORGS LÄN</t>
        </is>
      </c>
      <c r="G580" t="inlineStr">
        <is>
          <t>SÖDERHAMN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45771</v>
      </c>
      <c r="E581" s="1" t="n">
        <v>46297</v>
      </c>
      <c r="F581" t="inlineStr">
        <is>
          <t>GÄVLEBORGS LÄN</t>
        </is>
      </c>
      <c r="G581" t="inlineStr">
        <is>
          <t>SÖDERHAMN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40799-2026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46297</v>
      </c>
      <c r="F582" t="inlineStr">
        <is>
          <t>GÄVLEBORGS LÄN</t>
        </is>
      </c>
      <c r="G582" t="inlineStr">
        <is>
          <t>SÖDERHAMN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46296</v>
      </c>
      <c r="E583" s="1" t="n">
        <v>46297</v>
      </c>
      <c r="F583" t="inlineStr">
        <is>
          <t>GÄVLEBORGS LÄN</t>
        </is>
      </c>
      <c r="G583" t="inlineStr">
        <is>
          <t>SÖDERHAMN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46297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46297</v>
      </c>
      <c r="F585" t="inlineStr">
        <is>
          <t>GÄVLEBORGS LÄN</t>
        </is>
      </c>
      <c r="G585" t="inlineStr">
        <is>
          <t>SÖDERHAMN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46297</v>
      </c>
      <c r="F586" t="inlineStr">
        <is>
          <t>GÄVLEBORGS LÄN</t>
        </is>
      </c>
      <c r="G586" t="inlineStr">
        <is>
          <t>SÖDERHAMN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27862-2023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46297</v>
      </c>
      <c r="F587" t="inlineStr">
        <is>
          <t>GÄVLEBORGS LÄN</t>
        </is>
      </c>
      <c r="G587" t="inlineStr">
        <is>
          <t>SÖDERHAMN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46297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45062</v>
      </c>
      <c r="E589" s="1" t="n">
        <v>46297</v>
      </c>
      <c r="F589" t="inlineStr">
        <is>
          <t>GÄVLEBORGS LÄN</t>
        </is>
      </c>
      <c r="G589" t="inlineStr">
        <is>
          <t>SÖDERHAMN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41221-2022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44826</v>
      </c>
      <c r="E590" s="1" t="n">
        <v>46297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47794-2024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46297</v>
      </c>
      <c r="F591" t="inlineStr">
        <is>
          <t>GÄVLEBORGS LÄN</t>
        </is>
      </c>
      <c r="G591" t="inlineStr">
        <is>
          <t>SÖDERHAMN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46006-2024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45580</v>
      </c>
      <c r="E592" s="1" t="n">
        <v>46297</v>
      </c>
      <c r="F592" t="inlineStr">
        <is>
          <t>GÄVLEBORGS LÄN</t>
        </is>
      </c>
      <c r="G592" t="inlineStr">
        <is>
          <t>SÖDERHAMN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45252</v>
      </c>
      <c r="E593" s="1" t="n">
        <v>46297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46297</v>
      </c>
      <c r="F594" t="inlineStr">
        <is>
          <t>GÄVLEBORGS LÄN</t>
        </is>
      </c>
      <c r="G594" t="inlineStr">
        <is>
          <t>SÖDERHAMN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50066-2023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45215</v>
      </c>
      <c r="E595" s="1" t="n">
        <v>46297</v>
      </c>
      <c r="F595" t="inlineStr">
        <is>
          <t>GÄVLEBORGS LÄN</t>
        </is>
      </c>
      <c r="G595" t="inlineStr">
        <is>
          <t>SÖDERHAMN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40798-2026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46296</v>
      </c>
      <c r="E596" s="1" t="n">
        <v>46297</v>
      </c>
      <c r="F596" t="inlineStr">
        <is>
          <t>GÄVLEBORGS LÄN</t>
        </is>
      </c>
      <c r="G596" t="inlineStr">
        <is>
          <t>SÖDERHAMN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29979-2023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45108</v>
      </c>
      <c r="E597" s="1" t="n">
        <v>46297</v>
      </c>
      <c r="F597" t="inlineStr">
        <is>
          <t>GÄVLEBORGS LÄN</t>
        </is>
      </c>
      <c r="G597" t="inlineStr">
        <is>
          <t>SÖDERHAMN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45747</v>
      </c>
      <c r="E598" s="1" t="n">
        <v>46297</v>
      </c>
      <c r="F598" t="inlineStr">
        <is>
          <t>GÄVLEBORGS LÄN</t>
        </is>
      </c>
      <c r="G598" t="inlineStr">
        <is>
          <t>SÖDERHAMN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46297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49282-2024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45595</v>
      </c>
      <c r="E600" s="1" t="n">
        <v>46297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45394</v>
      </c>
      <c r="E601" s="1" t="n">
        <v>46297</v>
      </c>
      <c r="F601" t="inlineStr">
        <is>
          <t>GÄVLEBORGS LÄN</t>
        </is>
      </c>
      <c r="G601" t="inlineStr">
        <is>
          <t>SÖDERHAMN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46297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45770</v>
      </c>
      <c r="E603" s="1" t="n">
        <v>46297</v>
      </c>
      <c r="F603" t="inlineStr">
        <is>
          <t>GÄVLEBORGS LÄN</t>
        </is>
      </c>
      <c r="G603" t="inlineStr">
        <is>
          <t>SÖDERHAMN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16188-2025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45750</v>
      </c>
      <c r="E604" s="1" t="n">
        <v>46297</v>
      </c>
      <c r="F604" t="inlineStr">
        <is>
          <t>GÄVLEBORGS LÄN</t>
        </is>
      </c>
      <c r="G604" t="inlineStr">
        <is>
          <t>SÖDERHAMN</t>
        </is>
      </c>
      <c r="H604" t="inlineStr">
        <is>
          <t>Kommuner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46297</v>
      </c>
      <c r="F605" t="inlineStr">
        <is>
          <t>GÄVLEBORGS LÄN</t>
        </is>
      </c>
      <c r="G605" t="inlineStr">
        <is>
          <t>SÖDERHAMN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55713-2024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45622</v>
      </c>
      <c r="E606" s="1" t="n">
        <v>46297</v>
      </c>
      <c r="F606" t="inlineStr">
        <is>
          <t>GÄVLEBORGS LÄN</t>
        </is>
      </c>
      <c r="G606" t="inlineStr">
        <is>
          <t>SÖDERHAMN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51413-2023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45219</v>
      </c>
      <c r="E607" s="1" t="n">
        <v>46297</v>
      </c>
      <c r="F607" t="inlineStr">
        <is>
          <t>GÄVLEBORGS LÄN</t>
        </is>
      </c>
      <c r="G607" t="inlineStr">
        <is>
          <t>SÖDERHAMN</t>
        </is>
      </c>
      <c r="H607" t="inlineStr">
        <is>
          <t>Kommuner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15635-2025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45748</v>
      </c>
      <c r="E608" s="1" t="n">
        <v>46297</v>
      </c>
      <c r="F608" t="inlineStr">
        <is>
          <t>GÄVLEBORGS LÄN</t>
        </is>
      </c>
      <c r="G608" t="inlineStr">
        <is>
          <t>SÖDERHAMN</t>
        </is>
      </c>
      <c r="H608" t="inlineStr">
        <is>
          <t>Kommuner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45069</v>
      </c>
      <c r="E609" s="1" t="n">
        <v>46297</v>
      </c>
      <c r="F609" t="inlineStr">
        <is>
          <t>GÄVLEBORGS LÄN</t>
        </is>
      </c>
      <c r="G609" t="inlineStr">
        <is>
          <t>SÖDERHAMN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45296</v>
      </c>
      <c r="E610" s="1" t="n">
        <v>46297</v>
      </c>
      <c r="F610" t="inlineStr">
        <is>
          <t>GÄVLEBORGS LÄN</t>
        </is>
      </c>
      <c r="G610" t="inlineStr">
        <is>
          <t>SÖDERHAMN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4497-2024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45327</v>
      </c>
      <c r="E611" s="1" t="n">
        <v>46297</v>
      </c>
      <c r="F611" t="inlineStr">
        <is>
          <t>GÄVLEBORGS LÄN</t>
        </is>
      </c>
      <c r="G611" t="inlineStr">
        <is>
          <t>SÖDERHAMN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7972-2025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45707</v>
      </c>
      <c r="E612" s="1" t="n">
        <v>46297</v>
      </c>
      <c r="F612" t="inlineStr">
        <is>
          <t>GÄVLEBORGS LÄN</t>
        </is>
      </c>
      <c r="G612" t="inlineStr">
        <is>
          <t>SÖDERHAMN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58281-2024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45632</v>
      </c>
      <c r="E613" s="1" t="n">
        <v>46297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53916-2024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45615</v>
      </c>
      <c r="E614" s="1" t="n">
        <v>46297</v>
      </c>
      <c r="F614" t="inlineStr">
        <is>
          <t>GÄVLEBORGS LÄN</t>
        </is>
      </c>
      <c r="G614" t="inlineStr">
        <is>
          <t>SÖDERHAMN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61680-2023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45265</v>
      </c>
      <c r="E615" s="1" t="n">
        <v>46297</v>
      </c>
      <c r="F615" t="inlineStr">
        <is>
          <t>GÄVLEBORGS LÄN</t>
        </is>
      </c>
      <c r="G615" t="inlineStr">
        <is>
          <t>SÖDERHAMN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45779</v>
      </c>
      <c r="E616" s="1" t="n">
        <v>46297</v>
      </c>
      <c r="F616" t="inlineStr">
        <is>
          <t>GÄVLEBORGS LÄN</t>
        </is>
      </c>
      <c r="G616" t="inlineStr">
        <is>
          <t>SÖDERHAMN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18189-2024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45420</v>
      </c>
      <c r="E617" s="1" t="n">
        <v>46297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45588</v>
      </c>
      <c r="E618" s="1" t="n">
        <v>46297</v>
      </c>
      <c r="F618" t="inlineStr">
        <is>
          <t>GÄVLEBORGS LÄN</t>
        </is>
      </c>
      <c r="G618" t="inlineStr">
        <is>
          <t>SÖDERHAMN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46297</v>
      </c>
      <c r="F619" t="inlineStr">
        <is>
          <t>GÄVLEBORGS LÄN</t>
        </is>
      </c>
      <c r="G619" t="inlineStr">
        <is>
          <t>SÖDERHAMN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36059-2023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46297</v>
      </c>
      <c r="F620" t="inlineStr">
        <is>
          <t>GÄVLEBORGS LÄN</t>
        </is>
      </c>
      <c r="G620" t="inlineStr">
        <is>
          <t>SÖDERHAMN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168-2022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44566</v>
      </c>
      <c r="E621" s="1" t="n">
        <v>46297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170-2022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46297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87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175-2022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46297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45.7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15-2024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45293</v>
      </c>
      <c r="E624" s="1" t="n">
        <v>46297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46297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2026-10-02T02:00:20Z</dcterms:created>
  <dcterms:modified xmlns:dcterms="http://purl.org/dc/terms/" xmlns:xsi="http://www.w3.org/2001/XMLSchema-instance" xsi:type="dcterms:W3CDTF">2026-10-02T02:00:21Z</dcterms:modified>
</cp:coreProperties>
</file>